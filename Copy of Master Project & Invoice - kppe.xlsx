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  <sheet state="visible" name="Project-Pengadaan" sheetId="2" r:id="rId5"/>
    <sheet state="hidden" name="t" sheetId="3" r:id="rId6"/>
  </sheets>
  <externalReferences>
    <externalReference r:id="rId7"/>
  </externalReferences>
  <definedNames>
    <definedName hidden="1" localSheetId="0" name="_xlnm._FilterDatabase">Invoice!$A$1:$K$405</definedName>
  </definedNames>
  <calcPr/>
  <extLst>
    <ext uri="GoogleSheetsCustomDataVersion2">
      <go:sheetsCustomData xmlns:go="http://customooxmlschemas.google.com/" r:id="rId8" roundtripDataChecksum="5hRW81+N/BbcG285ddXBudMknkGGourSQFuH5fqr7p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3">
      <text>
        <t xml:space="preserve">======
ID#AAABteBdSVs
santi    (2023-11-22 06:22:18)
REKON EO sama Wenny</t>
      </text>
    </comment>
  </commentList>
  <extLst>
    <ext uri="GoogleSheetsCustomDataVersion2">
      <go:sheetsCustomData xmlns:go="http://customooxmlschemas.google.com/" r:id="rId1" roundtripDataSignature="AMtx7mgFT+a0mmGIc1+0mlYap06m9CJ8b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42">
      <text>
        <t xml:space="preserve">INVOICE PADI / HANYA PERMINTAAN NO BASE ON FAKTUR DARI PADI
======</t>
      </text>
    </comment>
    <comment authorId="0" ref="J113">
      <text>
        <t xml:space="preserve">======
ID#AAABteBdSVw
asyraf kpgeothermal    (2025-09-12 02:19:32)
Dobel invoice dengan alif , masih di FU ke masing2 PIC</t>
      </text>
    </comment>
  </commentList>
  <extLst>
    <ext uri="GoogleSheetsCustomDataVersion2">
      <go:sheetsCustomData xmlns:go="http://customooxmlschemas.google.com/" r:id="rId1" roundtripDataSignature="AMtx7miTb+8+KGYbMfkdh4C1kgRLOhGwSg=="/>
    </ext>
  </extLst>
</comments>
</file>

<file path=xl/sharedStrings.xml><?xml version="1.0" encoding="utf-8"?>
<sst xmlns="http://schemas.openxmlformats.org/spreadsheetml/2006/main" count="6181" uniqueCount="2507">
  <si>
    <t>Nomor Invoice</t>
  </si>
  <si>
    <t>Tanggal</t>
  </si>
  <si>
    <t>Nomor Projek</t>
  </si>
  <si>
    <t>Nomor Faktur</t>
  </si>
  <si>
    <t>Offering Item</t>
  </si>
  <si>
    <t>DPP</t>
  </si>
  <si>
    <t>Profit</t>
  </si>
  <si>
    <t>PPN</t>
  </si>
  <si>
    <t>Total Setelah PPN</t>
  </si>
  <si>
    <t>Status Bayar</t>
  </si>
  <si>
    <t>Nilai Invoice yang dibayar</t>
  </si>
  <si>
    <t>PE25-001</t>
  </si>
  <si>
    <t>KE24-100</t>
  </si>
  <si>
    <t>Pengadaan Jasa Keperluan Business Support Karaha Periode 2024-2025</t>
  </si>
  <si>
    <t>12.221.440</t>
  </si>
  <si>
    <t>123.325.440</t>
  </si>
  <si>
    <t>PAID</t>
  </si>
  <si>
    <t>PE25-002</t>
  </si>
  <si>
    <t>KE24-090</t>
  </si>
  <si>
    <t>Jasa Perbaikan Pagging System PLTP Unit 1 Area Karaha</t>
  </si>
  <si>
    <t>5.036.724</t>
  </si>
  <si>
    <t>50.825.124</t>
  </si>
  <si>
    <t>PE25-003</t>
  </si>
  <si>
    <t>KE24-101</t>
  </si>
  <si>
    <t>Jasa Tambahan Sewa Kendaraan Operasional Area Karaha Periode Desember 2024</t>
  </si>
  <si>
    <t>1.693.339</t>
  </si>
  <si>
    <t>17.087.329</t>
  </si>
  <si>
    <t>PE25-004</t>
  </si>
  <si>
    <t>KE24-095</t>
  </si>
  <si>
    <t>Jasa Penunjang Biaya Operasional Fungsi SCM PGE Area Karaha Desember 2024</t>
  </si>
  <si>
    <t>1.832.908</t>
  </si>
  <si>
    <t>18.495.708</t>
  </si>
  <si>
    <t>PE25-005</t>
  </si>
  <si>
    <t>KE25-002</t>
  </si>
  <si>
    <t>Jasa Sewa Kendaraan Agenda Site Visit FS Proyek Flare PPI Januari 2025</t>
  </si>
  <si>
    <t>1.307.428</t>
  </si>
  <si>
    <t>13.193.138</t>
  </si>
  <si>
    <t>PE25-006</t>
  </si>
  <si>
    <t>Jasa EO Apresiasi Health Campaign Implementasi FTW dan IFP Lomba Jagjag Waringkas Tahun 2024</t>
  </si>
  <si>
    <t>5.451.600</t>
  </si>
  <si>
    <t>55.011.600</t>
  </si>
  <si>
    <t>BATAL</t>
  </si>
  <si>
    <t>PE25-007</t>
  </si>
  <si>
    <t>KE24-099</t>
  </si>
  <si>
    <t>Jasa Repair Dan Modifikasi Positioner CV After Condenser Area Karaha</t>
  </si>
  <si>
    <t>5.445.000</t>
  </si>
  <si>
    <t>54.945.000</t>
  </si>
  <si>
    <t>PE25-008</t>
  </si>
  <si>
    <t>KE24-098</t>
  </si>
  <si>
    <t>Jasa Repair Dan Modifikasi Positioner CV HWP PGE Area Kraha</t>
  </si>
  <si>
    <t>5.490.100</t>
  </si>
  <si>
    <t>55.400.100</t>
  </si>
  <si>
    <t>PE25-009</t>
  </si>
  <si>
    <t>KE24-087</t>
  </si>
  <si>
    <t>Pengadaan Material emergency PGE Area Karaha</t>
  </si>
  <si>
    <t>7.983.215</t>
  </si>
  <si>
    <t>80.557.897</t>
  </si>
  <si>
    <t>PE25-010</t>
  </si>
  <si>
    <t>KE25-009</t>
  </si>
  <si>
    <t>Pengadaan Revitalisasi Tools SAMS dan Civils Modeling Area Karaha</t>
  </si>
  <si>
    <t>9.812.615</t>
  </si>
  <si>
    <t>99.018.205</t>
  </si>
  <si>
    <t>PE25-011</t>
  </si>
  <si>
    <t>KE25-008</t>
  </si>
  <si>
    <t>Jasa Pembuatan Video 3D Animasi Safety Induction PGE Area Karaha</t>
  </si>
  <si>
    <t>10.731.600</t>
  </si>
  <si>
    <t>108.291.600</t>
  </si>
  <si>
    <t>PE25-012</t>
  </si>
  <si>
    <t>KE24-016</t>
  </si>
  <si>
    <t>Jasa Sewa Kendaraan Agenda MWT PLTBg dan PLTS Sei Mengkei PPI Periode Desember 2024</t>
  </si>
  <si>
    <t>6.184.285</t>
  </si>
  <si>
    <t>PE25-013</t>
  </si>
  <si>
    <t>Jasa Sewa Kendaraan Agenda Site Visit FS Proyek Flare PPI Desember 2024</t>
  </si>
  <si>
    <t>1.747.428</t>
  </si>
  <si>
    <t>17.633.140</t>
  </si>
  <si>
    <t>PE25-014</t>
  </si>
  <si>
    <t>Jasa Sewa Kendaraan PPI Periode Desember 2024</t>
  </si>
  <si>
    <t>2.388.571</t>
  </si>
  <si>
    <t>24.102.853</t>
  </si>
  <si>
    <t>PE25-015</t>
  </si>
  <si>
    <t>Jasa Sewa Kendaraan Agenda Kunnjungan Lapangan PLTS Badak 4 PPI Desember 2024</t>
  </si>
  <si>
    <t>1.282.285</t>
  </si>
  <si>
    <t>12.939.423</t>
  </si>
  <si>
    <t>PE25-016</t>
  </si>
  <si>
    <t>KE25-007</t>
  </si>
  <si>
    <t>Jasa Pendukung Kegiatan Survey Lokasi Cluster dan Infrastuktur Lumut Balai Ekstention Tahun 2025</t>
  </si>
  <si>
    <t>11.127.966</t>
  </si>
  <si>
    <t>112.291.290</t>
  </si>
  <si>
    <t>PE25-017</t>
  </si>
  <si>
    <t>KE25-006</t>
  </si>
  <si>
    <t>Jasa Supporting Pemindahan Preassure Chamber dari Proyek Bukit Daun Area Kamijang</t>
  </si>
  <si>
    <t>4.784.320</t>
  </si>
  <si>
    <t>48.278.137</t>
  </si>
  <si>
    <t>PE25-018</t>
  </si>
  <si>
    <t>KE24-169</t>
  </si>
  <si>
    <t>Jasa Penunjang Operasional Transportasi Fungsi SCM Kantor Pusat Periode Januari 2025</t>
  </si>
  <si>
    <t>5.109.500</t>
  </si>
  <si>
    <t>51.559.500</t>
  </si>
  <si>
    <t>PE25-019</t>
  </si>
  <si>
    <t>Tenaga Kerja</t>
  </si>
  <si>
    <t>Tagihan Upah "Pengadaan Jasa Tenaga Ahli Daya Wellsite Geologist PT Pertamina Geothermal Energy Nomor Perjanjian 4600003810 Tanggal 17 Mei 2023" Periode Januari 2025</t>
  </si>
  <si>
    <t>9.389.567</t>
  </si>
  <si>
    <t>94.749.269</t>
  </si>
  <si>
    <t>PE25-020</t>
  </si>
  <si>
    <t>Tagihan Dinas "Pengadaan Jasa Tenaga Ahli Daya Wellsite Geologist PT Pertamina Geothermal Energy Nomor Perjanjian 4600003810 Tanggal 17 Mei 2023" Periode Januari 2025</t>
  </si>
  <si>
    <t>5.796.681</t>
  </si>
  <si>
    <t>58.493.781</t>
  </si>
  <si>
    <t>PE25-021</t>
  </si>
  <si>
    <t>Tagihan Upah "Pengadaan Jasa Tenaga Alih Daya (TAD) Proyek Bukit Daun - Hululais Extention PT Pertamina Geothermal Energy Nomor Perjanjian 3900555563 tanggal 30 Desember 2024 Periode Januari 2025</t>
  </si>
  <si>
    <t>2.784.154</t>
  </si>
  <si>
    <t>28.094.650</t>
  </si>
  <si>
    <t>PE25-022</t>
  </si>
  <si>
    <t>Jasa Manajemen Pengelolaan Dokumen PPN Reimbursement Periode Desember 2024</t>
  </si>
  <si>
    <t>8.205.120</t>
  </si>
  <si>
    <t>PE25-023</t>
  </si>
  <si>
    <t>Jasa Manajemen Pengelolaan Dokumen PPN Reimbursement Periode Januari 2025</t>
  </si>
  <si>
    <t>PE25-024</t>
  </si>
  <si>
    <t>KE25-004</t>
  </si>
  <si>
    <t xml:space="preserve">PENGADAAN BRANKAS FUNGSI CORPORATE FINANCE PT PGE
</t>
  </si>
  <si>
    <t>3.322.000</t>
  </si>
  <si>
    <t>33.522.000</t>
  </si>
  <si>
    <t>PE25-025</t>
  </si>
  <si>
    <t>KE25-010</t>
  </si>
  <si>
    <t>Jasa Pendukung Kegiatan Survey Pengambilan Server Sampel Geokimia dan Pemetaan Drone Project Gunung TIga 2025</t>
  </si>
  <si>
    <t>21.870.337</t>
  </si>
  <si>
    <t>220.691.585</t>
  </si>
  <si>
    <t>PE25-026</t>
  </si>
  <si>
    <t>KE24-096</t>
  </si>
  <si>
    <t>Pengadaan Perlengkapan Kerja Tahun 2024 PGE Area Karaha</t>
  </si>
  <si>
    <t>17.243.072</t>
  </si>
  <si>
    <t>173.998.272</t>
  </si>
  <si>
    <t>PE25-027</t>
  </si>
  <si>
    <t>KE24-097</t>
  </si>
  <si>
    <t>Pengadaan Perlengkapan Olahraga 2024 Dalam Rangka Program Jagjag Area Karaha</t>
  </si>
  <si>
    <t>14.784.000</t>
  </si>
  <si>
    <t>149.184.000</t>
  </si>
  <si>
    <t>PE25-028</t>
  </si>
  <si>
    <t>KE25-016</t>
  </si>
  <si>
    <t>JASA SEWA KENDARAAN AGENDA KUNJUNGAN DINAS KE DUMAI PPI PERIODE FEBRUARI</t>
  </si>
  <si>
    <t>5.074.285</t>
  </si>
  <si>
    <t>PE25-029</t>
  </si>
  <si>
    <t>JASA SEWA KENDARAAN AGENDA KUNJUNGAN LAPANGAN KE RU III PLAJU PPI FEBRUARI 2025</t>
  </si>
  <si>
    <t>3.551.999</t>
  </si>
  <si>
    <t>PE25-030</t>
  </si>
  <si>
    <t>JASA SEWA KENDARAAN AGENDA SITE VISIT PLTS PPI PERIODE FEBRUARI 2025</t>
  </si>
  <si>
    <t>PE25-031</t>
  </si>
  <si>
    <t>Jasa Penunjang Operasional Fungsi SCM Kantor Pusat PGE Periode Februari 2025</t>
  </si>
  <si>
    <t>5.594.899</t>
  </si>
  <si>
    <t>56.457.619</t>
  </si>
  <si>
    <t>PE25-032</t>
  </si>
  <si>
    <t>KE25-018</t>
  </si>
  <si>
    <t>Jasa Pemasangan Aksesoris DFR PGE Area Karaha</t>
  </si>
  <si>
    <t>3.819.200</t>
  </si>
  <si>
    <t>38.539.200</t>
  </si>
  <si>
    <t>PE25-033</t>
  </si>
  <si>
    <t>Tagihan Upah "Pengadaan Jasa Tenaga Ahli Daya Wellsite Geologist PT Pertamina Geothermal Energy Nomor Perjanjian 4600003810 Tanggal 17 Mei 2023" Periode Februari 2025</t>
  </si>
  <si>
    <t>9.398.232</t>
  </si>
  <si>
    <t>94.836.708</t>
  </si>
  <si>
    <t>PE25-034</t>
  </si>
  <si>
    <t>Tagihan Upah "Pengadaan Jasa Tenaga Alih Daya (TAD) Proyek Bukit Daun - Hululais Extention PT Pertamina Geothermal Energy Nomor Perjanjian 3900555563 tanggal 30 Desember 2024 Periode Februari 2025</t>
  </si>
  <si>
    <t>2.777.883</t>
  </si>
  <si>
    <t>28.031.360</t>
  </si>
  <si>
    <t>PE25-035</t>
  </si>
  <si>
    <t>Jasa Manajemen Pengelolaan Dokumen PPN Reimbursement Periode Februari 2025</t>
  </si>
  <si>
    <t>PE25-036</t>
  </si>
  <si>
    <t>KE25-020</t>
  </si>
  <si>
    <t>Pengadaan Jasa Keperluan Business Support Karaha Periode 2024-2025 Periode Januari 2025</t>
  </si>
  <si>
    <t>10.577.311</t>
  </si>
  <si>
    <t>106.734.687</t>
  </si>
  <si>
    <t>PE25-037</t>
  </si>
  <si>
    <t>KE25-019</t>
  </si>
  <si>
    <t>Jasa Tambahan Sewa Kendaraan Operasional Area Karaha Periode Februari 2025</t>
  </si>
  <si>
    <t>2.217.600</t>
  </si>
  <si>
    <t>22.377.600</t>
  </si>
  <si>
    <t>PE25-038</t>
  </si>
  <si>
    <t>Tagihan Dinas "Pengadaan Jasa Tenaga Ahli Daya Wellsite Geologist PT Pertamina Geothermal Energy Nomor Perjanjian 4600003810 Tanggal 17 Mei 2023" Periode Februari 2025</t>
  </si>
  <si>
    <t>6.094.869</t>
  </si>
  <si>
    <t>61.502.766</t>
  </si>
  <si>
    <t>PE25-039</t>
  </si>
  <si>
    <t>KE25-015</t>
  </si>
  <si>
    <t>Jasa Pendukung Kegiatan Survey Manifestasi Area Lumut Balai 2025</t>
  </si>
  <si>
    <t>11.308.443</t>
  </si>
  <si>
    <t>114.112.468</t>
  </si>
  <si>
    <t>PE25-040</t>
  </si>
  <si>
    <t>KE143</t>
  </si>
  <si>
    <t>Tagihan Periode Desember 2025 Pengadaan Jasa Sewa Dispenser Penyediaan Air Minum Kantor Pusat PGE</t>
  </si>
  <si>
    <t>1.656.600</t>
  </si>
  <si>
    <t>16.716.600</t>
  </si>
  <si>
    <t>PE25-041</t>
  </si>
  <si>
    <t>Tagihan Periode Jan - Feb  2025 Pengadaan Jasa Sewa Dispenser Penyediaan Air Minum Kantor Pusat PGE</t>
  </si>
  <si>
    <t>4.039.200</t>
  </si>
  <si>
    <t>40.759.200</t>
  </si>
  <si>
    <t>PE25-042</t>
  </si>
  <si>
    <t>Tagihan Jasa Penyelesaian Administrasi Fungsi Treausry Management Periode Januar 2025</t>
  </si>
  <si>
    <t>8.180.700</t>
  </si>
  <si>
    <t>PE25-043</t>
  </si>
  <si>
    <t>Tagihan Jasa Penyelesaian Administrasi Fungsi Treausry Management Periode Februari 2025</t>
  </si>
  <si>
    <t>PE25-044</t>
  </si>
  <si>
    <t>KE24-075</t>
  </si>
  <si>
    <t>LMB Jasa Operasional Tahap 3 2025</t>
  </si>
  <si>
    <t>9.176.321</t>
  </si>
  <si>
    <t>92.597.422</t>
  </si>
  <si>
    <t>PE25-045</t>
  </si>
  <si>
    <t> KE24-024</t>
  </si>
  <si>
    <t>Pengadaan Jasa Operasional Kendaraan Ringan Penumpang dan Operasional SCM PGE Area Lumut Balai</t>
  </si>
  <si>
    <t>7.095.000</t>
  </si>
  <si>
    <t>71.595.000</t>
  </si>
  <si>
    <t>PE25-046</t>
  </si>
  <si>
    <t>Tagihan THR "Pengadaan Jasa Tenaga Ahli Daya Wellsite Geologist PT Pertamina Geothermal Energy Nomor Perjanjian 4600003810 Tanggal 17 Mei 2023" Periode Tahun 2025</t>
  </si>
  <si>
    <t>7.711.882</t>
  </si>
  <si>
    <t>77.819.897</t>
  </si>
  <si>
    <t>PE25-047</t>
  </si>
  <si>
    <t>KE25-021</t>
  </si>
  <si>
    <t>Pengadaan Jasa Keperluan Bussines Support Area Karaha Periode 2024-2025 Februari 2025</t>
  </si>
  <si>
    <t>96.310.544</t>
  </si>
  <si>
    <t>971.860.944</t>
  </si>
  <si>
    <t>PE25-048</t>
  </si>
  <si>
    <t>KE24-024</t>
  </si>
  <si>
    <t>Pengadaan Jasa Operasional Kendaraan Ringan Penumpang dan Operasional SCM PGE Area Lumut Balai Maret 2025</t>
  </si>
  <si>
    <t>5.912.500</t>
  </si>
  <si>
    <t>59.662.500</t>
  </si>
  <si>
    <t>PE25-049</t>
  </si>
  <si>
    <t>Tagihan Upah "Pengadaan Jasa Tenaga Alih Daya (TAD) Proyek Bukit Daun - Hululais Extention PT Pertamina Geothermal Energy Nomor Perjanjian 3900555563 tanggal 30 Desember 2024 Periode Maret 2025</t>
  </si>
  <si>
    <t>2.941.193</t>
  </si>
  <si>
    <t>29.679.316</t>
  </si>
  <si>
    <t>PE25-050</t>
  </si>
  <si>
    <t>Tagihan Upah "Pengadaan Jasa Tenaga Ahli Daya Wellsite Geologist PT Pertamina Geothermal Energy Nomor Perjanjian 4600003810 Tanggal 17 Mei 2023" Periode Maret 2025</t>
  </si>
  <si>
    <t>2.321.855</t>
  </si>
  <si>
    <t>23.429.624</t>
  </si>
  <si>
    <t>PE25-051</t>
  </si>
  <si>
    <t>Tagihan Dinas "Pengadaan Jasa Tenaga Ahli Daya Wellsite Geologist PT Pertamina Geothermal Energy Nomor Perjanjian 4600003810 Tanggal 17 Mei 2023" Periode Maret 2025</t>
  </si>
  <si>
    <t>1.870.088</t>
  </si>
  <si>
    <t>18.870.888</t>
  </si>
  <si>
    <t>PE25-052</t>
  </si>
  <si>
    <t>KE25-023</t>
  </si>
  <si>
    <t>Jasa Pekerjaan Asesmen Radio Komunikasi PGE Area Ululbelu</t>
  </si>
  <si>
    <t>3.643.200</t>
  </si>
  <si>
    <t>36.763.200</t>
  </si>
  <si>
    <t>PE25-053</t>
  </si>
  <si>
    <t>KE25-013</t>
  </si>
  <si>
    <t>Tagihan Periode Januari sd Maret 2025 Jasa Pembuatan Video komunikasi</t>
  </si>
  <si>
    <t>4.291.233</t>
  </si>
  <si>
    <t>43.302.440</t>
  </si>
  <si>
    <t>PE25-054</t>
  </si>
  <si>
    <t>KE25-012</t>
  </si>
  <si>
    <t>Jasa Dokumentasi dan Pembuatan Video Event 
Sharing Session , Copywriter Surprise Desk, CEO Letter 
dan Materi Digital Activist G-Bionic"</t>
  </si>
  <si>
    <t>4.325.207</t>
  </si>
  <si>
    <t>43.645.271</t>
  </si>
  <si>
    <t>PE25-055</t>
  </si>
  <si>
    <t>Tagihan Biaya Dinas "Pengadaan Jasa Tenaga Kerja Pekarya Di Fungsi Project Development  PT. Pertamina Geothermal Energy " TAD Hululais untuk Proyek Bukit Daun Periode Januari 2025</t>
  </si>
  <si>
    <t>1.725.867</t>
  </si>
  <si>
    <t>17.415.567</t>
  </si>
  <si>
    <t>PE25-056</t>
  </si>
  <si>
    <t>Jasa Sewa Kendaraan dan Corporate Enggagement Project Expose to Power RU VI Balongan 2025</t>
  </si>
  <si>
    <t>3.805.714</t>
  </si>
  <si>
    <t>PE25-057</t>
  </si>
  <si>
    <t>Jasa Sewa Kendaraan dan Corporate Agenda Monittoring PLTS RU Balikpapan 2025</t>
  </si>
  <si>
    <t>1.382.857</t>
  </si>
  <si>
    <t>13.954.282</t>
  </si>
  <si>
    <t>PE25-058</t>
  </si>
  <si>
    <t>Jasa Sewa Kendaraan Agenda Site Visit dan Monitorng Proyek RU Balikpapan 2025</t>
  </si>
  <si>
    <t>3.167.999</t>
  </si>
  <si>
    <t>31.967.990</t>
  </si>
  <si>
    <t>PE25-059</t>
  </si>
  <si>
    <t>Jasa Sewa Kendaraan Agenda Site Visit dan Monitorng Proyek RU V Balikpapan 2025</t>
  </si>
  <si>
    <t>PE25-060</t>
  </si>
  <si>
    <t>94/5/25</t>
  </si>
  <si>
    <t>Jasa Sewa Kendaraan Agenda Preventive Maintenence MV Panel</t>
  </si>
  <si>
    <t>1.030.857</t>
  </si>
  <si>
    <t>10.402.283</t>
  </si>
  <si>
    <t>PE25-061</t>
  </si>
  <si>
    <t>Jasa Sewa Kendaraan Agenda Persiapan Energized PLTS</t>
  </si>
  <si>
    <t>1.232.000</t>
  </si>
  <si>
    <t>12.431.996</t>
  </si>
  <si>
    <t>PE25-062</t>
  </si>
  <si>
    <t>Jasa Sewa Kendaraan Agenda Joint Infection GEG RU Dumai Tahap II Proyek Flare Gas</t>
  </si>
  <si>
    <t>2.765.714</t>
  </si>
  <si>
    <t>27.908.567</t>
  </si>
  <si>
    <t>PE25-063</t>
  </si>
  <si>
    <t>Jasa Sewa Kendaraan Agenda Site Visit Proyek PLTS PGN Sutami 2025</t>
  </si>
  <si>
    <t>7.611.427</t>
  </si>
  <si>
    <t>PE25-064</t>
  </si>
  <si>
    <t>Jasa Penunjang Operasional Transportasi Fungsi SCM PGE Periode Februari 2025</t>
  </si>
  <si>
    <t>5.594.903</t>
  </si>
  <si>
    <t>56.457.653</t>
  </si>
  <si>
    <t>PE25-065</t>
  </si>
  <si>
    <t>Jasa Sewa Kendaraan Agenda Safari Ramadhan</t>
  </si>
  <si>
    <t>8.069.580</t>
  </si>
  <si>
    <t>PE25-066</t>
  </si>
  <si>
    <t>Jasa Manajemen Pengelolaan Dokumen PPN Reimbursement Periode Maret 2025</t>
  </si>
  <si>
    <t>PE25-067</t>
  </si>
  <si>
    <t>Pengadaan Jasa Penunjang Fungsi Quality Management untuk Penyusunan STK di Kantor Pusat PT Pertamina Geothermal Energy No. Perjanjian 3900555529 tanggal 19 Maret 2025 Periode Jan-Mar 25</t>
  </si>
  <si>
    <t>2.821.500</t>
  </si>
  <si>
    <t>28.471.500</t>
  </si>
  <si>
    <t>PE25-068</t>
  </si>
  <si>
    <t>Tagihan Jasa Penyelesaian Administrasi Fungsi Treasury Management Periode Maret 2025</t>
  </si>
  <si>
    <t>PE25-069</t>
  </si>
  <si>
    <t>KE25-022</t>
  </si>
  <si>
    <t>Jasa Pekerjaan Penunjang Pengukuran Geomatics Pemetaan Batas Lahan Gunung Tiga 2025</t>
  </si>
  <si>
    <t>22.250.670</t>
  </si>
  <si>
    <t>224.529.485</t>
  </si>
  <si>
    <t>PE25-070</t>
  </si>
  <si>
    <t>Jasa Sewa Kendaraan Pengembangan Proyek NEBS dan Rencana Kunjungan Lapangan Ke Wilayah Otorita Ibu Kota Nusantara</t>
  </si>
  <si>
    <t>3.557.714</t>
  </si>
  <si>
    <t>35.900.564</t>
  </si>
  <si>
    <t>PE25-071</t>
  </si>
  <si>
    <t>Pengadaan Jasa Administrasi Penyusunan Laporan AP Dan SR (APSR) No. Perjanjian.3900555670 Tanggal 23 Desember 2024 Periode Januari 2025</t>
  </si>
  <si>
    <t>1.654.657</t>
  </si>
  <si>
    <t>16.696.993</t>
  </si>
  <si>
    <t>PE25-072</t>
  </si>
  <si>
    <t>Pengadaan Jasa Administrasi Penyusunan Laporan AP Dan SR (APSR) No. Perjanjian.3900555670 Tanggal 23 Desember 2024 Periode Februari 2025</t>
  </si>
  <si>
    <t>1.287.041</t>
  </si>
  <si>
    <t>12.987.418</t>
  </si>
  <si>
    <t>PE25-073</t>
  </si>
  <si>
    <t>Pengadaan Jasa Administrasi Penyusunan Laporan AP Dan SR (APSR) No. Perjanjian.3900555670 Tanggal 23 Desember 2024 Periode Maret 2025</t>
  </si>
  <si>
    <t>PE25-074</t>
  </si>
  <si>
    <t>KE-165</t>
  </si>
  <si>
    <t>Pengadaan Jasa Penyewaan Kendaraan Roda Dua Proyek Hululais Maret 2025</t>
  </si>
  <si>
    <t>1.345.313</t>
  </si>
  <si>
    <t>13.575.433</t>
  </si>
  <si>
    <t>PE25-075</t>
  </si>
  <si>
    <t>Pengadaan Jasa Penyewaan Kendaraan Roda Dua Proyek Hululais Februari 2025</t>
  </si>
  <si>
    <t>PE25-076</t>
  </si>
  <si>
    <t>Pengadaan Jasa Penyewaan Kendaraan Roda Dua Proyek Hululais Januari 2025</t>
  </si>
  <si>
    <t>1.512.403</t>
  </si>
  <si>
    <t>15.261.523</t>
  </si>
  <si>
    <t>PE25-077</t>
  </si>
  <si>
    <t>Pengadaan Jasa Penyewaan Kendaraan Roda Dua Proyek Hululais Desember 2024</t>
  </si>
  <si>
    <t>PE25-078</t>
  </si>
  <si>
    <t>KE25-003</t>
  </si>
  <si>
    <t>Pengadaan Jasa Pekerjaan Penunjang Kegiatan Proyek Hululais</t>
  </si>
  <si>
    <t>12.500.132</t>
  </si>
  <si>
    <t>126.137.695</t>
  </si>
  <si>
    <t>PE25-079</t>
  </si>
  <si>
    <t>Pengadaan Jasa Penunjang Fungsi Quality Management untuk Penyusunan STK di Kantor Pusat PT Pertamina Geothermal Energy No. Perjanjian 3900555529 tanggal 19 Maret 2025 Periode April 2025</t>
  </si>
  <si>
    <t>9.490.500</t>
  </si>
  <si>
    <t>PE25-080</t>
  </si>
  <si>
    <t> KE25-001</t>
  </si>
  <si>
    <t>Microearthquake Area Kamojang Periode 01 Jan - 28 Feb 2025</t>
  </si>
  <si>
    <t>8.740.667</t>
  </si>
  <si>
    <t>88.201.277</t>
  </si>
  <si>
    <t>PE25-081</t>
  </si>
  <si>
    <t>Microearthquake Area Karaha Periode 01 Jan - 28 Feb 2025</t>
  </si>
  <si>
    <t>9.025.252</t>
  </si>
  <si>
    <t>91.072.998</t>
  </si>
  <si>
    <t>PE25-082</t>
  </si>
  <si>
    <t>Microearthquake Area Lahendong Periode 01 Jan - 28 Feb 2025</t>
  </si>
  <si>
    <t>7.902.980</t>
  </si>
  <si>
    <t>79.748.254</t>
  </si>
  <si>
    <t>PE25-083</t>
  </si>
  <si>
    <t>Microearthquake Area Lumut Balai Periode 01 Jan - 28 Feb 2025</t>
  </si>
  <si>
    <t>10.218.096</t>
  </si>
  <si>
    <t>103.109.875</t>
  </si>
  <si>
    <t>PE25-084</t>
  </si>
  <si>
    <t>Microearthquake Area Ulubelu  Periode 01 Jan - 28 Feb 2025</t>
  </si>
  <si>
    <t>6.165.865</t>
  </si>
  <si>
    <t>62.219.180</t>
  </si>
  <si>
    <t>PE25-085</t>
  </si>
  <si>
    <t>Jasa Manajemen Pengelolaan Dokumen PPN Reimbursement Periode April 2025</t>
  </si>
  <si>
    <t>PE25-086</t>
  </si>
  <si>
    <t>29/4/25</t>
  </si>
  <si>
    <t>KE25-031</t>
  </si>
  <si>
    <t>Jasa Sewa Kendaraan Site Visit RU PPI Periode Maret 2025</t>
  </si>
  <si>
    <t>PE25-087</t>
  </si>
  <si>
    <t>Tagihan Upah "Pengadaan Jasa Tenaga Alih Daya (TAD) Proyek Bukit Daun - Hululais Extention PT Pertamina Geothermal Energy Nomor Perjanjian 3900555563 tanggal 30 Desember 2024 Periode April 2025</t>
  </si>
  <si>
    <t>2.949.605</t>
  </si>
  <si>
    <t>29.764.192</t>
  </si>
  <si>
    <t>PE25-088</t>
  </si>
  <si>
    <t>Pengadaan Jasa Administrasi Penyusunan Laporan AP Dan SR (APSR) No. Perjanjian.3900555670 Tanggal 23 Desember 2024 Periode April 2025</t>
  </si>
  <si>
    <t>PE25-089</t>
  </si>
  <si>
    <t>KE165</t>
  </si>
  <si>
    <t>Sewa Motor Hululais</t>
  </si>
  <si>
    <t>PE25-090</t>
  </si>
  <si>
    <t>KE25-034</t>
  </si>
  <si>
    <t>Jasa pemasangan lampu kabut 8 unit KRP dan jasa pemasangan 2 unit dashcam di 2 unit KRP PT PGE area karaha</t>
  </si>
  <si>
    <t>3.740.352</t>
  </si>
  <si>
    <t>37.743.552</t>
  </si>
  <si>
    <t>PE25-091</t>
  </si>
  <si>
    <t>KE25-024</t>
  </si>
  <si>
    <t>Jasa Kalibrasi Tangki dan Tera Fuel Dispenser 2 Nozel PT PGE Area Karaha</t>
  </si>
  <si>
    <t>3.757.600</t>
  </si>
  <si>
    <t>37.917.600</t>
  </si>
  <si>
    <t>PE25-092</t>
  </si>
  <si>
    <t xml:space="preserve">KE25-032
</t>
  </si>
  <si>
    <t>Jasa Tambahan Sewa Kendaraan Operasional Area Karaha Periode Maret 2025</t>
  </si>
  <si>
    <t>1.620.881</t>
  </si>
  <si>
    <t>16.356.161</t>
  </si>
  <si>
    <t>PE25-093</t>
  </si>
  <si>
    <t>KE25-033</t>
  </si>
  <si>
    <t>JASA PENUNJANG BIAYA OPERASIONAL FUNGSI SCM PT PERTAMINA GEOTHERMAL ENERGY AREA KARAHA februari 2025</t>
  </si>
  <si>
    <t>1.897.500</t>
  </si>
  <si>
    <t>19.147.500</t>
  </si>
  <si>
    <t>PE25-094</t>
  </si>
  <si>
    <t>TAGIHA  JASA PENYELESAIAN ADMINISTRASI FUNGSI TREASURY MANAGEMENT PERIODE MEI 2025</t>
  </si>
  <si>
    <t>PE25-095</t>
  </si>
  <si>
    <t>JASA PENUNJANG OPERASIONAL TRANSPORTASI Fungsi SCM PGE Periode April 2025</t>
  </si>
  <si>
    <t>PE25-096</t>
  </si>
  <si>
    <t>PENGADAAN JASA OPERASIONAL KRP DAN OPERASIONAL SCM AREA LUMUT BALAI PERIODE APRIL 2025</t>
  </si>
  <si>
    <t>PE25-097</t>
  </si>
  <si>
    <t>KE25-036</t>
  </si>
  <si>
    <t>PENGANDAAN JASA KEPERLUAN BUSINESS SUPPORT AREA KARAHA PERIODE 2024-2025 MARET 2025</t>
  </si>
  <si>
    <t>4.419.800</t>
  </si>
  <si>
    <t>44.599.800</t>
  </si>
  <si>
    <t>PE25-098</t>
  </si>
  <si>
    <t>KE25-037</t>
  </si>
  <si>
    <t>PENGANDAAN JASA KEPERLUAN BUSINESS SUPPORT AREA KARAHA PERIODE 2024-2025 APRIL 2025</t>
  </si>
  <si>
    <t>9.630.544</t>
  </si>
  <si>
    <t>97.180.944</t>
  </si>
  <si>
    <t>PE25-099</t>
  </si>
  <si>
    <t>KE25-039</t>
  </si>
  <si>
    <t>JASA PERBAIKAN AKTUATOR EDV-KRH</t>
  </si>
  <si>
    <t>1.663.200</t>
  </si>
  <si>
    <t>16.783.200</t>
  </si>
  <si>
    <t>PE25-100</t>
  </si>
  <si>
    <t>JASA PEKERJAAN PENUNJANG PENGUKURAN GEOMATICS PEMETAAN BATAS LAHAN GUNUNG TIGA 2025</t>
  </si>
  <si>
    <t>21.531.157</t>
  </si>
  <si>
    <t>217.268.949</t>
  </si>
  <si>
    <t>PE25-101</t>
  </si>
  <si>
    <t>KE25-001</t>
  </si>
  <si>
    <t>MEQ AREA KAMOJANG</t>
  </si>
  <si>
    <t>7.451.351</t>
  </si>
  <si>
    <t>75.190.902</t>
  </si>
  <si>
    <t>PE25-102</t>
  </si>
  <si>
    <t>MEQ AREA KARAHA</t>
  </si>
  <si>
    <t>9.952.927</t>
  </si>
  <si>
    <t>100.434.078</t>
  </si>
  <si>
    <t>PE25-103</t>
  </si>
  <si>
    <t>MEQ AREA LAHENDONG</t>
  </si>
  <si>
    <t>13.274.809</t>
  </si>
  <si>
    <t>133.954.892</t>
  </si>
  <si>
    <t>PE25-104</t>
  </si>
  <si>
    <t>MEQ AREA LUMUT BALAI</t>
  </si>
  <si>
    <t>10.351.914</t>
  </si>
  <si>
    <t>104.460.220</t>
  </si>
  <si>
    <t>PE25-105</t>
  </si>
  <si>
    <t>MEQ AREA ULUBELU</t>
  </si>
  <si>
    <t>8.203.291</t>
  </si>
  <si>
    <t>82.778.668</t>
  </si>
  <si>
    <t>PE25-106</t>
  </si>
  <si>
    <t>PENGADAAN JASA PENYEWAAN KENDARAAN RODA DUA PROYEK HLS APRIL 2025</t>
  </si>
  <si>
    <t>1.239.920</t>
  </si>
  <si>
    <t>12.511.920</t>
  </si>
  <si>
    <t>PE25-107</t>
  </si>
  <si>
    <t>KE25-030</t>
  </si>
  <si>
    <t>TAGIHAN PERIODE APR-MEI 2025 JASA MAINTENCE APLIKASI SISTEM ALLOCATION</t>
  </si>
  <si>
    <t>3.746.635</t>
  </si>
  <si>
    <t>37.806.955</t>
  </si>
  <si>
    <t>PE25-108</t>
  </si>
  <si>
    <t>Jasa Sewa Kendaraan Agenda Pelaksanaan Management Walkthrought Sei Mengkei</t>
  </si>
  <si>
    <t>PE25-109</t>
  </si>
  <si>
    <t>Jasa Sewa Kendaraan Agenda PSSR PLTS</t>
  </si>
  <si>
    <t>2.287.999</t>
  </si>
  <si>
    <t>23.087.993</t>
  </si>
  <si>
    <t>PE25-110</t>
  </si>
  <si>
    <t>Jasa Sewa Kendaraan Agenda Site VIsit Proyek MWT Ulubelu 2025</t>
  </si>
  <si>
    <t>1.370.285</t>
  </si>
  <si>
    <t>13.827.425</t>
  </si>
  <si>
    <t>PE25-111</t>
  </si>
  <si>
    <t>Jasa Sewa Kendaraan Agenda Site VIsit EPCC PLTS 3</t>
  </si>
  <si>
    <t>8.879.997</t>
  </si>
  <si>
    <t>PE25-112</t>
  </si>
  <si>
    <t>Pengadaan Jasa OperaSIONAL KRP DAN OPERASIONAL SCM AREA LUMUT BALAI PERIODE MEI 2025</t>
  </si>
  <si>
    <t>PE25-113</t>
  </si>
  <si>
    <t>LMB , Jasa Operasioanal Tahap 4 2025</t>
  </si>
  <si>
    <t>23.493.972</t>
  </si>
  <si>
    <t>237.075.533</t>
  </si>
  <si>
    <t>PE25-114</t>
  </si>
  <si>
    <t>Jasa Penunjang operasional transportasi Fungsi SCM Mei 2025</t>
  </si>
  <si>
    <t>PE25-115</t>
  </si>
  <si>
    <t>Tagihan Upah "Pengadaan Jasa Tenaga Alih Daya (TAD) Proyek Bukit Daun - Hululais Extention PT Pertamina Geothermal Energy Nomor Perjanjian 3900555563 tanggal 30 Desember 2024 Periode Mei 2025</t>
  </si>
  <si>
    <t>2.941.194</t>
  </si>
  <si>
    <t>29.679.317</t>
  </si>
  <si>
    <t>PE25-116</t>
  </si>
  <si>
    <t>Pengadaan Jasa Administrasi Penyusunan Laporan AP Dan SR (APSR) No. Perjanjian.3900555670 Tanggal 23 Desember 2024 Periode Mei 2025</t>
  </si>
  <si>
    <t>PE25-117</t>
  </si>
  <si>
    <t>KE25-041</t>
  </si>
  <si>
    <t>BBM NON RFID PGE KANTOR PUSAT</t>
  </si>
  <si>
    <t>5.060.000</t>
  </si>
  <si>
    <t>51.060.000</t>
  </si>
  <si>
    <t>PE25-118</t>
  </si>
  <si>
    <t>Pengadaan Jasa Penunjang Fungsi Quality Management untuk Penyusunan STK di Kantor Pusat PT Pertamina Geothermal Energy No. Perjanjian 3900555529 tanggal 19 Maret 2025 Periode Mei 2025</t>
  </si>
  <si>
    <t>PE25-119</t>
  </si>
  <si>
    <t>JASA PENYELESAIAN ADMINISTRASI FUNGSI TREASURY MANAGEMENT PERIODE MEI 2025</t>
  </si>
  <si>
    <t>PE25-120</t>
  </si>
  <si>
    <t>asa Manajemen Pengelolaan Dokumen PPN Reimbursement Periode  Mei 2025</t>
  </si>
  <si>
    <t>8.804.520</t>
  </si>
  <si>
    <t>PE25-121</t>
  </si>
  <si>
    <t>KE25-043</t>
  </si>
  <si>
    <t>Jasa Penunjang Operasional Fungsi SCM Area Karaha</t>
  </si>
  <si>
    <t>PE25-122</t>
  </si>
  <si>
    <t>KE25-048</t>
  </si>
  <si>
    <t>Jasa Relokasi dan splicing kabel power TLG</t>
  </si>
  <si>
    <t>PE25-123</t>
  </si>
  <si>
    <t>KE25-044</t>
  </si>
  <si>
    <t>Jasa Tambahan Sewa Kendaraan Operasional Area karaha April 2025</t>
  </si>
  <si>
    <t>1.478.400</t>
  </si>
  <si>
    <t>14.918.400</t>
  </si>
  <si>
    <t>PE25-124</t>
  </si>
  <si>
    <t>agihan Perlengkapan Kerja "Pengadaan Jasa Tenaga Alih Daya (TAD) Proyek Bukit Daun - Hululais Extention PT Pertamina Geothermal Energy Nomor Perjanjian 3900555563 tanggal 30 Desember 2024 Periode 2025</t>
  </si>
  <si>
    <t>1.622.630</t>
  </si>
  <si>
    <t>16.373.810</t>
  </si>
  <si>
    <t>PE25-125</t>
  </si>
  <si>
    <t>Tagihan THR "Pengadaan Jasa Tenaga Alih Daya (TAD) Proyek Bukit Daun - Hululais Extention PT Pertamina Geothermal Energy Nomor Perjanjian 3900555563 tanggal 30 Desember 2024 Periode 2025</t>
  </si>
  <si>
    <t>2.582.088</t>
  </si>
  <si>
    <t>26.055.617</t>
  </si>
  <si>
    <t>PE25-126</t>
  </si>
  <si>
    <t>KE25-040</t>
  </si>
  <si>
    <t>Jasa Instalasi Telemtri sistem micro</t>
  </si>
  <si>
    <t>5.431.690</t>
  </si>
  <si>
    <t>54.810.690</t>
  </si>
  <si>
    <t>PE25-127</t>
  </si>
  <si>
    <t>KE25-047</t>
  </si>
  <si>
    <t>Jasa Pemeliharan Kabel FO Kantor utama PLTP area karaha</t>
  </si>
  <si>
    <t>3.057.135</t>
  </si>
  <si>
    <t>30.849.274</t>
  </si>
  <si>
    <t>PE25-128</t>
  </si>
  <si>
    <t>Jasa Sosialisasi Uji Sumur Area Karaha</t>
  </si>
  <si>
    <t>5.488.560</t>
  </si>
  <si>
    <t>55.384.560</t>
  </si>
  <si>
    <t>PE25-129</t>
  </si>
  <si>
    <t>KE25-014</t>
  </si>
  <si>
    <t>Jasa Penyediaan Fasilitas Pendukung Kegiatan Tracer Test dan TFT Mandiri Tahap - 9 2025</t>
  </si>
  <si>
    <t>9.754.105</t>
  </si>
  <si>
    <t>98.427.785</t>
  </si>
  <si>
    <t>PE25-130</t>
  </si>
  <si>
    <t>Pengadaan jasa keperluan business support area karaha Mei 2025</t>
  </si>
  <si>
    <t>7.635.929</t>
  </si>
  <si>
    <t>77.053.464</t>
  </si>
  <si>
    <t>PE25-131</t>
  </si>
  <si>
    <t>PENGADAAN JASA SEWA DISPENSER Dan PENYEDIAAN AIR MINUM KANTOR PUSAT PT PGE April - Mei 2025</t>
  </si>
  <si>
    <t>3.797.200</t>
  </si>
  <si>
    <t>38.317.200</t>
  </si>
  <si>
    <t>PE25-132</t>
  </si>
  <si>
    <t>KE25-053</t>
  </si>
  <si>
    <t>Pengadaan Jasa Perbaikan Aktuator rotork PLTP area karaha</t>
  </si>
  <si>
    <t>4.275.040</t>
  </si>
  <si>
    <t>43.139.040</t>
  </si>
  <si>
    <t>PE25-133</t>
  </si>
  <si>
    <t>KE25-051</t>
  </si>
  <si>
    <t>Jasa Sewa Mobile Crane 25 ton untuk persiapan uji sumur</t>
  </si>
  <si>
    <t>7.453.600</t>
  </si>
  <si>
    <t>75.213.600</t>
  </si>
  <si>
    <t>PE25-134</t>
  </si>
  <si>
    <t>KE25-045</t>
  </si>
  <si>
    <t>Pengadaan perlengkapan licence dan material BS PGE area karaha</t>
  </si>
  <si>
    <t>9.930.487</t>
  </si>
  <si>
    <t>100.207.639</t>
  </si>
  <si>
    <t>PE25-135</t>
  </si>
  <si>
    <t>KE25-028</t>
  </si>
  <si>
    <t>Jasa Penyediaan Fasilitas Pendukung Kegiatan Tracer Test dan TFT Mandiri Tahap - 10 2025</t>
  </si>
  <si>
    <t>6.849.419</t>
  </si>
  <si>
    <t>69.116.868</t>
  </si>
  <si>
    <t>PE25-136</t>
  </si>
  <si>
    <t>Jasa Pendukung Kegiatan Rutin Operasional Proyek Sungai Penuh Periode Jul - Desember 2024</t>
  </si>
  <si>
    <t>2.482.076</t>
  </si>
  <si>
    <t>25.046.407</t>
  </si>
  <si>
    <t>PE25-137</t>
  </si>
  <si>
    <t>Tagihan Upah "Pengadaan Jasa Tenaga Alih Daya (TAD) Proyek Bukit Daun - Hululais Extention PT Pertamina Geothermal Energy Nomor Perjanjian 3900555563 tanggal 30 Desember 2024 Periode Juni 2025</t>
  </si>
  <si>
    <t>PE25-138</t>
  </si>
  <si>
    <t>Pengadaan Jasa Administrasi Penunjang Penyusunan Laporan Tahunan (AR) Dan Laporan Keberlanjutan (SR) PT PGE TBK Tahun 2025 No. Perjanjian.3900555670 Tanggal 23 Desember 2024 Periode Juni 2025</t>
  </si>
  <si>
    <t>PE25-139</t>
  </si>
  <si>
    <t>Pengadaan Jasa Penunjang Fungsi Quality Management untuk Penyusunan STK di Kantor Pusat PT Pertamina Geothermal Energy No. Perjanjian 3900555529 tanggal 19 Maret 2025 Periode Juni 2025</t>
  </si>
  <si>
    <t>PE25-140</t>
  </si>
  <si>
    <t>Tagihan Dinas dan Lembur "Pengadaan Jasa Tenaga Alih Daya (TAD) Proyek Bukit Daun - Hululais Extention PT Pertamina Geothermal Energy Nomor Perjanjian 3900555563 tanggal 30 Desember 2024 Periode Januari - Juni 2025</t>
  </si>
  <si>
    <t>14.005.656</t>
  </si>
  <si>
    <t>141.329.805</t>
  </si>
  <si>
    <t>PE25-141</t>
  </si>
  <si>
    <t>KE25-029</t>
  </si>
  <si>
    <t>JASA KEGIATAN CHANGE MANAGEMENT PROJECT G-BIONIC</t>
  </si>
  <si>
    <t>1.008.686</t>
  </si>
  <si>
    <t>10.178.556</t>
  </si>
  <si>
    <t>PE25-142</t>
  </si>
  <si>
    <t> KE25-002</t>
  </si>
  <si>
    <t>Jasa Sewa Kendaraan Kegiatan Survei Lapangan Proyek PLTS Sei Mengkei</t>
  </si>
  <si>
    <t>5.221.440</t>
  </si>
  <si>
    <t>PE25-143</t>
  </si>
  <si>
    <t>Jasa Sewa Kendaraan Kegiatan Andwijizing Proyek PLTS Sei Mengkei</t>
  </si>
  <si>
    <t>1.034.880</t>
  </si>
  <si>
    <t>10.442.880</t>
  </si>
  <si>
    <t>PE25-144</t>
  </si>
  <si>
    <t>Jasa Sewa Kendaraan Kegiatan Customer Visit dan Cek Persiapan Peresmian PLTS RU V Balikpapan</t>
  </si>
  <si>
    <t>2.433.325</t>
  </si>
  <si>
    <t>24.554.458</t>
  </si>
  <si>
    <t>PE25-145</t>
  </si>
  <si>
    <t>Jasa Sewa Kendaraan Kegiatan Custesy Visit Fungsi Reliability Service</t>
  </si>
  <si>
    <t>1.219.680</t>
  </si>
  <si>
    <t>12.307.680</t>
  </si>
  <si>
    <t>PE25-146</t>
  </si>
  <si>
    <t>Jasa Sewa Kendaraan Agenda Workshop &amp; Sharing Kowladge Operation &amp; Maintence Wter Treatment</t>
  </si>
  <si>
    <t>1.268.960</t>
  </si>
  <si>
    <t>12.804.960</t>
  </si>
  <si>
    <t>PE25-147</t>
  </si>
  <si>
    <t>KE25-058</t>
  </si>
  <si>
    <t>Sewa Mobil Periode Juli 2024</t>
  </si>
  <si>
    <t>3.008.500</t>
  </si>
  <si>
    <t>30.358.500</t>
  </si>
  <si>
    <t>PE25-148</t>
  </si>
  <si>
    <t>KE25-057</t>
  </si>
  <si>
    <t>Blank Card ID Card</t>
  </si>
  <si>
    <t>4.609.000</t>
  </si>
  <si>
    <t>46.509.000</t>
  </si>
  <si>
    <t>PE25-149</t>
  </si>
  <si>
    <t>Tagihan Dinas: "Pengadaan Jasa Legal Drafter Penunjang Pekerjaan Fungsi Legal &amp; Compliance No. Perjanjian 3900548966 Tanggal 01 Agustus 2024" Periode Nov - Jun 25</t>
  </si>
  <si>
    <t>3.341.834</t>
  </si>
  <si>
    <t>33.722.146</t>
  </si>
  <si>
    <t>PE25-150</t>
  </si>
  <si>
    <t>TAGIHAN JASA PENYELESAIAN ADMINISTRASI FUNGSI TREASURY MANAGEMENT PERIODE JUNI 2025</t>
  </si>
  <si>
    <t>PE25-151</t>
  </si>
  <si>
    <t>JASA ARSIPARIS DAN DOKUMENTASI FINANCING PGE FEBRUARI - JUNI 2025</t>
  </si>
  <si>
    <t>4.537.500</t>
  </si>
  <si>
    <t>45.787.500</t>
  </si>
  <si>
    <t>PE25-152</t>
  </si>
  <si>
    <t>Jasa Manajemen Pengelolaan Dokumen PPN Reimbursement Periode Juni 2025</t>
  </si>
  <si>
    <t>PE25-153</t>
  </si>
  <si>
    <t>KE25-055</t>
  </si>
  <si>
    <t>Jasa General Services Proyek Eksplorasi Ulubelu Extention 1</t>
  </si>
  <si>
    <t>7.332.053</t>
  </si>
  <si>
    <t>73.987.079</t>
  </si>
  <si>
    <t>PE25-154</t>
  </si>
  <si>
    <t>KE25-038</t>
  </si>
  <si>
    <t>Jasa Pengelolaan dan Kontrol Dokumen Proyek Pemipaan Karaha</t>
  </si>
  <si>
    <t>8.057.280</t>
  </si>
  <si>
    <t>81.305.280</t>
  </si>
  <si>
    <t>PE25-155</t>
  </si>
  <si>
    <t>Pengadaan jasa operasional kendaraan ringan dan operasional PGE area Lumut Balai</t>
  </si>
  <si>
    <t>PE25-155-1</t>
  </si>
  <si>
    <t>KE25-059</t>
  </si>
  <si>
    <t>Jaket Timberland WR</t>
  </si>
  <si>
    <t>8.697.674</t>
  </si>
  <si>
    <t>87.767.434</t>
  </si>
  <si>
    <t>PE25-156</t>
  </si>
  <si>
    <t>Jasa Penunjang Operasional Transportasi Fungsi SCM Periode Juni 2025</t>
  </si>
  <si>
    <t>PE25-157</t>
  </si>
  <si>
    <t>14/7/25</t>
  </si>
  <si>
    <t>KE25-061</t>
  </si>
  <si>
    <t>Jasa Sewa Kendaraan Rapat PPI-KPI Periode Juli 2025</t>
  </si>
  <si>
    <t>1.596.571</t>
  </si>
  <si>
    <t>16.110.854</t>
  </si>
  <si>
    <t>PE25-158</t>
  </si>
  <si>
    <t>17/7/25</t>
  </si>
  <si>
    <t>MEQ Area Kamojang 1 Mei - 30 Juni 2025</t>
  </si>
  <si>
    <t>8.307.150</t>
  </si>
  <si>
    <t>83.826.693</t>
  </si>
  <si>
    <t>PE25-159</t>
  </si>
  <si>
    <t>MEQ Area Karaha1 Mei - 30 Juni 2025</t>
  </si>
  <si>
    <t>4.617.220</t>
  </si>
  <si>
    <t>46.591.945</t>
  </si>
  <si>
    <t>PE25-160</t>
  </si>
  <si>
    <t>MEQ Area Lahendong 1 Mei - 30 Juni 2025</t>
  </si>
  <si>
    <t>7.268.073</t>
  </si>
  <si>
    <t>73.341.466</t>
  </si>
  <si>
    <t>PE25-161</t>
  </si>
  <si>
    <t>MEQ Area Lumut Balai 1 Mei - 30 Juni 2025</t>
  </si>
  <si>
    <t>10.505.062</t>
  </si>
  <si>
    <t>106.005.628</t>
  </si>
  <si>
    <t>PE25-162</t>
  </si>
  <si>
    <t>MEQ Area Ulubelu 1 Mei - 30 Juni 2025</t>
  </si>
  <si>
    <t>6.191.745</t>
  </si>
  <si>
    <t>62.480.333</t>
  </si>
  <si>
    <t>PE25-163</t>
  </si>
  <si>
    <t>22/7/25</t>
  </si>
  <si>
    <t>KE25-062</t>
  </si>
  <si>
    <t>Jasa Mobilisasi Demobilisasi dan pegamanan crane 25 ton</t>
  </si>
  <si>
    <t>2.648.800</t>
  </si>
  <si>
    <t>26.728.800</t>
  </si>
  <si>
    <t>PE25-164</t>
  </si>
  <si>
    <t>KE25-065</t>
  </si>
  <si>
    <t>Jasa sewa crane 250 ton</t>
  </si>
  <si>
    <t>4.804.800</t>
  </si>
  <si>
    <t>48.484.800</t>
  </si>
  <si>
    <t>PE25-165</t>
  </si>
  <si>
    <t>KE25-063</t>
  </si>
  <si>
    <t>Jasa coating wellhead sumur krh 5 PT PGE Karaha</t>
  </si>
  <si>
    <t>5.482.400</t>
  </si>
  <si>
    <t>55.322.400</t>
  </si>
  <si>
    <t>PE25-166</t>
  </si>
  <si>
    <t>KE25-064</t>
  </si>
  <si>
    <t>Pengadaan jasa perbaikan weather system area karaha</t>
  </si>
  <si>
    <t>1.978.460</t>
  </si>
  <si>
    <t>19.964.460</t>
  </si>
  <si>
    <t>PE25-167</t>
  </si>
  <si>
    <t>KE25-066</t>
  </si>
  <si>
    <t>Jasa penanganan pohon rawan tumbang area karaha</t>
  </si>
  <si>
    <t>5.499.648</t>
  </si>
  <si>
    <t>55.496.448</t>
  </si>
  <si>
    <t>PE25-168</t>
  </si>
  <si>
    <t>KE25-067</t>
  </si>
  <si>
    <t>Jasa penunjang operasional facility  management area karaha mei 2025</t>
  </si>
  <si>
    <t>9.170.376</t>
  </si>
  <si>
    <t>PE25-169</t>
  </si>
  <si>
    <t>KE25-068</t>
  </si>
  <si>
    <t>Jasa sewa tambahan kendaraan operasional area karaha mei - juni 2025</t>
  </si>
  <si>
    <t>2.870.560</t>
  </si>
  <si>
    <t>28.966.560</t>
  </si>
  <si>
    <t>PE25-170</t>
  </si>
  <si>
    <t>KE25-070</t>
  </si>
  <si>
    <t>Jasa sewa tambahan kendaraan operasional area karaha juni - juli 2025</t>
  </si>
  <si>
    <t>2.519.440</t>
  </si>
  <si>
    <t>25.423.440</t>
  </si>
  <si>
    <t>PE25-171</t>
  </si>
  <si>
    <t>KE25-069</t>
  </si>
  <si>
    <t>Jasa penunjang operasional facility  management area karaha juni 2025</t>
  </si>
  <si>
    <t>PE25-172</t>
  </si>
  <si>
    <t>Pengadaan jasa pekerjaan penunjang kegiatan proyek HLS</t>
  </si>
  <si>
    <t>17.194.754</t>
  </si>
  <si>
    <t>173.510.695</t>
  </si>
  <si>
    <t>PE25-173</t>
  </si>
  <si>
    <t>23/7/25</t>
  </si>
  <si>
    <t>KE24-073</t>
  </si>
  <si>
    <t>Pengadaan jasa HSSE koordinator PGE area ulubelu</t>
  </si>
  <si>
    <t>17.250.118</t>
  </si>
  <si>
    <t>174.069.374</t>
  </si>
  <si>
    <t>PE25-174</t>
  </si>
  <si>
    <t>25/7/25</t>
  </si>
  <si>
    <t>Pengadaan jasa pekerjaan penunjang kegiatan proyek HLS Maret - April 2025</t>
  </si>
  <si>
    <t>12.713.246</t>
  </si>
  <si>
    <t>128.288.209</t>
  </si>
  <si>
    <t>PE25-175</t>
  </si>
  <si>
    <t>KE25-071</t>
  </si>
  <si>
    <t>Jasa support kegiatan stakeholder engagement olahraga bersama 2025 Area Karaha</t>
  </si>
  <si>
    <t>5.485.480</t>
  </si>
  <si>
    <t>55.353.480</t>
  </si>
  <si>
    <t>PE25-176</t>
  </si>
  <si>
    <t>Tagihan Upah "Pengadaan Jasa Tenaga Alih Daya (TAD) Proyek Bukit Daun - Hululais Extention PT Pertamina Geothermal Energy Nomor Perjanjian 3900555563 tanggal 30 Desember 2024 Periode Juli 2025</t>
  </si>
  <si>
    <t>2.963.623</t>
  </si>
  <si>
    <t>29.905.651</t>
  </si>
  <si>
    <t>PE25-177</t>
  </si>
  <si>
    <t>Pengadaan Jasa Administrasi Penunjang Penyusunan Laporan Tahunan (AR) Dan Laporan Keberlanjutan (SR) PT PGE TBK Tahun 2025 No. Perjanjian.3900555670 Tanggal 23 Desember 2024 Periode Juli 2025</t>
  </si>
  <si>
    <t>PE25-178</t>
  </si>
  <si>
    <t>Pengadaan Jasa Penunjang Fungsi Quality Management untuk Penyusunan STK di Kantor Pusat PT Pertamina Geothermal Energy No. Perjanjian 3900555529 tanggal 19 Maret 2025 Periode Juli 2025</t>
  </si>
  <si>
    <t>PE25-179</t>
  </si>
  <si>
    <t>Tagihan Upah "Pengadaan Jasa Konsultan Audit Support No. 3900556018" Periode Juli 2025</t>
  </si>
  <si>
    <t>2.561.798</t>
  </si>
  <si>
    <t>25.850.870</t>
  </si>
  <si>
    <t>PE25-180</t>
  </si>
  <si>
    <t>KE25-079</t>
  </si>
  <si>
    <t>Pengadaan jasa keperluan bussines support area karaha periode 2024-2025</t>
  </si>
  <si>
    <t>9.080.072</t>
  </si>
  <si>
    <t>91.626.183</t>
  </si>
  <si>
    <t>PE25-181</t>
  </si>
  <si>
    <t>KE25-080</t>
  </si>
  <si>
    <t>Jasa Perbaikan Heater NaOH dan Motor Blowdown Pit Pump Area Karaha</t>
  </si>
  <si>
    <t>3.302.699</t>
  </si>
  <si>
    <t>33.327.239</t>
  </si>
  <si>
    <t>PE25-182</t>
  </si>
  <si>
    <t>Jasa Dokumentasi dan Pembuatan Video Event 
Sharing Session , Copywriter Surprise Desk, CEO Letter 
dan Materi Digital Activist G-Bionic</t>
  </si>
  <si>
    <t>1.081.302</t>
  </si>
  <si>
    <t>10.911.318</t>
  </si>
  <si>
    <t>PE25-183</t>
  </si>
  <si>
    <t>Jasa Pembuatan video Komunikasi , Copywriter Broadcast dan Corporate Wall per April</t>
  </si>
  <si>
    <t>PE25-184</t>
  </si>
  <si>
    <t>Jasa Kegiatan Change Management Project Gbionic</t>
  </si>
  <si>
    <t>PE25-185</t>
  </si>
  <si>
    <t>Jasa Penyediaan Tools Pengembangan Laporan Berbasis Crystal Report</t>
  </si>
  <si>
    <t>2.788.339</t>
  </si>
  <si>
    <t>28.136.873</t>
  </si>
  <si>
    <t>PE25-186</t>
  </si>
  <si>
    <t>KE25-035</t>
  </si>
  <si>
    <t>Jasa Fitting Out Ruang Vice President</t>
  </si>
  <si>
    <t>4.044.667</t>
  </si>
  <si>
    <t>40.814.370</t>
  </si>
  <si>
    <t>PE25-187</t>
  </si>
  <si>
    <t>KE25-078</t>
  </si>
  <si>
    <t>Pekerjaan Radiography Test Pipa Header KRH 5</t>
  </si>
  <si>
    <t>3.080.000</t>
  </si>
  <si>
    <t>31.080.000</t>
  </si>
  <si>
    <t>PE25-188</t>
  </si>
  <si>
    <t>Jasa penunjang operasional transportasi fungsi SC &amp; FM kantor pusat Juli 2025</t>
  </si>
  <si>
    <t>PE25-189</t>
  </si>
  <si>
    <t>Pengadaan jasa operasional kendaraan ringan penumpang (KRP) dan operasional SCM Area lumut balai</t>
  </si>
  <si>
    <t>PE25-190</t>
  </si>
  <si>
    <t>Jasa Penunjang Kegiatan Sampling dan Trcer Flow Test (TFT) pada Kegiatan Uji Produksi di Area Sibayak</t>
  </si>
  <si>
    <t>5.451.821</t>
  </si>
  <si>
    <t>55.013.834</t>
  </si>
  <si>
    <t>PE25-191</t>
  </si>
  <si>
    <t>Jasa Pengiriman Peralatan dan Sampel kegiatan Uji Produksi Sibayak</t>
  </si>
  <si>
    <t>4.681.215</t>
  </si>
  <si>
    <t>47.237.716</t>
  </si>
  <si>
    <t>PE25-192</t>
  </si>
  <si>
    <t>KE25-083</t>
  </si>
  <si>
    <t>Jasa pengelolaan operasional kantor area karaha periode juni - juli 2025</t>
  </si>
  <si>
    <t>PE25-193</t>
  </si>
  <si>
    <t>KE25-084</t>
  </si>
  <si>
    <t>Pengadaan jasa keperluan business support area karaha periode 2024-2025</t>
  </si>
  <si>
    <t>9.641.632</t>
  </si>
  <si>
    <t>97.292.832</t>
  </si>
  <si>
    <t>PE25-194</t>
  </si>
  <si>
    <t>20/8/25</t>
  </si>
  <si>
    <t>Jasa sewa kendaraan agenda curtesy visit KPB</t>
  </si>
  <si>
    <t>PE25-195</t>
  </si>
  <si>
    <t>Jasa sewa kendaraan agenda site visit TPPI dan RU VI Balongan</t>
  </si>
  <si>
    <t>1.508.571</t>
  </si>
  <si>
    <t>15.222.857</t>
  </si>
  <si>
    <t>PE25-196</t>
  </si>
  <si>
    <t>Jasa sewa kendaraan agenda site visit PLTP area lumut balai</t>
  </si>
  <si>
    <t>9.514.284</t>
  </si>
  <si>
    <t>PE25-197</t>
  </si>
  <si>
    <t>Jasa sewa kendaraan agenda aktivitas sampling aren</t>
  </si>
  <si>
    <t>1.809.029</t>
  </si>
  <si>
    <t>18.254.742</t>
  </si>
  <si>
    <t>PE25-198</t>
  </si>
  <si>
    <t>21/8/25</t>
  </si>
  <si>
    <t>Jasa sewa kendaraan agenda site survey ker RU II dumai proyek FTP dan GEG RU II Dumai</t>
  </si>
  <si>
    <t>PE25-199</t>
  </si>
  <si>
    <t>Jasa sewa kendaraan agenda site visit RU Dumai Project GEG 6.5 MWp</t>
  </si>
  <si>
    <t>15.222.855</t>
  </si>
  <si>
    <t>PE25-200</t>
  </si>
  <si>
    <t>Jasa Sewa Kendaraan Agenda Pelaksanaan Kegiatan Survei Lapangan PLTP Area Karaha</t>
  </si>
  <si>
    <t>4.059.428</t>
  </si>
  <si>
    <t>PE25-201</t>
  </si>
  <si>
    <t>Jasa sewa kendaraan agenda site visit &amp; diskusi pola proyek GEG PAG</t>
  </si>
  <si>
    <t>1.760.000</t>
  </si>
  <si>
    <t>17.759.997</t>
  </si>
  <si>
    <t>PE25-202</t>
  </si>
  <si>
    <t>Jasa sewa kendaraan agenda site visit dan diskusi pola operasi proyek GEG</t>
  </si>
  <si>
    <t>PE25-203</t>
  </si>
  <si>
    <t xml:space="preserve">Jasa Peningkatan Kapabilitas Administrator System IT PT. Pertamina Geothermal
Energi Tbk 
</t>
  </si>
  <si>
    <t>5.499.910</t>
  </si>
  <si>
    <t>55.499.095</t>
  </si>
  <si>
    <t>PE25-204</t>
  </si>
  <si>
    <t>Jasa sewa kendaraan penyediaan fasilitas sewa kendaraan di palembang</t>
  </si>
  <si>
    <t>7.611.426</t>
  </si>
  <si>
    <t>PE25-205</t>
  </si>
  <si>
    <t>Jasa sewa kendaraan penyedia fasilitas sewa kendaraan pengembangan proyek NEBS dan rencana kunjungan lapangan  OIKN</t>
  </si>
  <si>
    <t>3.796.571</t>
  </si>
  <si>
    <t>38.310.848</t>
  </si>
  <si>
    <t>PE25-206</t>
  </si>
  <si>
    <t>22/8/25</t>
  </si>
  <si>
    <t>KE25-076</t>
  </si>
  <si>
    <t>Jasa pekerjaan penunjang pengukuran sumur slimhole sh1</t>
  </si>
  <si>
    <t>2.558.205</t>
  </si>
  <si>
    <t>25.814.611</t>
  </si>
  <si>
    <t>PE25-207</t>
  </si>
  <si>
    <t>15/8/25</t>
  </si>
  <si>
    <t>KE24-009</t>
  </si>
  <si>
    <t xml:space="preserve">JASA PENDUKUNG KEGIATAN RUTIN OPERASIONAL PROYEK SUNGAI
PENUH PERIODE : JAN SD JULI 2025
</t>
  </si>
  <si>
    <t>3.351.955</t>
  </si>
  <si>
    <t>33.824.275</t>
  </si>
  <si>
    <t>PE25-208</t>
  </si>
  <si>
    <t>27/8/25</t>
  </si>
  <si>
    <t>KE25-077</t>
  </si>
  <si>
    <t>Jasa Pendukung Kegiatan Survey Identifikasi dan Kajian Potensi Geohazard HLS 2025</t>
  </si>
  <si>
    <t>11.770.871</t>
  </si>
  <si>
    <t>118.778.788</t>
  </si>
  <si>
    <t>PE25-209</t>
  </si>
  <si>
    <t>Pengadaan jasa operasional kendaraan ringan penumpang (KRP) dan operasional SCM Area lumut balai Periode agustus 2025</t>
  </si>
  <si>
    <t>5.321.250</t>
  </si>
  <si>
    <t>53.696.250</t>
  </si>
  <si>
    <t>PE25-210</t>
  </si>
  <si>
    <t>Jasa penunjang operasional transportasi fungsu SCM kantor pusat PGE periode agustus 2025</t>
  </si>
  <si>
    <t>PE25-211</t>
  </si>
  <si>
    <t>Pengadaan perlengkapan kerja PGE area Ulubelu Tahun 2025</t>
  </si>
  <si>
    <t>53.240.000</t>
  </si>
  <si>
    <t>537.240.000</t>
  </si>
  <si>
    <t>PE25-212</t>
  </si>
  <si>
    <t>KE25-046</t>
  </si>
  <si>
    <t>Jasa Eco Eduwisata kampung kopi dan kopi combine</t>
  </si>
  <si>
    <t>4.928.000</t>
  </si>
  <si>
    <t>49.728.000</t>
  </si>
  <si>
    <t>PE25-213</t>
  </si>
  <si>
    <t>KE25-090</t>
  </si>
  <si>
    <t>Pengadaan Jasa penunjang kerja tahun 2025 PGE area Karaha</t>
  </si>
  <si>
    <t>32.814.322</t>
  </si>
  <si>
    <t>331.126.342</t>
  </si>
  <si>
    <t>PE25-214</t>
  </si>
  <si>
    <t>KE25-088</t>
  </si>
  <si>
    <t>Jasa isi ulang gas kebutuhan wellding area karaha</t>
  </si>
  <si>
    <t>5.420.800</t>
  </si>
  <si>
    <t>54.700.800</t>
  </si>
  <si>
    <t>PE25-215</t>
  </si>
  <si>
    <t>KE25-089</t>
  </si>
  <si>
    <t>Jasa penunjang biaya OPERASIONAL FUNGSI SCM PT PERTAMINA GEOTHERMAL ENERGY AREA KARAHA Juli 2025</t>
  </si>
  <si>
    <t>PE25-216</t>
  </si>
  <si>
    <t>KE25-086</t>
  </si>
  <si>
    <t>Jasa sewa crane untuk support revitalitasasi GES persiapan stern - in</t>
  </si>
  <si>
    <t>5.183.995</t>
  </si>
  <si>
    <t>52.311.221</t>
  </si>
  <si>
    <t>PE25-217</t>
  </si>
  <si>
    <t>KE25-087</t>
  </si>
  <si>
    <t>jasa penunjang sosialisasi pembersihan</t>
  </si>
  <si>
    <t>PE25-218</t>
  </si>
  <si>
    <t>Tagihan Upah "Pengadaan Jasa Tenaga Alih Daya (TAD) Proyek Bukit Daun - Hululais Extention PT Pertamina Geothermal Energy Nomor Perjanjian 3900555563 tanggal 30 Desember 2024 Periode Agustus 2025</t>
  </si>
  <si>
    <t>2.951.203</t>
  </si>
  <si>
    <t>29.780.316</t>
  </si>
  <si>
    <t>PE25-219</t>
  </si>
  <si>
    <t>Pengadaan Jasa Administrasi Penunjang Penyusunan Laporan Tahunan (AR) Dan Laporan Keberlanjutan (SR) PT PGE TBK Tahun 2025 No. Perjanjian.3900555670 Tanggal 23 Desember 2024 Periode Agustus 2025</t>
  </si>
  <si>
    <t>PE25-220</t>
  </si>
  <si>
    <t>Pengadaan Jasa Penunjang Fungsi Quality Management untuk Penyusunan STK di Kantor Pusat PT Pertamina Geothermal Energy No. Perjanjian 3900555529 tanggal 19 Maret 2025 Periode Agustus 2025</t>
  </si>
  <si>
    <t>PE25-221</t>
  </si>
  <si>
    <t>Jasa Manajemen Pengelolaan Dokumen PPN Reimbursement agustus 2025</t>
  </si>
  <si>
    <t>PE25-222</t>
  </si>
  <si>
    <t>Pengadaan Jasa Legal Drafter Penunjang Pekerjaan Fungsi Legal &amp; Compliance No. Perjanjian 3900548966 Tanggal 01 Agustus 2024" Periode 2025 (THR, BHR, MAPS)</t>
  </si>
  <si>
    <t>2.565.598</t>
  </si>
  <si>
    <t>25.889.216</t>
  </si>
  <si>
    <t>PE25-223</t>
  </si>
  <si>
    <t>KE25-085</t>
  </si>
  <si>
    <t>Jasa sewa kendaraan kunjuangan MA ke kantor PGE Lahendong</t>
  </si>
  <si>
    <t>1.775.999</t>
  </si>
  <si>
    <t>PE25-224</t>
  </si>
  <si>
    <t>Jasa sewa kendaraan kunjungan di jogja</t>
  </si>
  <si>
    <t>PE25-225</t>
  </si>
  <si>
    <t>Tagihan jasa penyelesaian adminisitrasi fungsi treasury management periode juli - agustus 2025</t>
  </si>
  <si>
    <t>1.363.488</t>
  </si>
  <si>
    <t>13.758.833</t>
  </si>
  <si>
    <t>PE25-226</t>
  </si>
  <si>
    <t>MEQ Area Kamojang Periode 01 Juli - 31 Agustus 2025</t>
  </si>
  <si>
    <t>9.951.061</t>
  </si>
  <si>
    <t>100.415.251</t>
  </si>
  <si>
    <t>PE25-227</t>
  </si>
  <si>
    <t>MEQ Area Karaha 01 Juli - 31 Agustus 2025</t>
  </si>
  <si>
    <t>4.374.184</t>
  </si>
  <si>
    <t>44.139.491</t>
  </si>
  <si>
    <t>PE25-228</t>
  </si>
  <si>
    <t>MEQ Area Lahendong 01 Juli - 31 Agustus 2025</t>
  </si>
  <si>
    <t>6.959.006</t>
  </si>
  <si>
    <t>70.222.701</t>
  </si>
  <si>
    <t>PE25-229</t>
  </si>
  <si>
    <t>MEQ Area Lumut Balai 01 Juli - 31 Agustus 2025</t>
  </si>
  <si>
    <t>9.641.719</t>
  </si>
  <si>
    <t>97.293.710</t>
  </si>
  <si>
    <t>PE25-230</t>
  </si>
  <si>
    <t>MEQ Area Ulubelu 01 Juli - 31 Agustus 2025</t>
  </si>
  <si>
    <t>6.176.070</t>
  </si>
  <si>
    <t>62.322.165</t>
  </si>
  <si>
    <t>PE25-231</t>
  </si>
  <si>
    <t>Jasa sewa kendaraan agenda join survey lokasi renovasi power house PLTS main office</t>
  </si>
  <si>
    <t>2.011.428</t>
  </si>
  <si>
    <t>20.297.136</t>
  </si>
  <si>
    <t>PE25-232</t>
  </si>
  <si>
    <t>Jasa sewa kendaraan agenda courtesy visit RU III plaju</t>
  </si>
  <si>
    <t>PE25-233</t>
  </si>
  <si>
    <t>Jasa sewa kendaraan agenda pendampingan MWT dan persiapan pelaksanaan PLTS tahap II sei mengkei</t>
  </si>
  <si>
    <t>9.641.143</t>
  </si>
  <si>
    <t>PE25-234</t>
  </si>
  <si>
    <t>Jasa sewa kendaraan agenda kunjungan MWT Komut Holding ke PLTS Cilacap</t>
  </si>
  <si>
    <t>PE25-235</t>
  </si>
  <si>
    <t>KE25-101</t>
  </si>
  <si>
    <t>Jasa penunjang biaya operasional fungsi SCM  PGE Area Karaha juli 2025</t>
  </si>
  <si>
    <t>1.568.600</t>
  </si>
  <si>
    <t>15.828.600</t>
  </si>
  <si>
    <t>PE25-236</t>
  </si>
  <si>
    <t>KE25-100</t>
  </si>
  <si>
    <t>Jasa Sewa Kendaraan Operasional Area Karaha</t>
  </si>
  <si>
    <t>1.884.960</t>
  </si>
  <si>
    <t>19.020.960</t>
  </si>
  <si>
    <t>PE25-237</t>
  </si>
  <si>
    <t>KE25-102</t>
  </si>
  <si>
    <t>Jasa Troubleshoot DFR PLTP Karaha Unit-1</t>
  </si>
  <si>
    <t>PE25-238</t>
  </si>
  <si>
    <t>KE25-103</t>
  </si>
  <si>
    <t>Jasa rekonfigurasi sistem komunikasi pasca penambahan peralatan peminpaan di TLG 3</t>
  </si>
  <si>
    <t>4.004.000</t>
  </si>
  <si>
    <t>40.404.000</t>
  </si>
  <si>
    <t>PE25-239</t>
  </si>
  <si>
    <t>KE25-104</t>
  </si>
  <si>
    <t>Pengadaan Jasa keperluan  busines support area Karaha Periode 2024 - 2025 agustus 2025</t>
  </si>
  <si>
    <t>14.541.894</t>
  </si>
  <si>
    <t>146.740.928</t>
  </si>
  <si>
    <t>PE25-240</t>
  </si>
  <si>
    <t>Jasa arSIPARIS DAN DOKUMENTASI FINANCING PGE FEBRUARI - Agustus 2025</t>
  </si>
  <si>
    <t>9.217.163</t>
  </si>
  <si>
    <t>PE25-241</t>
  </si>
  <si>
    <t>17/9/25</t>
  </si>
  <si>
    <t>KE25-074</t>
  </si>
  <si>
    <t>Jasa Penanganan Sosial Masyarakat Tahap 1 Area PPKH Proyek Gunung Tiga</t>
  </si>
  <si>
    <t>131.447.491</t>
  </si>
  <si>
    <t>1.326.424.681</t>
  </si>
  <si>
    <t>PE25-242</t>
  </si>
  <si>
    <t>18/9/25</t>
  </si>
  <si>
    <t xml:space="preserve">Jasa Penunjang Kegiatan Tracer Flow Test (TFT) Mandiri Area Lumut Balai PT Pertamina Geothermal Energy Tbk dalam hal ini Fungsi Laboratory                                
                                        </t>
  </si>
  <si>
    <t>5.456.770</t>
  </si>
  <si>
    <t>55.063.770</t>
  </si>
  <si>
    <t>PE25-243</t>
  </si>
  <si>
    <t>22/9/25</t>
  </si>
  <si>
    <t>MEQ Area Lumut Balai Periode September 2025</t>
  </si>
  <si>
    <t>21.202.613</t>
  </si>
  <si>
    <t>213.953.636</t>
  </si>
  <si>
    <t>PE25-244</t>
  </si>
  <si>
    <t>KE25-106</t>
  </si>
  <si>
    <t>LMB , Jasa Supporting kegiatan operasional fungsi operasi area lumut balai 2025-2027 - Tahap I</t>
  </si>
  <si>
    <t>21.527.527</t>
  </si>
  <si>
    <t>217.232.315</t>
  </si>
  <si>
    <t>PE25-245</t>
  </si>
  <si>
    <t>Tagihan perlengkapan kerja pengadaa jasa TAD Wellsite Geologist PGE 2024</t>
  </si>
  <si>
    <t>5.374.620</t>
  </si>
  <si>
    <t>PE25-246</t>
  </si>
  <si>
    <t>25/9/25</t>
  </si>
  <si>
    <t xml:space="preserve">PENGADAAN JASA SEWA DISPENSER Dan PENYEDIAAN AIR MINUM KANTOR PUSAT PT PGE                                
                                        </t>
  </si>
  <si>
    <t>3.918.200</t>
  </si>
  <si>
    <t>39.538.200</t>
  </si>
  <si>
    <t>PE25-247</t>
  </si>
  <si>
    <t>29/9/25</t>
  </si>
  <si>
    <t>Pengadaan Jasa Administrasi Penunjang Penyusunan Laporan Tahunan (AR) Dan Laporan Keberlanjutan (SR) PT PGE TBK Tahun 2025 No. Perjanjian.3900555670 Tanggal 23 Desember 2024 Periode September 2025</t>
  </si>
  <si>
    <t>PE25-248</t>
  </si>
  <si>
    <t>Pengadaan Jasa Penunjang Fungsi Quality Management untuk Penyusunan STK di Kantor Pusat PT Pertamina Geothermal Energy No. Perjanjian 3900555529 tanggal 19 Maret 2025 Periode September 2025</t>
  </si>
  <si>
    <t>PE25-249</t>
  </si>
  <si>
    <t>KE25-105</t>
  </si>
  <si>
    <t>Jasa sewa kendaraan site Survey WTE PNRE - SUS di Balikpapan - samarinda</t>
  </si>
  <si>
    <t>1.005.714</t>
  </si>
  <si>
    <t>10.148.570</t>
  </si>
  <si>
    <t>PE25-250</t>
  </si>
  <si>
    <t>Jasa sewa kendaraan Pekanbaru</t>
  </si>
  <si>
    <t>4.313.141</t>
  </si>
  <si>
    <t>PE25-251</t>
  </si>
  <si>
    <t>Tagihan Upah "Pengadaan Jasa Tenaga Alih Daya (TAD) Proyek Bukit Daun - Hululais Extention PT Pertamina Geothermal Energy Nomor Perjanjian 3900555563 tanggal 30 Desember 2024 Periode September 2025</t>
  </si>
  <si>
    <t>2.768.283</t>
  </si>
  <si>
    <t>27.934.493</t>
  </si>
  <si>
    <t>PE25-252</t>
  </si>
  <si>
    <t>Pengadaan Jasa Operasional Kendaraan Ringan Penumpang dan Operasional SCM Area Lumut Balai</t>
  </si>
  <si>
    <t>PE25-253</t>
  </si>
  <si>
    <t>KE25-075</t>
  </si>
  <si>
    <t>Survey Lokasi Rencana Cluster Infrastruktur dan Manifestasi Lumut Balai</t>
  </si>
  <si>
    <t>26.053.683</t>
  </si>
  <si>
    <t>262.905.350</t>
  </si>
  <si>
    <t>PE25-254</t>
  </si>
  <si>
    <t>Jasa Aspirasi dan Dokumentasi Financing PGE</t>
  </si>
  <si>
    <t>PE25-255</t>
  </si>
  <si>
    <t>Jasa penunjang operasional transportasi kendaraan ringan PGE pusat setember 2025</t>
  </si>
  <si>
    <t>5.564.790</t>
  </si>
  <si>
    <t>56.153.790</t>
  </si>
  <si>
    <t>PE25-256</t>
  </si>
  <si>
    <t>Jasa sewa kendaraan  kegiatan KoM renovasi power house wing main office</t>
  </si>
  <si>
    <t>6.469.711</t>
  </si>
  <si>
    <t>PE25-257</t>
  </si>
  <si>
    <t>Jasa Manajemen Pengelolaan Dokumen PPN Reimbursement September 2025</t>
  </si>
  <si>
    <t>PE25-258</t>
  </si>
  <si>
    <t>Pengadaan Jasa HSSE Koordinator Proyek di PT PGE Tbk Area Ulubelu</t>
  </si>
  <si>
    <t>5.135.394</t>
  </si>
  <si>
    <t>51.820.794</t>
  </si>
  <si>
    <t>PE25-259</t>
  </si>
  <si>
    <t>KE25-060</t>
  </si>
  <si>
    <t>Jasa penunjang survei geokimia manifestasi tahun 2025 di lapangan kamojang</t>
  </si>
  <si>
    <t>10.617.634</t>
  </si>
  <si>
    <t>107.141.576</t>
  </si>
  <si>
    <t>PE25-260</t>
  </si>
  <si>
    <t>TAGIHAN JASA INVENTARISASI DAN PENGAWASAN LOGISTIK PT PERTAMINA GEOTHERMAL TBK PROYEK EKSPLORASI ULUBELU EXTENTION I (GUNUNG TIGA) Periode September 2025</t>
  </si>
  <si>
    <t>1.055.984</t>
  </si>
  <si>
    <t>10.655.840</t>
  </si>
  <si>
    <t>PE25-261</t>
  </si>
  <si>
    <t>Jasa general Services Proyek Eksplorasi Ulubelu Extention 1  24- 26 juni 2025</t>
  </si>
  <si>
    <t>21.977.195</t>
  </si>
  <si>
    <t>221.769.875</t>
  </si>
  <si>
    <t>PE25-262</t>
  </si>
  <si>
    <t>Jasa general Services Proyek Eksplorasi Ulubelu Extention 1  1 agustus - 30 sepetember  2025</t>
  </si>
  <si>
    <t>11.838.063</t>
  </si>
  <si>
    <t>119.456.815</t>
  </si>
  <si>
    <t>PE25-263</t>
  </si>
  <si>
    <t>Jasa pemeliharaan infrastruktur commad center PGE</t>
  </si>
  <si>
    <t>5.494.500</t>
  </si>
  <si>
    <t>55.444.500</t>
  </si>
  <si>
    <t>PE25-264</t>
  </si>
  <si>
    <t>PREMI</t>
  </si>
  <si>
    <t>Tagihan MAPS "Pengadaan Jasa Legal Drafter Penunjang Pekerjaan Fungsi Legal &amp; Compliance No. Perjanjian 3900548966 Tanggal 01 Agustus 2024" Periode Ags-Des 2024</t>
  </si>
  <si>
    <t>-</t>
  </si>
  <si>
    <t>4.086.145</t>
  </si>
  <si>
    <t>PE25-265</t>
  </si>
  <si>
    <t>Tagihan Profit atas Premi MAPS "Pengadaan Jasa Legal Drafter Penunjang Pekerjaan Fungsi Legal &amp; Compliance No. Perjanjian 3900548966 Tanggal 01 Agustus 2024" Periode Tahun 2024</t>
  </si>
  <si>
    <t>PE25-266</t>
  </si>
  <si>
    <t>17/10/25</t>
  </si>
  <si>
    <t>KE25-112</t>
  </si>
  <si>
    <t>Pengadaan Perlengkapan Dokumentasi Pemipaan TLG 3 ke KRH</t>
  </si>
  <si>
    <t>93.027.760</t>
  </si>
  <si>
    <t>10.233.054</t>
  </si>
  <si>
    <t>103.260.814</t>
  </si>
  <si>
    <t>PE25-267</t>
  </si>
  <si>
    <t>21/10/25</t>
  </si>
  <si>
    <t>Tagihan jasa penyelesaian administrasi fungsi treasury management september 2025</t>
  </si>
  <si>
    <t>7.383.200</t>
  </si>
  <si>
    <t>8.195.352</t>
  </si>
  <si>
    <t>PE25-268</t>
  </si>
  <si>
    <t>KE25-107</t>
  </si>
  <si>
    <t>Jasa penunjang kegiatan operasioanal PGE LMB Unit 2 sept - okt 2025</t>
  </si>
  <si>
    <t>12.244.904</t>
  </si>
  <si>
    <t>1.346.939</t>
  </si>
  <si>
    <t>13.591.843</t>
  </si>
  <si>
    <t>PE25-269</t>
  </si>
  <si>
    <t>Jasa perawatan vertical garden kantor pusat PGE Tahun 2024</t>
  </si>
  <si>
    <t>49.500.000</t>
  </si>
  <si>
    <t>PE25-270</t>
  </si>
  <si>
    <t>23/10/25</t>
  </si>
  <si>
    <t>LMB, Jasa supporting kegiatan operasional fungsi operasi lumut balai tahun 2026-2027 tahap 2</t>
  </si>
  <si>
    <t>326.669.128</t>
  </si>
  <si>
    <t>35.933.604</t>
  </si>
  <si>
    <t>362.602.732</t>
  </si>
  <si>
    <t>PE25-271</t>
  </si>
  <si>
    <t>24/10/25</t>
  </si>
  <si>
    <t>Rimbursement biaya tiket pesawat pengadaan jasa TAD fungsi wellsite PGE 31 jan - 8 maret 2025</t>
  </si>
  <si>
    <t>13.751.280</t>
  </si>
  <si>
    <t>1.512.641</t>
  </si>
  <si>
    <t>15.263.921</t>
  </si>
  <si>
    <t>PE25-272</t>
  </si>
  <si>
    <t>26/10/25</t>
  </si>
  <si>
    <t>KE25-109</t>
  </si>
  <si>
    <t>Jasa konsultan penilaian publik pembebasa</t>
  </si>
  <si>
    <t>116.550.000</t>
  </si>
  <si>
    <t>12.820.500</t>
  </si>
  <si>
    <t>129.370.500</t>
  </si>
  <si>
    <t>PE25-273</t>
  </si>
  <si>
    <t>27/10/25</t>
  </si>
  <si>
    <t>KE25-117</t>
  </si>
  <si>
    <t>Survey cluster sumur pengembangan kerinci - sungai penuh tahun 2025</t>
  </si>
  <si>
    <t>43.779.750</t>
  </si>
  <si>
    <t>4.815.773</t>
  </si>
  <si>
    <t>48.595.523</t>
  </si>
  <si>
    <t>PE25-274</t>
  </si>
  <si>
    <t>28/10/25</t>
  </si>
  <si>
    <t>KE25-120</t>
  </si>
  <si>
    <t>Jasa tambahan sewa kendaraan operasional karaha periode agustus - september 2025</t>
  </si>
  <si>
    <t>32.144.000</t>
  </si>
  <si>
    <t>3.535.840</t>
  </si>
  <si>
    <t>35.679.840</t>
  </si>
  <si>
    <t>PE25-275</t>
  </si>
  <si>
    <t>KE25-121</t>
  </si>
  <si>
    <t>83.804.896</t>
  </si>
  <si>
    <t>9.218.539</t>
  </si>
  <si>
    <t>93.023.435</t>
  </si>
  <si>
    <t>PE25-276</t>
  </si>
  <si>
    <t>KE25-119</t>
  </si>
  <si>
    <t>Jasa penunjang biaya operasional fungsi scm PGE area karaha september 2025</t>
  </si>
  <si>
    <t>17.250.000</t>
  </si>
  <si>
    <t>PE25-277</t>
  </si>
  <si>
    <t>KE25-110</t>
  </si>
  <si>
    <t>TAGIHAN JASA INVENTARISASI DAN PENGAWASAN LOGISTIK PT PERTAMINA GEOTHERMAL TBK PROYEK EKSPLORASI ULUBELU EXTENTION I (GUNUNG TIGA) Periode Oktober 2025</t>
  </si>
  <si>
    <t>9.599.856</t>
  </si>
  <si>
    <t>PE25-278</t>
  </si>
  <si>
    <t>29/10/25</t>
  </si>
  <si>
    <t>Jasa HSSE Koordinator dan Fungsional Support di PGE Area Lumut Balai Periode Oktober 2025</t>
  </si>
  <si>
    <t>45.387.129</t>
  </si>
  <si>
    <t>4.992.584</t>
  </si>
  <si>
    <t>50.379.713</t>
  </si>
  <si>
    <t>PE25-279</t>
  </si>
  <si>
    <t>30/10/25</t>
  </si>
  <si>
    <t>Jasa general service proyek eksplorasi ulublu extention 1 (Gunung Tiga)</t>
  </si>
  <si>
    <t>108.941.576</t>
  </si>
  <si>
    <t>11.983.573</t>
  </si>
  <si>
    <t>120.925.149</t>
  </si>
  <si>
    <t>PE25-280</t>
  </si>
  <si>
    <t>31/10/25</t>
  </si>
  <si>
    <t>KE25-111</t>
  </si>
  <si>
    <t>Jasa pemenuhan kempetensi teknis maintenance PGE Karaha</t>
  </si>
  <si>
    <t>77.504.000</t>
  </si>
  <si>
    <t>8.525.440</t>
  </si>
  <si>
    <t>86.029.440</t>
  </si>
  <si>
    <t>PE25-281</t>
  </si>
  <si>
    <t>Tagihan Upah "Pengadaan Jasa Tenaga Alih Daya (TAD) Proyek Bukit Daun - Hululais Extention PT Pertamina Geothermal Energy Nomor Perjanjian 3900555563 tanggal 30 Desember 2024 Periode Oktober 2025</t>
  </si>
  <si>
    <t>25.222.559</t>
  </si>
  <si>
    <t>2.774.482</t>
  </si>
  <si>
    <t>27.997.041</t>
  </si>
  <si>
    <t>PE25-282</t>
  </si>
  <si>
    <t>Jasa Manajemen Pengelolaan Dokumen PPN Reimbursement Periode Oktober 2025</t>
  </si>
  <si>
    <t>7.392.000</t>
  </si>
  <si>
    <t>PE25-283</t>
  </si>
  <si>
    <t>Pengadaan Jasa Administrasi Penunjang Penyusunan Laporan Tahunan (AR) Dan Laporan Keberlanjutan (SR) PT PGE TBK Tahun 2025 No. Perjanjian.3900555670 Tanggal 23 Desember 2024 Periode Oktober 2025</t>
  </si>
  <si>
    <t>10.884.071</t>
  </si>
  <si>
    <t>1.197.248</t>
  </si>
  <si>
    <t>12.081.319</t>
  </si>
  <si>
    <t>PE25-284</t>
  </si>
  <si>
    <t>Pengadaan Jasa Penunjang Fungsi Quality Management untuk Penyusunan STK di Kantor Pusat PT Pertamina Geothermal Energy No. Perjanjian 3900555529 tanggal 19 Maret 2025 Periode Oktober 2025</t>
  </si>
  <si>
    <t>8.550.000</t>
  </si>
  <si>
    <t>PE25-285</t>
  </si>
  <si>
    <t>Jasa penunjang operasional transportasi ringan penumpang kantor pusat periode oktober 2025</t>
  </si>
  <si>
    <t>50.589.000</t>
  </si>
  <si>
    <t>PE25-286</t>
  </si>
  <si>
    <t>Jasa penunjang operasional transportasi ringan penumpang area lumut balai  periode oktober 2025</t>
  </si>
  <si>
    <t>64.500.000</t>
  </si>
  <si>
    <t>PE25-287</t>
  </si>
  <si>
    <t>Tagihan jasa penyelesaian administrasi fungsi treasury management periode oktober 2025</t>
  </si>
  <si>
    <t>PE25-288</t>
  </si>
  <si>
    <t>Jasa aspirasi dan Dokumentasi Financing PGE periode oktober 2025</t>
  </si>
  <si>
    <t>8.303.750</t>
  </si>
  <si>
    <t>PE25-289</t>
  </si>
  <si>
    <t>KE25-118</t>
  </si>
  <si>
    <t>Jasa perbaikan konektor kabel sistem kontrol PLTP dan Instalasi tambahan dehumdifer</t>
  </si>
  <si>
    <t>49.280.000</t>
  </si>
  <si>
    <t>PE25-290</t>
  </si>
  <si>
    <t>KE25-123</t>
  </si>
  <si>
    <t>Jasa penyediaan fasilitas sewa kendaraan agenda perjalanan dinas kupang bersama tidal bridge</t>
  </si>
  <si>
    <t>5.142.856</t>
  </si>
  <si>
    <t>5.708.571</t>
  </si>
  <si>
    <t>PE25-291</t>
  </si>
  <si>
    <t>Jasa penyediaan fasilitas sewa kendaraan rapat koordinasi GEG pekanbaru dumai</t>
  </si>
  <si>
    <t>4.571.428</t>
  </si>
  <si>
    <t>PE25-292</t>
  </si>
  <si>
    <t>Jasa penyediaan fasilitas sewa kendaraan pekanbaru - dumai</t>
  </si>
  <si>
    <t>6.857.142</t>
  </si>
  <si>
    <t>PE25-293</t>
  </si>
  <si>
    <t>Jasa penyediaan fasilitas sewa kendaraan offset carbon neutural bussines</t>
  </si>
  <si>
    <t>1.828.571</t>
  </si>
  <si>
    <t>2.029.714</t>
  </si>
  <si>
    <t>PE25-294</t>
  </si>
  <si>
    <t>KE25-125</t>
  </si>
  <si>
    <t>PENGADAAN LTC MATERIAL CONSUMABLE SCM &amp; FM SELAMA 2 (DUA) TAHUN FUNGSI BUSINESS SUPPORT PT PGE AREA KAMOJANG PERIODE TAHUN 2024 - 2026</t>
  </si>
  <si>
    <t>474.282.400</t>
  </si>
  <si>
    <t>52.171.064</t>
  </si>
  <si>
    <t>526.453.464</t>
  </si>
  <si>
    <t>PE25-295</t>
  </si>
  <si>
    <t>KE25-042</t>
  </si>
  <si>
    <t>Pengadaan jasa pekerjaan penunjang kegitan proyek hululais</t>
  </si>
  <si>
    <t>296.419.985</t>
  </si>
  <si>
    <t>32.606.198</t>
  </si>
  <si>
    <t>329.026.183</t>
  </si>
  <si>
    <t>PE25-296</t>
  </si>
  <si>
    <t>13/11/25</t>
  </si>
  <si>
    <t>Jas sewa kendaraan kegiatan site visit perta arun gas</t>
  </si>
  <si>
    <t>7.314.284</t>
  </si>
  <si>
    <t>8.118.856</t>
  </si>
  <si>
    <t>PE25-297</t>
  </si>
  <si>
    <t>Jasa sewa kendaraan kegiatan assesment aset pemeliharaan SH PNRE - PGE ulubelu</t>
  </si>
  <si>
    <t>9.714.286</t>
  </si>
  <si>
    <t>1.068.572</t>
  </si>
  <si>
    <t>10.782.858</t>
  </si>
  <si>
    <t>PE25-298</t>
  </si>
  <si>
    <t>Jasa sewa kendaraan kegiatan Aanwijing proyek hidrogen RU III Plaju</t>
  </si>
  <si>
    <t>3.199.999</t>
  </si>
  <si>
    <t>PE25-299</t>
  </si>
  <si>
    <t>Jasa sewa kendaraan kegiatan agenda pengukuran tanah proyek PLTS sei mengkei tahap II</t>
  </si>
  <si>
    <t>PE25-300</t>
  </si>
  <si>
    <t>KE25-122</t>
  </si>
  <si>
    <t>Jasa kajian dokumen rapid enviomental assesment (REA)</t>
  </si>
  <si>
    <t>40.000.000</t>
  </si>
  <si>
    <t>4.400.000</t>
  </si>
  <si>
    <t>44.400.000</t>
  </si>
  <si>
    <t>PE25-301</t>
  </si>
  <si>
    <t>Reimburse MCU "Pengadaan Jasa Tenaga Alih Daya (TAD) Proyek Bukit Daun - Hululais Extention PT Pertamina Geothermal Energy Nomor Perjanjian 3900555563 tanggal 30 Desember 2024 Periode 2025</t>
  </si>
  <si>
    <t>3.947.613</t>
  </si>
  <si>
    <t>4.381.851</t>
  </si>
  <si>
    <t>PE25-302</t>
  </si>
  <si>
    <t>Tagihan Premi MAPS "Pengadaan Jasa Tenaga Alih Daya (TAD) Proyek Bukit Daun - Hululais Extention PT Pertamina Geothermal Energy Nomor Perjanjian 3900555563 tanggal 30 Desember 2024 Periode 2025</t>
  </si>
  <si>
    <t>29.849.283</t>
  </si>
  <si>
    <t>PE25-303</t>
  </si>
  <si>
    <t>Tagihan Profit MAPS "Pengadaan Jasa Tenaga Alih Daya (TAD) Proyek Bukit Daun - Hululais Extention PT Pertamina Geothermal Energy Nomor Perjanjian 3900555563 tanggal 30 Desember 2024 Periode 2025</t>
  </si>
  <si>
    <t>1.850.656</t>
  </si>
  <si>
    <t>2.054.228</t>
  </si>
  <si>
    <t>PE25-304</t>
  </si>
  <si>
    <t>19/11/25</t>
  </si>
  <si>
    <t>Microearthquake area kamojang periode 01 september - 31 oktober 2025</t>
  </si>
  <si>
    <t>75.080.661</t>
  </si>
  <si>
    <t>8.258.873</t>
  </si>
  <si>
    <t>83.339.534</t>
  </si>
  <si>
    <t>PE25-305</t>
  </si>
  <si>
    <t>Microearthquake area karaha periode 01 september - 31 oktober 2025</t>
  </si>
  <si>
    <t>36.861.121</t>
  </si>
  <si>
    <t>4.054.723</t>
  </si>
  <si>
    <t>40.915.844</t>
  </si>
  <si>
    <t>PE25-306</t>
  </si>
  <si>
    <t>Microearthquake area lahendong periode 01 september - 31 oktober 2025</t>
  </si>
  <si>
    <t>59.686.266</t>
  </si>
  <si>
    <t>6.565.489</t>
  </si>
  <si>
    <t>66.251.755</t>
  </si>
  <si>
    <t>PE25-307</t>
  </si>
  <si>
    <t>Microearthquake area lumut balai periode 01 september - 31 oktober 2025</t>
  </si>
  <si>
    <t>47.909.676</t>
  </si>
  <si>
    <t>5.270.064</t>
  </si>
  <si>
    <t>53.179.740</t>
  </si>
  <si>
    <t>PE25-308</t>
  </si>
  <si>
    <t>Microearthquake area ulubelu periode 01 september - 31 oktober 2025</t>
  </si>
  <si>
    <t>48.688.706</t>
  </si>
  <si>
    <t>5.355.758</t>
  </si>
  <si>
    <t>54.044.463</t>
  </si>
  <si>
    <t>PE25-309</t>
  </si>
  <si>
    <t>KE25-093</t>
  </si>
  <si>
    <t>Jasa troubleshoot inverter turning gear turbin PLTP area karaha</t>
  </si>
  <si>
    <t>62.160.000</t>
  </si>
  <si>
    <t>6.837.600</t>
  </si>
  <si>
    <t>68.997.600</t>
  </si>
  <si>
    <t>PE25-310</t>
  </si>
  <si>
    <t>KE25-096</t>
  </si>
  <si>
    <t>Evaluasi IPPKH PGE area karaha</t>
  </si>
  <si>
    <t>49.000.000</t>
  </si>
  <si>
    <t>5.390.000</t>
  </si>
  <si>
    <t>54.390.000</t>
  </si>
  <si>
    <t>PE25-311</t>
  </si>
  <si>
    <t>KE25-091</t>
  </si>
  <si>
    <t>Jasa penunjang biaya operasioanal fungsi SCM PGE Area Karaha</t>
  </si>
  <si>
    <t>PE25-312</t>
  </si>
  <si>
    <t>KE25-095</t>
  </si>
  <si>
    <t>Jasa pemenuhan teknis personil maintenence HSSE dan busines support</t>
  </si>
  <si>
    <t>79.722.500</t>
  </si>
  <si>
    <t>8.769.475</t>
  </si>
  <si>
    <t>88.491.975</t>
  </si>
  <si>
    <t>PE25-313</t>
  </si>
  <si>
    <t>KE25-092</t>
  </si>
  <si>
    <t>107.087.120</t>
  </si>
  <si>
    <t>11.779.583</t>
  </si>
  <si>
    <t>118.866.703</t>
  </si>
  <si>
    <t>PE25-314</t>
  </si>
  <si>
    <t>14/11/25</t>
  </si>
  <si>
    <t>KE25-094</t>
  </si>
  <si>
    <t>Jasa perbaikan infrastruktur PLTP karaha dan tindak lanjut temuan supreme</t>
  </si>
  <si>
    <t>49.060.000</t>
  </si>
  <si>
    <t>5.396.600</t>
  </si>
  <si>
    <t>54.456.600</t>
  </si>
  <si>
    <t>PE25-315</t>
  </si>
  <si>
    <t>21/11/25</t>
  </si>
  <si>
    <t>KE25-126</t>
  </si>
  <si>
    <t>Jasa penyediaan fasilitas sewa kendaraan agenda site visit PLTS</t>
  </si>
  <si>
    <t>2.285.714</t>
  </si>
  <si>
    <t>2.537.142</t>
  </si>
  <si>
    <t>PE25-316</t>
  </si>
  <si>
    <t>24/11/25</t>
  </si>
  <si>
    <t>LMB Jasa supporting kegiatan operasional fungsi operasi LMB</t>
  </si>
  <si>
    <t>239.262.209</t>
  </si>
  <si>
    <t>26.318.843</t>
  </si>
  <si>
    <t>265.581.052</t>
  </si>
  <si>
    <t>PE25-317</t>
  </si>
  <si>
    <t>25/11/25</t>
  </si>
  <si>
    <t>“Pengadaan Material ID Card PT PGE”</t>
  </si>
  <si>
    <t>24.350.000</t>
  </si>
  <si>
    <t>2.678.500</t>
  </si>
  <si>
    <t>27.028.500</t>
  </si>
  <si>
    <t>PE25-318</t>
  </si>
  <si>
    <t>Jasa Penunjang Kegiatan Interwell Tracer Test Area Kamojang</t>
  </si>
  <si>
    <t>49.386.700</t>
  </si>
  <si>
    <t>5.432.537</t>
  </si>
  <si>
    <t>54.819.237</t>
  </si>
  <si>
    <t>PE25-319</t>
  </si>
  <si>
    <t>532.417.600</t>
  </si>
  <si>
    <t>58.565.936</t>
  </si>
  <si>
    <t>590.983.536</t>
  </si>
  <si>
    <t>PE25-320</t>
  </si>
  <si>
    <t>26/11/25</t>
  </si>
  <si>
    <t>Pengadaan jasa pekerjaan penunjang kegiatan proyek hululais  periode II</t>
  </si>
  <si>
    <t>259.796.378</t>
  </si>
  <si>
    <t>28.577.602</t>
  </si>
  <si>
    <t>288.373.980</t>
  </si>
  <si>
    <t>PE25-321</t>
  </si>
  <si>
    <t>Pengadaan jasa pekerjaan penunjang kegiatan proyek hululais  periode III</t>
  </si>
  <si>
    <t>144.250.128</t>
  </si>
  <si>
    <t>15.867.514</t>
  </si>
  <si>
    <t>160.117.642</t>
  </si>
  <si>
    <t>PE25-322</t>
  </si>
  <si>
    <t>Pengadaan jasa pekerjaan penunjang kegiatan proyek hululais  periode IV</t>
  </si>
  <si>
    <t>88.332.212</t>
  </si>
  <si>
    <t>9.716.543</t>
  </si>
  <si>
    <t>98.048.755</t>
  </si>
  <si>
    <t>PE25-323</t>
  </si>
  <si>
    <t>27/11/25</t>
  </si>
  <si>
    <t>KE25-082</t>
  </si>
  <si>
    <t>Jasa penyediaan brankas dan kulkas PGE</t>
  </si>
  <si>
    <t>17.824.400</t>
  </si>
  <si>
    <t>1.960.684</t>
  </si>
  <si>
    <t>19.785.084</t>
  </si>
  <si>
    <t>PE25-324</t>
  </si>
  <si>
    <t>KG24-034</t>
  </si>
  <si>
    <t>Jasa sewa treadmill ruang direksi PGE</t>
  </si>
  <si>
    <t>10.500.000</t>
  </si>
  <si>
    <t>1.155.000</t>
  </si>
  <si>
    <t>11.655.000</t>
  </si>
  <si>
    <t>PE25-325</t>
  </si>
  <si>
    <t>Tagihan Upah "Pengadaan Jasa Tenaga Alih Daya (TAD) Proyek Bukit Daun - Hululais Extention PT Pertamina Geothermal Energy Nomor Perjanjian 3900555563 tanggal 30 Desember 2024 Periode November</t>
  </si>
  <si>
    <t>25.207.767</t>
  </si>
  <si>
    <t>2.772.854</t>
  </si>
  <si>
    <t>27.980.621</t>
  </si>
  <si>
    <t>PE25-326</t>
  </si>
  <si>
    <t>Pengadaan Jasa Administrasi Penunjang Penyusunan Laporan Tahunan (AR) Dan Laporan Keberlanjutan (SR) PT PGE TBK Tahun 2025 No. Perjanjian.3900555670 Tanggal 23 Desember 2024 Periode November 2025</t>
  </si>
  <si>
    <t>11.700.376</t>
  </si>
  <si>
    <t>PE25-327</t>
  </si>
  <si>
    <t>Pengadaan Jasa Penunjang Fungsi Quality Management untuk Penyusunan STK di Kantor Pusat PT Pertamina Geothermal Energy No. Perjanjian 3900555529 tanggal 19 Maret 2025 Periode November 2025</t>
  </si>
  <si>
    <t>PE25-328</t>
  </si>
  <si>
    <t>KE23-169</t>
  </si>
  <si>
    <t>Jasa penunjang operasiional transportasi kendaraan ringan penumpang kantor pusat periode november 2025</t>
  </si>
  <si>
    <t>49.896.000</t>
  </si>
  <si>
    <t>PE25-329</t>
  </si>
  <si>
    <t>TAGIHAN JASA INVENTARISASI DAN PENGAWASAN LOGISTIK PT PERTAMINA GEOTHERMAL TBK PROYEK EKSPLORASI ULUBELU EXTENTION I (GUNUNG TIGA) PERIODE NOVEMBER 2025</t>
  </si>
  <si>
    <t>PE25-330</t>
  </si>
  <si>
    <t>KE25-115</t>
  </si>
  <si>
    <t>Jasa pendukung survey Geokimia &amp; Pemetaan drone manifestasi area sibayak 2025</t>
  </si>
  <si>
    <t>226.838.086</t>
  </si>
  <si>
    <t>24.952.189</t>
  </si>
  <si>
    <t>251.790.275</t>
  </si>
  <si>
    <t>PE25-331</t>
  </si>
  <si>
    <t>tenaga Kerja</t>
  </si>
  <si>
    <t>Jasa arsiparis dan dokumentasi finance PGE Periode November 2025</t>
  </si>
  <si>
    <t>PE25-332</t>
  </si>
  <si>
    <t>Tagihan jasa penyelesaian administrasi fungsi treasury management periode november 2025</t>
  </si>
  <si>
    <t>PE25-333</t>
  </si>
  <si>
    <t>KE25-114</t>
  </si>
  <si>
    <t>Survey Gravitasi Mointoring Area Ulubelu 2025</t>
  </si>
  <si>
    <t>532.458.467</t>
  </si>
  <si>
    <t>58.570.431</t>
  </si>
  <si>
    <t>591.028.899</t>
  </si>
  <si>
    <t>PE25-334</t>
  </si>
  <si>
    <t>KE25-116</t>
  </si>
  <si>
    <t>Survey identifikasi dan kajian potensi geohazard kamojang 2025</t>
  </si>
  <si>
    <t>62.733.055</t>
  </si>
  <si>
    <t>6.900.636</t>
  </si>
  <si>
    <t>69.633.691</t>
  </si>
  <si>
    <t>PE25-335</t>
  </si>
  <si>
    <t>Tagihan jasa penyelesaian adminisitrasi fungsi treasury management desember 2025</t>
  </si>
  <si>
    <t>PE25-336</t>
  </si>
  <si>
    <t>Jasa arsiparis dan dokumentasi finance PGE Periode Desember 2025</t>
  </si>
  <si>
    <t>PE25-337</t>
  </si>
  <si>
    <t>KE25-081</t>
  </si>
  <si>
    <t>Jasa Support Perawatan Elevator di Area Lumut Balai.</t>
  </si>
  <si>
    <t>47.600.000</t>
  </si>
  <si>
    <t>5.236.000</t>
  </si>
  <si>
    <t>52.836.000</t>
  </si>
  <si>
    <t>PE25-338</t>
  </si>
  <si>
    <t>KE25-130</t>
  </si>
  <si>
    <t>Jasa penyedian fasilitas sewa kendaraan site visit proyek PLTS 100 KDKMP bersama kemenkop di desa galang baru</t>
  </si>
  <si>
    <t>3.314.285</t>
  </si>
  <si>
    <t>3.678.856</t>
  </si>
  <si>
    <t>PE25-339</t>
  </si>
  <si>
    <t>Pengadaan jasa kendraan ringan penumpang dan operasional SCM PGE Lumut balai november 2025</t>
  </si>
  <si>
    <t>PE25-340</t>
  </si>
  <si>
    <t>Pengadaan Jasa Administrasi Penunjang Penyusunan Laporan Tahunan (AR) Dan Laporan Keberlanjutan (SR) PT PGE TBK Tahun 2025 No. Perjanjian.3900555670 Tanggal 23 Desember 2024 Periode Maret - November 2025</t>
  </si>
  <si>
    <t>11.341.250</t>
  </si>
  <si>
    <t>1.247.538</t>
  </si>
  <si>
    <t>12.588.788</t>
  </si>
  <si>
    <t>PE25-341</t>
  </si>
  <si>
    <t>Pengadaan Jasa Administrasi Penunjang Penyusunan Laporan Tahunan (AR) Dan Laporan Keberlanjutan (SR) PT PGE TBK Tahun 2025 No. Perjanjian.3900555670 Tanggal 23 Desember 2024 Periode Januari - Februari 2025</t>
  </si>
  <si>
    <t>7.851.155</t>
  </si>
  <si>
    <t>8.714.782</t>
  </si>
  <si>
    <t>PE25-342</t>
  </si>
  <si>
    <t>KE25-113</t>
  </si>
  <si>
    <t>Pengadaan pakaian &amp; perlengkapan kerja pekerja PGE area lumut balai</t>
  </si>
  <si>
    <t>596.884.500</t>
  </si>
  <si>
    <t>65.657.295</t>
  </si>
  <si>
    <t>662.541.795</t>
  </si>
  <si>
    <t>PE25-343</t>
  </si>
  <si>
    <t>Jasa HSSE Koordinator dan Fungsional Support di PGE Area Lumut Balai Periode November 2025</t>
  </si>
  <si>
    <t>PE25-344</t>
  </si>
  <si>
    <t>KE25-131</t>
  </si>
  <si>
    <t>Jasa perbaikan control valve drain LRVP PGE area karaha</t>
  </si>
  <si>
    <t>49.224.000</t>
  </si>
  <si>
    <t>5.414.640</t>
  </si>
  <si>
    <t>54.638.640</t>
  </si>
  <si>
    <t>PE25-345</t>
  </si>
  <si>
    <t>KE25-132</t>
  </si>
  <si>
    <t>Jasa splacing dan service peralatan multimedia PLTP PGE Area Karaha</t>
  </si>
  <si>
    <t>21.747.099</t>
  </si>
  <si>
    <t>2.392.181</t>
  </si>
  <si>
    <t>24.139.280</t>
  </si>
  <si>
    <t>PE25-346</t>
  </si>
  <si>
    <t>KE25-133</t>
  </si>
  <si>
    <t>Jasa revitalisasi meja dan kursi kerja kantor utama area karaha</t>
  </si>
  <si>
    <t>49.952.000</t>
  </si>
  <si>
    <t>5.494.720</t>
  </si>
  <si>
    <t>55.446.720</t>
  </si>
  <si>
    <t>PE25-347</t>
  </si>
  <si>
    <t>KE25-134</t>
  </si>
  <si>
    <t>Jasa penerbangan pohon dibawah jalur transmisi karaha</t>
  </si>
  <si>
    <t>29.321.600</t>
  </si>
  <si>
    <t>3.225.376</t>
  </si>
  <si>
    <t>32.546.976</t>
  </si>
  <si>
    <t>PE25-348</t>
  </si>
  <si>
    <t>KE25-135</t>
  </si>
  <si>
    <t>Jasa tambahan sewa kendaraan operasional karaha periode  september - oktober  2025</t>
  </si>
  <si>
    <t>48.384.000</t>
  </si>
  <si>
    <t>5.322.240</t>
  </si>
  <si>
    <t>53.706.240</t>
  </si>
  <si>
    <t>PE25-349</t>
  </si>
  <si>
    <t>KE25-136</t>
  </si>
  <si>
    <t>Jasa penyesuaian patok power 31 Area Karaha</t>
  </si>
  <si>
    <t>41.440.000</t>
  </si>
  <si>
    <t>4.558.400</t>
  </si>
  <si>
    <t>45.998.400</t>
  </si>
  <si>
    <t>PE25-350</t>
  </si>
  <si>
    <t>KE25-137</t>
  </si>
  <si>
    <t>Pengadaan interior emergency exit area karaha</t>
  </si>
  <si>
    <t>99.493.632</t>
  </si>
  <si>
    <t>10.944.300</t>
  </si>
  <si>
    <t>110.437.932</t>
  </si>
  <si>
    <t>PE25-351</t>
  </si>
  <si>
    <t>KE25-138</t>
  </si>
  <si>
    <t>Jasa revitalisasi Nursey PGE area karaha</t>
  </si>
  <si>
    <t>99.235.000</t>
  </si>
  <si>
    <t>10.915.850</t>
  </si>
  <si>
    <t>110.150.850</t>
  </si>
  <si>
    <t>PE25-352</t>
  </si>
  <si>
    <t>KE25-128</t>
  </si>
  <si>
    <t>Survey manifestasi prospek panas bumi cubadak panti dan simisuh tahun2025</t>
  </si>
  <si>
    <t>23.358.749</t>
  </si>
  <si>
    <t>2.569.462</t>
  </si>
  <si>
    <t>25.928.211</t>
  </si>
  <si>
    <t>PE25-353</t>
  </si>
  <si>
    <t>Invoice PADI UMKM</t>
  </si>
  <si>
    <t>71.344.167</t>
  </si>
  <si>
    <t>7.847.858</t>
  </si>
  <si>
    <t>79.192.025</t>
  </si>
  <si>
    <t>PE25-354</t>
  </si>
  <si>
    <t>13/12/24</t>
  </si>
  <si>
    <t>Tagihan BHR "Pengadaan Jasa Tenaga Alih Daya (TAD) Proyek Bukit Daun - Hululais Extention PT Pertamina Geothermal Energy Nomor Perjanjian 3900555563 tanggal 30 Desember 2024 Periode 2025</t>
  </si>
  <si>
    <t>12.539.179</t>
  </si>
  <si>
    <t>1.379.310</t>
  </si>
  <si>
    <t>13.918.489</t>
  </si>
  <si>
    <t>PE25-355</t>
  </si>
  <si>
    <t>15/12/25</t>
  </si>
  <si>
    <t>Jasa Pendataan Aset Furniture Kantor Pusat PT PGE - 2025</t>
  </si>
  <si>
    <t>49.950.000</t>
  </si>
  <si>
    <t>PE25-356</t>
  </si>
  <si>
    <t>Jasa sewa kendaraan kegiatan customer day siemens energy 2025</t>
  </si>
  <si>
    <t>PE25-357</t>
  </si>
  <si>
    <t>Jass sewa kendaraan kegiatan courtesy meeting dengan beringin mas powerindo untuk proyek PAG</t>
  </si>
  <si>
    <t>7.085.712</t>
  </si>
  <si>
    <t>7.865.141</t>
  </si>
  <si>
    <t>PE25-358</t>
  </si>
  <si>
    <t>Jasa sewa kendaraan agenda site visit area bali dan diskusi dengan universitas udayana</t>
  </si>
  <si>
    <t>29.714.282</t>
  </si>
  <si>
    <t>3.268.571</t>
  </si>
  <si>
    <t>32.982.853</t>
  </si>
  <si>
    <t>PE25-359</t>
  </si>
  <si>
    <t>jasa sewa kendaraan kegiatan MWT pge area lahendong</t>
  </si>
  <si>
    <t>4.799.999</t>
  </si>
  <si>
    <t>5.327.998</t>
  </si>
  <si>
    <t>PE25-360</t>
  </si>
  <si>
    <t>jasa sewa kendaraan kegiatan inagurasi proyek bioethanol aren</t>
  </si>
  <si>
    <t>4.114.284</t>
  </si>
  <si>
    <t>4.566.855</t>
  </si>
  <si>
    <t>PE25-361</t>
  </si>
  <si>
    <t>jasa sewa kendaraan kegiatan site visit  RU II Dumai</t>
  </si>
  <si>
    <t>PE25-362</t>
  </si>
  <si>
    <t>Pengadaan Jasa Administrasi Penunjang Penyusunan Laporan Tahunan (AR) Dan Laporan Keberlanjutan (SR) PT PGE TBK Tahun 2025 No. Perjanjian.3900555670 Tanggal 23 Desember 2024 Periode Desember 2025</t>
  </si>
  <si>
    <t>PE25-363</t>
  </si>
  <si>
    <t>16/12/25</t>
  </si>
  <si>
    <t>Jasa penunjang kegiatan operasional PGE LMB unit 2 periode november - desember 2025</t>
  </si>
  <si>
    <t>37.150.096</t>
  </si>
  <si>
    <t>4.086.511</t>
  </si>
  <si>
    <t>41.236.607</t>
  </si>
  <si>
    <t>PE25-364</t>
  </si>
  <si>
    <t>Jasa Penyediaan Artificial Garden Lantai 7 Kantor Pusat PT Pertamina Geothermal Energy Tbk"</t>
  </si>
  <si>
    <t>30.590.000</t>
  </si>
  <si>
    <t>3.364.900</t>
  </si>
  <si>
    <t>33.954.900</t>
  </si>
  <si>
    <t>PE25-365</t>
  </si>
  <si>
    <t>Jasa Perawatan Vertical Garden Kantor Pusat PT Pertamina Geothermal Energy Tbk tahun 2025</t>
  </si>
  <si>
    <t>49.359.400</t>
  </si>
  <si>
    <t>5.429.534</t>
  </si>
  <si>
    <t>54.788.934</t>
  </si>
  <si>
    <t>PE25-366</t>
  </si>
  <si>
    <t>23/12/25</t>
  </si>
  <si>
    <t xml:space="preserve">PENGADAAN JASA PENYEDIAAN SEWA DISPENSER KANTOR PUSAT PT PGE                                
                                        </t>
  </si>
  <si>
    <t>16.920.000</t>
  </si>
  <si>
    <t>1.861.200</t>
  </si>
  <si>
    <t>18.781.200</t>
  </si>
  <si>
    <t>PE25-367</t>
  </si>
  <si>
    <t>17/12/25</t>
  </si>
  <si>
    <t>PENGADAAN JASA SEWA DISPENSER Dan PENYEDIAAN AIR MINUM KANTOR PUSAT PT PGE</t>
  </si>
  <si>
    <t>6.840.000</t>
  </si>
  <si>
    <t>7.592.400</t>
  </si>
  <si>
    <t>PE25-368</t>
  </si>
  <si>
    <t>18/12/25</t>
  </si>
  <si>
    <t>KE25-073</t>
  </si>
  <si>
    <t>Pengadaan jasa penyewaan kendaraan 4 unit kendaraan roda dua proyek hululais periode 4 agustus - november 2025</t>
  </si>
  <si>
    <t>52.925.400</t>
  </si>
  <si>
    <t>5.821.794</t>
  </si>
  <si>
    <t>58.747.194</t>
  </si>
  <si>
    <t>PE25-369</t>
  </si>
  <si>
    <t>Tagihan  Periode                 Periode Agustus - September 2025    
        PENGADAAN JASA SEWA DISPENSER Dan PENYEDIAAN AIR MINUM KANTOR PUSAT PT PGE</t>
  </si>
  <si>
    <t>40.755.000</t>
  </si>
  <si>
    <t>4.483.050</t>
  </si>
  <si>
    <t>45.238.050</t>
  </si>
  <si>
    <t>PE25-370</t>
  </si>
  <si>
    <t>22/12/25</t>
  </si>
  <si>
    <t>LMB, Jasa supporting kegiatan operasional fungsi operasi area lumut balai tahun 2025-2027 Tahap 4</t>
  </si>
  <si>
    <t>263.644.235</t>
  </si>
  <si>
    <t>29.000.866</t>
  </si>
  <si>
    <t>292.645.100</t>
  </si>
  <si>
    <t>PE25-371</t>
  </si>
  <si>
    <t>KE25-144</t>
  </si>
  <si>
    <t>Jasa penunjang biaya operasional fungsi scm PGE area karaha november 2025</t>
  </si>
  <si>
    <t>14.260.000</t>
  </si>
  <si>
    <t>PE25-372</t>
  </si>
  <si>
    <t>KE25-146</t>
  </si>
  <si>
    <t>118.492.416</t>
  </si>
  <si>
    <t>13.034.166</t>
  </si>
  <si>
    <t>131.526.582</t>
  </si>
  <si>
    <t>PE25-373</t>
  </si>
  <si>
    <t>Jasa penunjang operasional fungsi scm PGE area karaha desember 2025</t>
  </si>
  <si>
    <t>20.700.000</t>
  </si>
  <si>
    <t>2.277.000</t>
  </si>
  <si>
    <t>22.977.000</t>
  </si>
  <si>
    <t>PE25-374</t>
  </si>
  <si>
    <t>KE25-145</t>
  </si>
  <si>
    <t>Jasa penunjang forum CIP tim beruang bodas di subholding PNRE</t>
  </si>
  <si>
    <t>39.905.000</t>
  </si>
  <si>
    <t>4.389.550</t>
  </si>
  <si>
    <t>44.294.550</t>
  </si>
  <si>
    <t>PE25-375</t>
  </si>
  <si>
    <t>KE25-148</t>
  </si>
  <si>
    <t>Jasa pengurusan izin siar radio dan implementasi firewall OT PGE</t>
  </si>
  <si>
    <t>PE25-376</t>
  </si>
  <si>
    <t>24/12/25</t>
  </si>
  <si>
    <t>TENAGA KERJA</t>
  </si>
  <si>
    <t>Tagihan Upah "Pengadaan Jasa Tenaga Alih Daya (TAD) Proyek Bukit Daun - Hululais Extention PT Pertamina Geothermal Energy Nomor Perjanjian 3900555563 tanggal 30 Desember 2024 Periode Desember 2025</t>
  </si>
  <si>
    <t>25.259.258</t>
  </si>
  <si>
    <t>2.778.518</t>
  </si>
  <si>
    <t>28.037.776</t>
  </si>
  <si>
    <t>PE25-377</t>
  </si>
  <si>
    <t xml:space="preserve">Pengadaan Perlengkapan Pendukung Fasilitas Kantor Pusat PT Pertamina Geothermal Energy Tbk
</t>
  </si>
  <si>
    <t>45.480.000</t>
  </si>
  <si>
    <t>5.002.800</t>
  </si>
  <si>
    <t>50.482.800</t>
  </si>
  <si>
    <t>PE25-378</t>
  </si>
  <si>
    <t>29/12/25</t>
  </si>
  <si>
    <t>Jasa penunjang operasional transportasi kendaraan ringan penumpang kantor pusat periode desember 2025</t>
  </si>
  <si>
    <t>51.744.000</t>
  </si>
  <si>
    <t>5.691.840</t>
  </si>
  <si>
    <t>57.435.840</t>
  </si>
  <si>
    <t>PE25-379</t>
  </si>
  <si>
    <t>KE25-143</t>
  </si>
  <si>
    <t>Survey lokasi rehabilitas infrastruktur lumut balai unit 4 tahun 2025</t>
  </si>
  <si>
    <t>32.388.167</t>
  </si>
  <si>
    <t>3.562.698</t>
  </si>
  <si>
    <t>35.950.865</t>
  </si>
  <si>
    <t>PE25-380</t>
  </si>
  <si>
    <t>Pengadaan jasa pekerjaan penunjang kegiatan proyek hululais</t>
  </si>
  <si>
    <t>77.450.295</t>
  </si>
  <si>
    <t>8.519.532</t>
  </si>
  <si>
    <t>85.969.827</t>
  </si>
  <si>
    <t>PE25-381</t>
  </si>
  <si>
    <t>Jasa sewa kendaraan agenda monitoring pelaksanaan program kerja strategis asset integrity PGE Area Lahendong</t>
  </si>
  <si>
    <t>10.971.430</t>
  </si>
  <si>
    <t>1.206.857</t>
  </si>
  <si>
    <t>12.178.288</t>
  </si>
  <si>
    <t>PE25-382</t>
  </si>
  <si>
    <t>Jasa sewa kendaraan agenda site visit project waste to energy yogyakarta</t>
  </si>
  <si>
    <t>11.530.609</t>
  </si>
  <si>
    <t>1.268.367</t>
  </si>
  <si>
    <t>12.798.976</t>
  </si>
  <si>
    <t>PE25-383</t>
  </si>
  <si>
    <t>30/12/2025</t>
  </si>
  <si>
    <t>Pengadaan meja prtable kantor pusat PGE</t>
  </si>
  <si>
    <t>40.939.080</t>
  </si>
  <si>
    <t>4.503.299</t>
  </si>
  <si>
    <t>45.442.379</t>
  </si>
  <si>
    <t>PE25-384</t>
  </si>
  <si>
    <t>MEQ area kamojang periode 01 november - 31 desember 2025</t>
  </si>
  <si>
    <t>79.553.031</t>
  </si>
  <si>
    <t>8.750.833</t>
  </si>
  <si>
    <t>88.303.865</t>
  </si>
  <si>
    <t>PE25-385</t>
  </si>
  <si>
    <t>MEQ area karaha periode 01 november - 31 desember 2025</t>
  </si>
  <si>
    <t>35.616.626</t>
  </si>
  <si>
    <t>3.917.829</t>
  </si>
  <si>
    <t>39.534.454</t>
  </si>
  <si>
    <t>PE25-386</t>
  </si>
  <si>
    <t>MEQ area lahendong periode 01 november - 31 desember 2025</t>
  </si>
  <si>
    <t>66.864.626</t>
  </si>
  <si>
    <t>7.355.109</t>
  </si>
  <si>
    <t>74.219.734</t>
  </si>
  <si>
    <t>PE25-387</t>
  </si>
  <si>
    <t>MEQ area lumut balai periode 01 november - 31 desember 2025</t>
  </si>
  <si>
    <t>81.779.451</t>
  </si>
  <si>
    <t>8.995.740</t>
  </si>
  <si>
    <t>90.775.191</t>
  </si>
  <si>
    <t>PE25-388</t>
  </si>
  <si>
    <t>MEQ area ulubelu periode 01 november - 31 desember 2025</t>
  </si>
  <si>
    <t>146.183.838</t>
  </si>
  <si>
    <t>16.080.222</t>
  </si>
  <si>
    <t>162.264.060</t>
  </si>
  <si>
    <t>PE25-389</t>
  </si>
  <si>
    <t>KE25-142</t>
  </si>
  <si>
    <t>Survey manifestasi dengan drone thermal 2025</t>
  </si>
  <si>
    <t>153.256.069</t>
  </si>
  <si>
    <t>16.858.168</t>
  </si>
  <si>
    <t>170.114.236</t>
  </si>
  <si>
    <t>PE25-390</t>
  </si>
  <si>
    <t>Jasa HSSE Koordinator dan Fungsional Support di PGE Area Lumut Balai Periode Desember 2025</t>
  </si>
  <si>
    <t>30.882.061</t>
  </si>
  <si>
    <t>3.397.027</t>
  </si>
  <si>
    <t>34.279.088</t>
  </si>
  <si>
    <t>PE25-391</t>
  </si>
  <si>
    <t>JASA PENDUKUNG KEGIATAN OPERASIONAL PROYEK SUNGAI PENUH AUG - DES 2025</t>
  </si>
  <si>
    <t>34.766.357</t>
  </si>
  <si>
    <t>3.824.299</t>
  </si>
  <si>
    <t>38.590.656</t>
  </si>
  <si>
    <t>PE25-392</t>
  </si>
  <si>
    <t>KE25-124</t>
  </si>
  <si>
    <t>Survey vertical gravity gradient area karaha 2025</t>
  </si>
  <si>
    <t>301.295.462</t>
  </si>
  <si>
    <t>33.142.501</t>
  </si>
  <si>
    <t>334.437.963</t>
  </si>
  <si>
    <t>PE25-393</t>
  </si>
  <si>
    <t>Jasa verifikasi dokemen HSSE project pemimpaan</t>
  </si>
  <si>
    <t>24.600.000</t>
  </si>
  <si>
    <t>2.706.000</t>
  </si>
  <si>
    <t>27.306.000</t>
  </si>
  <si>
    <t>PE25-394</t>
  </si>
  <si>
    <t>KE25-127</t>
  </si>
  <si>
    <t>Survey gravitasi Mointoring Area kamojang 2025</t>
  </si>
  <si>
    <t>543.018.801</t>
  </si>
  <si>
    <t>59.732.068</t>
  </si>
  <si>
    <t>602.750.870</t>
  </si>
  <si>
    <t>PE25-395</t>
  </si>
  <si>
    <t>Pengadaan jasa operasional kendraan ringan penumpang KRP dan operasional SCM PGE area lumut balai desember 2025</t>
  </si>
  <si>
    <t>PE25-396</t>
  </si>
  <si>
    <t>Pengadaan jasa penyewaan kendaraan 4 unit kendaraan roda dua proyek hululais periode 4 agustus - 3 Januari 2026</t>
  </si>
  <si>
    <t>36.454.000</t>
  </si>
  <si>
    <t>4.009.940</t>
  </si>
  <si>
    <t>40.463.940</t>
  </si>
  <si>
    <t>PE25-397</t>
  </si>
  <si>
    <t>Pengadaan jasa pekerjaan kegiatan proyek hululais</t>
  </si>
  <si>
    <t>42.619.907</t>
  </si>
  <si>
    <t>4.688.190</t>
  </si>
  <si>
    <t>47.308.097</t>
  </si>
  <si>
    <t>PE25-398</t>
  </si>
  <si>
    <t>31/12/25</t>
  </si>
  <si>
    <t>Tagihan Dinas dan Lembur "Pengadaan Jasa Tenaga Alih Daya (TAD) Proyek Bukit Daun - Hululais Extention PT Pertamina Geothermal Energy Nomor Perjanjian 3900555563 tanggal 30 Desember 2024 Periode Juli - Desember 2025</t>
  </si>
  <si>
    <t>74.454.995</t>
  </si>
  <si>
    <t>8.190.050</t>
  </si>
  <si>
    <t>82.645.045</t>
  </si>
  <si>
    <t>PE25-399</t>
  </si>
  <si>
    <t>Reimburse biaya tiket pengadaan Jasa TAD proyek bukit daun - hululais extention PGE oktober - november 2025</t>
  </si>
  <si>
    <t>5.325.930</t>
  </si>
  <si>
    <t>5.911.782</t>
  </si>
  <si>
    <t>PE25-400</t>
  </si>
  <si>
    <t>Jasa general servicces proyek eksplorasi ulubelu extention (gunung tiga)</t>
  </si>
  <si>
    <t>267.380.052</t>
  </si>
  <si>
    <t>29.411.806</t>
  </si>
  <si>
    <t>296.791.858</t>
  </si>
  <si>
    <t>PE25-401</t>
  </si>
  <si>
    <t>Pengadaan jasa operasional kendaraan ringan penumpang (KRP) dan operasional SCM Area lumut balai Periode Januari 2026</t>
  </si>
  <si>
    <t>59.125.000</t>
  </si>
  <si>
    <t>6.503.750</t>
  </si>
  <si>
    <t>65.628.750</t>
  </si>
  <si>
    <t>PE25-402</t>
  </si>
  <si>
    <t>KE25-027</t>
  </si>
  <si>
    <t>Jasa otomatisasi kertas kerja depresiasi fiskal dengan menggunakan excel macro dan VBA</t>
  </si>
  <si>
    <t>45.954.000</t>
  </si>
  <si>
    <t>5.054.940</t>
  </si>
  <si>
    <t>51.008.940</t>
  </si>
  <si>
    <t>PE25-403</t>
  </si>
  <si>
    <t>Jasa sewa kendaraan agendsa supporting  control dan monitoring project PLTMG</t>
  </si>
  <si>
    <t>47.040.000</t>
  </si>
  <si>
    <t>5.174.400</t>
  </si>
  <si>
    <t>52.214.400</t>
  </si>
  <si>
    <t>Nama Projek</t>
  </si>
  <si>
    <t>Tanggal Permintaan</t>
  </si>
  <si>
    <t>Nomor Prefix</t>
  </si>
  <si>
    <t>Nomor Registrasi</t>
  </si>
  <si>
    <t>Dasar Pekerjaan</t>
  </si>
  <si>
    <t>Nilai Projek</t>
  </si>
  <si>
    <t>Tanggal Mulai</t>
  </si>
  <si>
    <t>Tanggal Selesai</t>
  </si>
  <si>
    <t>Client</t>
  </si>
  <si>
    <t>PIC Client</t>
  </si>
  <si>
    <t>PIC Internal</t>
  </si>
  <si>
    <t>Keterangan</t>
  </si>
  <si>
    <t>Jasa Pendukung Kegiatan Akuisisi Data Geofisika Monitoring Microearthquake (MEQ) Tahun 2024-2026</t>
  </si>
  <si>
    <t>KE25-</t>
  </si>
  <si>
    <t>001</t>
  </si>
  <si>
    <t>401/PGE123/2024-S0</t>
  </si>
  <si>
    <t>4.500.000.000,00</t>
  </si>
  <si>
    <t>30/8/26</t>
  </si>
  <si>
    <t>PGE</t>
  </si>
  <si>
    <t>Helmi Fauzi</t>
  </si>
  <si>
    <t>AGUS</t>
  </si>
  <si>
    <t xml:space="preserve">Jasa Sewa Sewa Kendaraan Fungsi Direksi Proyek dan Operasi PT. PPI Tahun 2025
</t>
  </si>
  <si>
    <t>002</t>
  </si>
  <si>
    <t>063A/PPI20320/2024-S9</t>
  </si>
  <si>
    <t>300.000.000,00</t>
  </si>
  <si>
    <t>PPI</t>
  </si>
  <si>
    <t>Fatah Gunawan /PPI</t>
  </si>
  <si>
    <t>Jasa Pekerjaan Penunjang Kegiatan Proyek Hululais Tahun 2025</t>
  </si>
  <si>
    <t>003</t>
  </si>
  <si>
    <t>1.809.889.953,00</t>
  </si>
  <si>
    <t>MULYADI</t>
  </si>
  <si>
    <t>Pengadaan Brankas Fungsi Corporate Finance PT PGE</t>
  </si>
  <si>
    <t>004</t>
  </si>
  <si>
    <t>35/PGE280/2025-S0</t>
  </si>
  <si>
    <t>30.200.000,00</t>
  </si>
  <si>
    <t>28/1/25</t>
  </si>
  <si>
    <t>RIO TIRTA</t>
  </si>
  <si>
    <t>ALIF</t>
  </si>
  <si>
    <t>PERBAIKAN CONTROL VALVE DAN PENGGANTIAN OLI CRANE TMC PGE AREA ULUBELU</t>
  </si>
  <si>
    <t>005</t>
  </si>
  <si>
    <t>KE25-005</t>
  </si>
  <si>
    <t>004/PGE255/2025-S0</t>
  </si>
  <si>
    <t>24.900.000,00</t>
  </si>
  <si>
    <t>31/1/25</t>
  </si>
  <si>
    <t>BS UBL/Mba Ratih/Mas Christofel</t>
  </si>
  <si>
    <t>Robby</t>
  </si>
  <si>
    <t>Jasa Supporting Pemindahan Pressure Chamber BDN - KMJ</t>
  </si>
  <si>
    <t>006</t>
  </si>
  <si>
    <t>002/PGE143/2025-S6</t>
  </si>
  <si>
    <t>50.000.000,00</t>
  </si>
  <si>
    <t>16/1/25</t>
  </si>
  <si>
    <t>30/1/25</t>
  </si>
  <si>
    <t>RESERVOIR</t>
  </si>
  <si>
    <t>EKO</t>
  </si>
  <si>
    <t>Jasa Pendukung Kegiatan Survey Lokasi Cluster dan Infrastruktur Lumut Balai Ekstension Bunbun 2025</t>
  </si>
  <si>
    <t>007</t>
  </si>
  <si>
    <t>No.005/PGE121/2025-S0</t>
  </si>
  <si>
    <t>100.000.000,00</t>
  </si>
  <si>
    <t>18/1/25</t>
  </si>
  <si>
    <t>TEGUH</t>
  </si>
  <si>
    <t>Jasa Pembuatan Video 3D Animasi Safety Induction</t>
  </si>
  <si>
    <t>008</t>
  </si>
  <si>
    <t>PADI</t>
  </si>
  <si>
    <t>97.560.000,00</t>
  </si>
  <si>
    <t>20/12/24</t>
  </si>
  <si>
    <t>RIZAL KRH</t>
  </si>
  <si>
    <t>Pengadaan Revitalisasi Tools SAMS dan Civil Modeling Area Karaha</t>
  </si>
  <si>
    <t>009</t>
  </si>
  <si>
    <t>89.205.590,00</t>
  </si>
  <si>
    <t>Jasa Pendukung Kegiatan Survey Pengambilan Sampel Geokimia dan Pemetaan Drone Project Gunung Tiga 2025</t>
  </si>
  <si>
    <t>010</t>
  </si>
  <si>
    <t>SPK belum ada nomornya</t>
  </si>
  <si>
    <t>150.000.000,00</t>
  </si>
  <si>
    <t>20/2/25</t>
  </si>
  <si>
    <t>Fraga / Jodhi</t>
  </si>
  <si>
    <t>Jasa Pendukung Operasional rutin SPN 2025</t>
  </si>
  <si>
    <t>011</t>
  </si>
  <si>
    <t>KE25-011</t>
  </si>
  <si>
    <t>Prodev</t>
  </si>
  <si>
    <t>JASA COPYWRITER SURPRISE DESK, CEO LETTER DAN MATERI DIGITAL ACTIVIST</t>
  </si>
  <si>
    <t>012</t>
  </si>
  <si>
    <t>49.150.080,00</t>
  </si>
  <si>
    <t>ICT PGE / Mba Pritta</t>
  </si>
  <si>
    <t>JASA PEKERJAAN COPYWRITER BROADCAST, CORPORATE WALL DAN MATERI KOMUNIKASI LAINNYA
Periode Januari - Juni 2025</t>
  </si>
  <si>
    <t>013</t>
  </si>
  <si>
    <t>47.600.000,00</t>
  </si>
  <si>
    <t>Jasa Pendukung Kegiatan Tracer Test &amp; TFT Mandiri Call ke-9 Tahun 2025</t>
  </si>
  <si>
    <t>014</t>
  </si>
  <si>
    <t>No. 001/PGE223/2025-S0</t>
  </si>
  <si>
    <t>31/3/25</t>
  </si>
  <si>
    <t xml:space="preserve">Jasa Pendukung Kegiatan Survey Manifestasi Area Lumut Balai  2025
</t>
  </si>
  <si>
    <t>15/2/25</t>
  </si>
  <si>
    <t>015</t>
  </si>
  <si>
    <t>No. 005/PGE123/2025-S0</t>
  </si>
  <si>
    <t>28/2/25</t>
  </si>
  <si>
    <t xml:space="preserve">Jasa Sewa Sewa Kendaraan Fungsi SPBD PT. PPI Tahun 2025
</t>
  </si>
  <si>
    <t>016</t>
  </si>
  <si>
    <t>003/PPI10210/2025-S0</t>
  </si>
  <si>
    <t>ada beberapa Invoice</t>
  </si>
  <si>
    <t xml:space="preserve">Kegiatan Sosialisasi Demobilisasi Rig dan Casing Clamping TLG 3.6 </t>
  </si>
  <si>
    <t>017</t>
  </si>
  <si>
    <t>KE25-017</t>
  </si>
  <si>
    <t xml:space="preserve">006/PGE274/2025-S0
</t>
  </si>
  <si>
    <t>46.760.000,00</t>
  </si>
  <si>
    <t>Jadi no. Pekerjaan KG25-006</t>
  </si>
  <si>
    <t>Jasa Pemasangan Aksesoris DFR PT PGE Area Karaha</t>
  </si>
  <si>
    <t>018</t>
  </si>
  <si>
    <t xml:space="preserve">
006/PGE272/2025-S0
</t>
  </si>
  <si>
    <t>34.720.000,00</t>
  </si>
  <si>
    <t>Jasa Tambahan Sewa Kendaraan Operasional Area Karaha</t>
  </si>
  <si>
    <t>019</t>
  </si>
  <si>
    <t xml:space="preserve">
001/PGE274/2025-S0
</t>
  </si>
  <si>
    <t>49.392.000,00</t>
  </si>
  <si>
    <t>31/5/25</t>
  </si>
  <si>
    <t>Jasa Keperluan Business Support Area Karaha Periode Januari 2025 No. 4600004136</t>
  </si>
  <si>
    <t>020</t>
  </si>
  <si>
    <t xml:space="preserve">007/PGE274/2025-S0
</t>
  </si>
  <si>
    <t>96.157.376,00</t>
  </si>
  <si>
    <t>Jasa Keperluan Business Support Area Karaha Periode Februari 2025 No. 4600004136</t>
  </si>
  <si>
    <t>021</t>
  </si>
  <si>
    <t xml:space="preserve">
009/PGE274/2025-S0
</t>
  </si>
  <si>
    <t>87.550.400,00</t>
  </si>
  <si>
    <t>022</t>
  </si>
  <si>
    <t>038/PGE120/2025-S0</t>
  </si>
  <si>
    <t>25/3/25</t>
  </si>
  <si>
    <t>JASA PEKERJAAN ASESMEN RADIO KOMUNIKASI PT. PERTAMINA GEOTHERMAL ENERGY - AREA ULUBELU</t>
  </si>
  <si>
    <t>023</t>
  </si>
  <si>
    <t>33.120.000,00</t>
  </si>
  <si>
    <t>Jasa Kalibrasi Tangki dan Tera Fuel Dispenser Nozel 2 PT. PGE Area Karaha tahun 2025</t>
  </si>
  <si>
    <t>024</t>
  </si>
  <si>
    <t>34.160.000,00</t>
  </si>
  <si>
    <t>JASA OTOMATISASI KERTAS KERJA RERATE ANALYZER DENGAN MENGGUNAKAN EXCEL MACRO DAN VBA</t>
  </si>
  <si>
    <t>025</t>
  </si>
  <si>
    <t>KE25-025</t>
  </si>
  <si>
    <t>46.112.500</t>
  </si>
  <si>
    <t>30/6/25</t>
  </si>
  <si>
    <t>Finance PGE/Mas Dedy Mulia</t>
  </si>
  <si>
    <t>belum ada Pengeluaran ataupun Invoice,konfirmasi apakah pekerjaan jadi atau tidak</t>
  </si>
  <si>
    <t>JASA OTOMATISASI KERTAS KERJA REKONSILIASI ARAP DENGAN MENGGUNAKAN EXCEL MACRO DAN VBA</t>
  </si>
  <si>
    <t>026</t>
  </si>
  <si>
    <t>KE25-026</t>
  </si>
  <si>
    <t>JASA OTOMATISASI KERTAS KERJA DEPRESIASI FISKAL DENGAN MENGGUNAKAN EXCEL MACRO DAN VBA</t>
  </si>
  <si>
    <t>027</t>
  </si>
  <si>
    <t xml:space="preserve">Jasa Pendukung Kegiatan Tracer Test &amp; TFT Mandiri Call ke-10 Tahun 2025
</t>
  </si>
  <si>
    <t>028</t>
  </si>
  <si>
    <t>029</t>
  </si>
  <si>
    <t>7.973.800,00</t>
  </si>
  <si>
    <t>Jasa Maintenance Aplikasi Steam Allocation</t>
  </si>
  <si>
    <t>030</t>
  </si>
  <si>
    <t xml:space="preserve">Jasa Sewa Sewa Kendaraan Fungsi SPBD PT. PPI Periode Maret 2025
</t>
  </si>
  <si>
    <t>031</t>
  </si>
  <si>
    <t>6.122.448,00</t>
  </si>
  <si>
    <t>Jasa Kegiatan Change Management Project G-bionic</t>
  </si>
  <si>
    <t>032</t>
  </si>
  <si>
    <t>KE25-032</t>
  </si>
  <si>
    <t>14.735.280,00</t>
  </si>
  <si>
    <t>Ops SCM Februari 2025</t>
  </si>
  <si>
    <t>033</t>
  </si>
  <si>
    <t>17.250.000,00</t>
  </si>
  <si>
    <t>Jasa Pemasangan Lampu Kabut 8 Unit KRP dan Pemasangan 2 Unit Dashcam di 2 Unit KRP PT PGE Area Karaha</t>
  </si>
  <si>
    <t>034</t>
  </si>
  <si>
    <t>34.003.200,00</t>
  </si>
  <si>
    <t>Jasa  Support FM, Prod door, Install, mob</t>
  </si>
  <si>
    <t>035</t>
  </si>
  <si>
    <t>Pengadaan Jasa Konsumsi Maret 2025</t>
  </si>
  <si>
    <t>036</t>
  </si>
  <si>
    <t>40.180.000,00</t>
  </si>
  <si>
    <t>Pengadaan Jasa Konsumsi April 2025</t>
  </si>
  <si>
    <t>037</t>
  </si>
  <si>
    <t>83.227.911,00</t>
  </si>
  <si>
    <t>038</t>
  </si>
  <si>
    <t>73.428.000,00</t>
  </si>
  <si>
    <t>Jasa Perbaikan Aktuator EDV KRH-5 PLTP Area Karaha</t>
  </si>
  <si>
    <t>039</t>
  </si>
  <si>
    <t>15.120.000,00</t>
  </si>
  <si>
    <t>Jasa Instalasi Telemetri Sistem Micro Earth Quake (MEQ) Area Lumut Balai Periode Mei 2025</t>
  </si>
  <si>
    <t>040</t>
  </si>
  <si>
    <t>49.379.000,00</t>
  </si>
  <si>
    <t>Jasa Support Operasional BBM Non RFID KRP Fungsi dan Operasional PT PGE Tbk Kantor Pusat Periode Juni 2025</t>
  </si>
  <si>
    <t>041</t>
  </si>
  <si>
    <t>46.000.000,00</t>
  </si>
  <si>
    <t>Jasa Penunjang Proyek Hululais 2025</t>
  </si>
  <si>
    <t>042</t>
  </si>
  <si>
    <t>1.701.756.400,00</t>
  </si>
  <si>
    <t>Jasa Penunjang Biaya Operasional Fungsi SCM Area Karaha Periode April 2025</t>
  </si>
  <si>
    <t>043</t>
  </si>
  <si>
    <t>30/4/25</t>
  </si>
  <si>
    <t>Jasa Tambahan Sewa Kendaraan Operasional April 2025</t>
  </si>
  <si>
    <t>044</t>
  </si>
  <si>
    <t>13.440.000,00</t>
  </si>
  <si>
    <t>Perlengkapan Kerja Ulubelu 2025</t>
  </si>
  <si>
    <t>045</t>
  </si>
  <si>
    <t>485.000.000,00</t>
  </si>
  <si>
    <t>Jasa Eco Eduwisata Kampung Kopi</t>
  </si>
  <si>
    <t>046</t>
  </si>
  <si>
    <t>44.800.000,00</t>
  </si>
  <si>
    <t>27/5/25</t>
  </si>
  <si>
    <t>26/6/25</t>
  </si>
  <si>
    <t>RIZAL</t>
  </si>
  <si>
    <t>Jasa Pemeliharaan Kabel FO Kantor Utama ke PLTP</t>
  </si>
  <si>
    <t>047</t>
  </si>
  <si>
    <t>27.792.139,00</t>
  </si>
  <si>
    <t>23/5/25</t>
  </si>
  <si>
    <t>22/6/25</t>
  </si>
  <si>
    <t>Jasa Relokasi dan Splicing Kabel Power TLG 3 ke KRH 6 di STA 8+400 PT PGE Area Karaha</t>
  </si>
  <si>
    <t>048</t>
  </si>
  <si>
    <t>49.500.000,00</t>
  </si>
  <si>
    <t>20/5/25</t>
  </si>
  <si>
    <t>Sosialisasi Uji Produksi TLG 3.6 PGE Area Karaha Tahun 2025</t>
  </si>
  <si>
    <t>049</t>
  </si>
  <si>
    <t>KE25-049</t>
  </si>
  <si>
    <t>49.896.000,00</t>
  </si>
  <si>
    <t>28/5/25</t>
  </si>
  <si>
    <t>PENGADAAN PERLENGKAPAN PENDUKUNG OPERASIONAL LAPANGAN EXPLORATION &amp; DEVELOPMENT REGION 1 2025</t>
  </si>
  <si>
    <t>050</t>
  </si>
  <si>
    <t>KE25-050</t>
  </si>
  <si>
    <t>22.344.000,00</t>
  </si>
  <si>
    <t>29/6/25</t>
  </si>
  <si>
    <t xml:space="preserve">
Amalina Aulia B. - Geoscience Region 1
</t>
  </si>
  <si>
    <t>Jasa Sewa Crane untuk Pekerjaan Persiapan Uji Sumur TLG 3.6</t>
  </si>
  <si>
    <t>051</t>
  </si>
  <si>
    <t>67.760.000,00</t>
  </si>
  <si>
    <t>Pengadaan Jasa Perbaikan Aktuator rotork PLTP area Karaha</t>
  </si>
  <si>
    <t>052</t>
  </si>
  <si>
    <t>KE25-052</t>
  </si>
  <si>
    <t>38.864.000,00</t>
  </si>
  <si>
    <t>17/6/25</t>
  </si>
  <si>
    <t>053</t>
  </si>
  <si>
    <t>69.417.353,00</t>
  </si>
  <si>
    <t>PEKERJAAN JASA RENOVASI TAMAN DAN COMMAND CENTER KANTOR MABES TNI - CILANGKAP</t>
  </si>
  <si>
    <t>054</t>
  </si>
  <si>
    <t>KE25-054</t>
  </si>
  <si>
    <t>1.000.000.000,00</t>
  </si>
  <si>
    <t>CAD/Pak Agung</t>
  </si>
  <si>
    <t>ROBBY</t>
  </si>
  <si>
    <t>BATAL JADI KG25-019-2</t>
  </si>
  <si>
    <t>Jasa General Services Proyek Eksplorasi Ulubelu Extension 1 (Gunung Tiga) Collective Number S25PLS0007A</t>
  </si>
  <si>
    <t>18/6/25</t>
  </si>
  <si>
    <t>055</t>
  </si>
  <si>
    <t>1.957.887.212,00</t>
  </si>
  <si>
    <t xml:space="preserve">Helmy Fauzi 
-
Geoscience
</t>
  </si>
  <si>
    <t>Pembelian Blank Card - Pertama</t>
  </si>
  <si>
    <t>056</t>
  </si>
  <si>
    <t>KE25-056</t>
  </si>
  <si>
    <t>FM</t>
  </si>
  <si>
    <t>Operasional Sampling &amp; TFT</t>
  </si>
  <si>
    <t>057</t>
  </si>
  <si>
    <t>Sewa Mobil Inova 1 bulan</t>
  </si>
  <si>
    <t>058</t>
  </si>
  <si>
    <t>Pembelian Barang / Jaket / kemeja /  Timberland</t>
  </si>
  <si>
    <t>059</t>
  </si>
  <si>
    <t>Drilling</t>
  </si>
  <si>
    <t>Jasa Pendukung Survei Geokimia Manifestasi Area Kamojang 2025</t>
  </si>
  <si>
    <t>060</t>
  </si>
  <si>
    <t>Ristiyo</t>
  </si>
  <si>
    <t>Jasa Sewa Sewa Kendaraan Fungsi SPBD PT. PPI Periode Juli 2025</t>
  </si>
  <si>
    <t>061</t>
  </si>
  <si>
    <t>12.959.181,00</t>
  </si>
  <si>
    <t>Johan Kaunang Novrian/PPI</t>
  </si>
  <si>
    <t>Jasa Mobilisasi, Demobilisasi dan Pengamanan Crane 25 Ton ke Area Karaha</t>
  </si>
  <si>
    <t>062</t>
  </si>
  <si>
    <t>24.080.000,00</t>
  </si>
  <si>
    <t>Jasa Coating Weelhead Sumur KRH-5 PT PGE Area Karaha</t>
  </si>
  <si>
    <t>063</t>
  </si>
  <si>
    <t>PO 4101414543</t>
  </si>
  <si>
    <t>49.840.000,00</t>
  </si>
  <si>
    <t>Pengadaan Jasa Perbaikan Weather System di PT. PGE area Karaha</t>
  </si>
  <si>
    <t>16/6/25</t>
  </si>
  <si>
    <t>064</t>
  </si>
  <si>
    <t>17.986.000,00</t>
  </si>
  <si>
    <t>Jasa Sewa Crane 25 Ton ( all in ) Utk Pemasangan Pressure Chamber di Sumur KRH-6.1 PGE Area Karaha</t>
  </si>
  <si>
    <t>065</t>
  </si>
  <si>
    <t>43.680.000,00</t>
  </si>
  <si>
    <t>Jasa Penanganan Pohon Rawan Tumbang</t>
  </si>
  <si>
    <t>13/6/25</t>
  </si>
  <si>
    <t>066</t>
  </si>
  <si>
    <t>49.996.800,00</t>
  </si>
  <si>
    <t>Jasa Penunjang Operational Facility Management Area Karaha Juni 2025</t>
  </si>
  <si>
    <t>067</t>
  </si>
  <si>
    <t>8.261.600,00</t>
  </si>
  <si>
    <t>Jasa Tambahan Sewa Kendaraan Operasional Bulan Mei &amp; Juni 2025</t>
  </si>
  <si>
    <t>068</t>
  </si>
  <si>
    <t>29.096.000,00</t>
  </si>
  <si>
    <t>Jasa Penunjang Biaya Operational Fungsi SCM Area Karaha Juni 2025</t>
  </si>
  <si>
    <t>069</t>
  </si>
  <si>
    <t>Jasa Tambahan Sewa Kendaraan Operasional Bulan Juni &amp; Juli 2025</t>
  </si>
  <si>
    <t>070</t>
  </si>
  <si>
    <t>22.904.000,00</t>
  </si>
  <si>
    <t>Stakeholder Engagement Olahraga Bersama 2025 PGE Area Karaha</t>
  </si>
  <si>
    <t>071</t>
  </si>
  <si>
    <t>49.868.000,00</t>
  </si>
  <si>
    <t>Jasa Penunjang Kegiatan CIP di Fungsi Operasi Area Karaha Tahun 2025</t>
  </si>
  <si>
    <t>072</t>
  </si>
  <si>
    <t>KE25-072</t>
  </si>
  <si>
    <t>PENGADAAN JASA PENYEWAAN KENDARAAN 4 UNIT KENDARAAN RODA DUA PROYEK HULULAIS (COLLECTIVE NO. S25PTLS09A)</t>
  </si>
  <si>
    <t>073</t>
  </si>
  <si>
    <t>500.000.000,00</t>
  </si>
  <si>
    <t>HLS</t>
  </si>
  <si>
    <t>Jasa Penanganan Sosial Masyarakat di Area PPKH Proyek Gunung Tiga PT. Pertamina Geothermal Energy Tbk.</t>
  </si>
  <si>
    <t>074</t>
  </si>
  <si>
    <t>1.508.407.615,00</t>
  </si>
  <si>
    <t>25/5/25</t>
  </si>
  <si>
    <t>24/6/25</t>
  </si>
  <si>
    <t>Helmy Fauzi-BS Gunung Tiga</t>
  </si>
  <si>
    <t>Jasa Penunjang Geokimia Cluster, Manifestasi Lumut Balai 2025</t>
  </si>
  <si>
    <t>1-Agu-25</t>
  </si>
  <si>
    <t>075</t>
  </si>
  <si>
    <t>Fraga</t>
  </si>
  <si>
    <t xml:space="preserve">Jasa Pendukung Survei Pengukuran Sumur Slimhole SH.1 dan Drone Manifestasi Area Ulubelu 2025
</t>
  </si>
  <si>
    <t>076</t>
  </si>
  <si>
    <t>No. 080/PGE121/2025-S0</t>
  </si>
  <si>
    <t>Helmi</t>
  </si>
  <si>
    <t>Jasa Pendukung Survei Pengukuran Sumur Slimhole SH.1 dan Drone Manifestasi Area Ulubelu 2025</t>
  </si>
  <si>
    <t>4-Agu-25</t>
  </si>
  <si>
    <t>077</t>
  </si>
  <si>
    <t>23/8/25</t>
  </si>
  <si>
    <t>Jasa Radiography Test (RT) Pipa Header KRH 5 ke KRH 4 PT PGE Area Karaha</t>
  </si>
  <si>
    <t>078</t>
  </si>
  <si>
    <t>124/PGE120/2025-S0</t>
  </si>
  <si>
    <t>28.000.000,00</t>
  </si>
  <si>
    <t>RIZAL KARAHA</t>
  </si>
  <si>
    <t>Pengadaan Jasa Keperluan Business Support Area Karaha Juni 2025</t>
  </si>
  <si>
    <t>079</t>
  </si>
  <si>
    <t>82.546.111,00</t>
  </si>
  <si>
    <t>15/7/25</t>
  </si>
  <si>
    <t>Jasa Perbaikan Heater NaOH dan Motor Blowdown Pit Pump PT PGE Area Karaha</t>
  </si>
  <si>
    <t>080</t>
  </si>
  <si>
    <t>30.024.540,00</t>
  </si>
  <si>
    <t>Perawatan Elevator Kantor</t>
  </si>
  <si>
    <t>7-Agu-25</t>
  </si>
  <si>
    <t>081</t>
  </si>
  <si>
    <t>No. 070/PGE122/2025-S0</t>
  </si>
  <si>
    <t>1/8.25</t>
  </si>
  <si>
    <t>30/8/25</t>
  </si>
  <si>
    <t>LMB</t>
  </si>
  <si>
    <t>Pembelian Brangkas FM</t>
  </si>
  <si>
    <t>11-Agu-25</t>
  </si>
  <si>
    <t>082</t>
  </si>
  <si>
    <t>035/PGE272/2025-S0</t>
  </si>
  <si>
    <t>20.000.000,00</t>
  </si>
  <si>
    <t>FM/PADI</t>
  </si>
  <si>
    <t>Jasa Pengelolaan Operasional Kantor PGE Area Karaha Juni-Juli 2025</t>
  </si>
  <si>
    <t>12-Agu-25</t>
  </si>
  <si>
    <t>083</t>
  </si>
  <si>
    <t>PO 3700326944</t>
  </si>
  <si>
    <t>Jasa Keperluan Business Support Area Karaha - Konsumsi Juli 2025</t>
  </si>
  <si>
    <t>084</t>
  </si>
  <si>
    <t>030/PGE272/2025-S0</t>
  </si>
  <si>
    <t>87.651.200,00</t>
  </si>
  <si>
    <t>Jasa Sewa Sewa Kendaraan Fungsi SPBD PT. PPI Periode Agustus 2025</t>
  </si>
  <si>
    <t>21-Agu-25</t>
  </si>
  <si>
    <t>085</t>
  </si>
  <si>
    <t>10.000.000,00</t>
  </si>
  <si>
    <t>14/8/25</t>
  </si>
  <si>
    <t>31/8/25</t>
  </si>
  <si>
    <t>Nareswari Sumarsono</t>
  </si>
  <si>
    <t>Jasa Sewa Crane untuk Support Revitalisasi GES Persiapan Steam-in Sumur TLG-3.5 dan TLG-3.6</t>
  </si>
  <si>
    <t>086</t>
  </si>
  <si>
    <t>47.127.226,00</t>
  </si>
  <si>
    <t>Sosialisasi Pembersihan Steamblow Sumur TLG 3 PGE Area Karaha Tahun 2025</t>
  </si>
  <si>
    <t>087</t>
  </si>
  <si>
    <t xml:space="preserve">061/PGE274/2025-S0
        </t>
  </si>
  <si>
    <t>49.560.000,00</t>
  </si>
  <si>
    <t>13/8/25</t>
  </si>
  <si>
    <t>Jasa Isi Ulang Gas Kebutuhan Welding PT PGE Area Karaha</t>
  </si>
  <si>
    <t>088</t>
  </si>
  <si>
    <t>PO 3700329281</t>
  </si>
  <si>
    <t>49.280.000,00</t>
  </si>
  <si>
    <t>Jasa Penunjang Biaya Operasional Fungsi SCM Area Karaha Periode Juli 2025</t>
  </si>
  <si>
    <t>089</t>
  </si>
  <si>
    <t>020/PPI10410/2025-S3</t>
  </si>
  <si>
    <t>Pengadaan Penunjang Kerja Tahun 2025 PT PGE Area Karaha M25DAR0004</t>
  </si>
  <si>
    <t>090</t>
  </si>
  <si>
    <t>040/PGE272/2025-S0</t>
  </si>
  <si>
    <t>298.312.020,00</t>
  </si>
  <si>
    <t>Jasa Penunjang Biaya Operasional Fungsi SCM Area Karaha periode Oktober 2025</t>
  </si>
  <si>
    <t>091</t>
  </si>
  <si>
    <t xml:space="preserve">131/PGE274/2025-S0
</t>
  </si>
  <si>
    <t>Jasa Keperluan Business Support Area Karaha periode Oktober 2025</t>
  </si>
  <si>
    <t>092</t>
  </si>
  <si>
    <t>038/PGE272/2025-S0</t>
  </si>
  <si>
    <t>107.087.120,00</t>
  </si>
  <si>
    <t>Jasa Troubleshooting Inverter Turning Gear Turbin PLTP Area Karaha</t>
  </si>
  <si>
    <t>093</t>
  </si>
  <si>
    <t>PO 4101422672</t>
  </si>
  <si>
    <t>62.160.000,00</t>
  </si>
  <si>
    <t>15/10/25</t>
  </si>
  <si>
    <t>Jasa Perbaikan Infrastruktur PLTP Karaha dan Tindak Lanjut Temuan SUPREME PT PGE Area Karaha</t>
  </si>
  <si>
    <t>094</t>
  </si>
  <si>
    <t xml:space="preserve"> PO 4500227213</t>
  </si>
  <si>
    <t>49.060.000,00</t>
  </si>
  <si>
    <t>Jasa Pemenuhan Kompetensi HSSE dan BusinessSupport</t>
  </si>
  <si>
    <t>095</t>
  </si>
  <si>
    <t>79.722.500,00</t>
  </si>
  <si>
    <t>22/10/25</t>
  </si>
  <si>
    <t>Evaluasi IPPKH PGE Area Karaha Tahun 2025</t>
  </si>
  <si>
    <t>096</t>
  </si>
  <si>
    <t>49.000.000,00</t>
  </si>
  <si>
    <t>097</t>
  </si>
  <si>
    <t>KE25-097</t>
  </si>
  <si>
    <t>098</t>
  </si>
  <si>
    <t>KE25-098</t>
  </si>
  <si>
    <t>099</t>
  </si>
  <si>
    <t>KE25-099</t>
  </si>
  <si>
    <t>Jasa Tambahan Sewa Kendaraan Operasional Bulan Juli &amp; Agustus</t>
  </si>
  <si>
    <t>100</t>
  </si>
  <si>
    <t>17.136.000,00</t>
  </si>
  <si>
    <t>28/8/25</t>
  </si>
  <si>
    <t>Jasa Penunjang Biaya Operasional Fungsi SCM Area Karaha periode Agustus 2025</t>
  </si>
  <si>
    <t>101</t>
  </si>
  <si>
    <t>14.260.000,00</t>
  </si>
  <si>
    <t>102</t>
  </si>
  <si>
    <t>Pengadaan Jasa Rekonfigurasi Sistem Komunikasi pasca penambahan peralatan kontrol pemipaan di TLG3 area Karaha</t>
  </si>
  <si>
    <t>103</t>
  </si>
  <si>
    <t>36.400.000,00</t>
  </si>
  <si>
    <t>Pengadaan Jasa Keperluan Business Support Area Karaha Periode Agustus 2025</t>
  </si>
  <si>
    <t>104</t>
  </si>
  <si>
    <t>PO 4101424760</t>
  </si>
  <si>
    <t>132.199.034,00</t>
  </si>
  <si>
    <t>Jasa Sewa Sewa Kendaraan Fungsi SPBD PT. PPI Periode September 2025</t>
  </si>
  <si>
    <t>105</t>
  </si>
  <si>
    <t>PO 4101422673</t>
  </si>
  <si>
    <t>30/9/25</t>
  </si>
  <si>
    <t>Bambang Wijonarko</t>
  </si>
  <si>
    <t>Jasa Supporting Kegiatan Operasional Fungsi Operasi Area Lumut Balai Tahun 2025 - 2027</t>
  </si>
  <si>
    <t>106</t>
  </si>
  <si>
    <t>042/PGE272/2025-S0</t>
  </si>
  <si>
    <t>1.337.500.000,00</t>
  </si>
  <si>
    <t>Jasa Penunjang Kegiatan Operasional PGE LMB Unit 2</t>
  </si>
  <si>
    <t>107</t>
  </si>
  <si>
    <t>043/PGE272/2025-S0</t>
  </si>
  <si>
    <t>49.395.000,00</t>
  </si>
  <si>
    <t>Pembelian APD HSSE Kantor Pusat</t>
  </si>
  <si>
    <t>108</t>
  </si>
  <si>
    <t>KE25-108</t>
  </si>
  <si>
    <t xml:space="preserve"> PO 3700333021
	</t>
  </si>
  <si>
    <t>200.000.000,00</t>
  </si>
  <si>
    <t>HSSE - Tiara</t>
  </si>
  <si>
    <t>Jasa Survey Penilaian Pembebasan Lahan - Pelaksanaan KJPP Cluster 15 Lumut Balai</t>
  </si>
  <si>
    <t>109</t>
  </si>
  <si>
    <t>013/PPI10220/2025-S0</t>
  </si>
  <si>
    <t>120.000.000,00</t>
  </si>
  <si>
    <t>Operasi LMB - Indrayanto</t>
  </si>
  <si>
    <t>Jasa Inventarisasi dan Pengawasan Logistik PT PGE Tbk Proyek Eksplorasi Ulubelu Extension I (Gunung Tiga)</t>
  </si>
  <si>
    <t>110</t>
  </si>
  <si>
    <t>215/PGE260/2025-S0</t>
  </si>
  <si>
    <t>47.999.280,00</t>
  </si>
  <si>
    <t>Helmy Fauzi -BS Gunung Tiga</t>
  </si>
  <si>
    <t>Jasa Pemenuhan Kompetensi Teknis Maintenance</t>
  </si>
  <si>
    <t>3-Okt-25</t>
  </si>
  <si>
    <t>111</t>
  </si>
  <si>
    <t>431/PGE2202/2025-S0</t>
  </si>
  <si>
    <t>77.504.000,00</t>
  </si>
  <si>
    <t>19/8/25</t>
  </si>
  <si>
    <t>RIZAL KARAHA/PADI</t>
  </si>
  <si>
    <t>Perlengkapan Dokumentasi Pemipaan TLG 3 ke KRH 6</t>
  </si>
  <si>
    <t>112</t>
  </si>
  <si>
    <t>103.260.814,00</t>
  </si>
  <si>
    <t>Pengadaan Pakaian &amp; Perlengkapan Kerja Pekerja PT Pertamina Geothermal Energy Area Lumut Balai Tbk</t>
  </si>
  <si>
    <t>14-Okt-25</t>
  </si>
  <si>
    <t>113</t>
  </si>
  <si>
    <t>596.884.500,00</t>
  </si>
  <si>
    <t>Adnan / PGE LMB</t>
  </si>
  <si>
    <t>Jasa Pendukung Survei Gravitasi Presisi Monitoring Area Ulubelu 2025</t>
  </si>
  <si>
    <t>114</t>
  </si>
  <si>
    <t xml:space="preserve">046/PGE1201/2025-S0
	</t>
  </si>
  <si>
    <t>600.000.000,00</t>
  </si>
  <si>
    <t>Lendri</t>
  </si>
  <si>
    <t>Jasa Pendukung Survei Geokimia dan Pemetaan Drone Manifestasi Area Sibayak 2025</t>
  </si>
  <si>
    <t>115</t>
  </si>
  <si>
    <t>18/10/25</t>
  </si>
  <si>
    <t>FRAGA</t>
  </si>
  <si>
    <t>Jasa Penunjang Survey Geohazards di Kamojang 2025</t>
  </si>
  <si>
    <t>16-Okt-25</t>
  </si>
  <si>
    <t>116</t>
  </si>
  <si>
    <t>Geosains</t>
  </si>
  <si>
    <t>Jasa Pendukung Survey Cluster Sumur Pengembangan Kerinci-Sungai Penuh 2025</t>
  </si>
  <si>
    <t>18-Okt-25</t>
  </si>
  <si>
    <t>117</t>
  </si>
  <si>
    <t>70.000.000,00</t>
  </si>
  <si>
    <t>Tommy Hendriansyah</t>
  </si>
  <si>
    <t>Pengadaan Jasa Perbaikan Konektor Kabel Sistem Kontrol PLTP dan Instalasi Tambahan Dehumidifier di PT PGE Area karaha</t>
  </si>
  <si>
    <t>22-Okt-25</t>
  </si>
  <si>
    <t>118</t>
  </si>
  <si>
    <t>No. 144/PGE120/2025-S0</t>
  </si>
  <si>
    <t>13/10/25</t>
  </si>
  <si>
    <t>Jasa Penunjang Biaya Operasional Fungsi SCM Area Karaha periode September 2025</t>
  </si>
  <si>
    <t>119</t>
  </si>
  <si>
    <t>No. 010/PGE121/2025-S0</t>
  </si>
  <si>
    <t>14/10/25</t>
  </si>
  <si>
    <t>Jasa Tambahan Sewa Kendaraan Operasional Bulan Agustus &amp; September 2025</t>
  </si>
  <si>
    <t>120</t>
  </si>
  <si>
    <t>32.144.000,00</t>
  </si>
  <si>
    <t>Pengadaan Jasa Keperluan Business Support Area Karaha Periode September 2025</t>
  </si>
  <si>
    <t>121</t>
  </si>
  <si>
    <t>No. 114/PGE121/2025-S0</t>
  </si>
  <si>
    <t>83.804.896,00</t>
  </si>
  <si>
    <t>Jasa Kajian Dokumen Rapid Enviromental Assesment (REA)</t>
  </si>
  <si>
    <t>122</t>
  </si>
  <si>
    <t>055/PGE272/2025-S0</t>
  </si>
  <si>
    <t>40.000.000,00</t>
  </si>
  <si>
    <t>Jasa Sewa Sewa Kendaraan Fungsi SPBD PT. PPI Periode Oktober 2025</t>
  </si>
  <si>
    <t>23-Okt-25</t>
  </si>
  <si>
    <t>123</t>
  </si>
  <si>
    <t>PO 4101431837</t>
  </si>
  <si>
    <t>16/10/25</t>
  </si>
  <si>
    <t>Dendy Romulo</t>
  </si>
  <si>
    <t xml:space="preserve">Jasa Pendukung Survey Vertical Gravity Gradient Area Karaha  2025
</t>
  </si>
  <si>
    <t>124</t>
  </si>
  <si>
    <t>PO 4101431170</t>
  </si>
  <si>
    <t>400.000.000,00</t>
  </si>
  <si>
    <t>LTC KMJ</t>
  </si>
  <si>
    <t>125</t>
  </si>
  <si>
    <t>PO 3700336724</t>
  </si>
  <si>
    <t>4.300.000.000,00</t>
  </si>
  <si>
    <t>31/12/26</t>
  </si>
  <si>
    <t>KMJ</t>
  </si>
  <si>
    <t>Jasa Sewa Sewa Kendaraan Fungsi Managemen Resiko PT. PPI  2025</t>
  </si>
  <si>
    <t>126</t>
  </si>
  <si>
    <t xml:space="preserve">016/PGE270/2025-S0
</t>
  </si>
  <si>
    <t>2.040.816,00</t>
  </si>
  <si>
    <t>30/11/25</t>
  </si>
  <si>
    <t>wulan</t>
  </si>
  <si>
    <t>Jasa Pendukung Survei Gravitasi Presisi Monitoring Area Kamojang 2025</t>
  </si>
  <si>
    <t>127</t>
  </si>
  <si>
    <t>026/PPI10310/2025-S3</t>
  </si>
  <si>
    <t>14/1/25</t>
  </si>
  <si>
    <t>Jasa Pendukung Survey Manifestasi Prospek Panas Bumi Cubadak Panti dan Simisuh Sumatera Barat 2025</t>
  </si>
  <si>
    <t>128</t>
  </si>
  <si>
    <t>No. 160/PGE120/2025-S0</t>
  </si>
  <si>
    <t>Naufal</t>
  </si>
  <si>
    <t>BATCH-2 - Pengadaan Peralatan Survey Pekerja Fungsi Reservoir dan TKJP</t>
  </si>
  <si>
    <t>2-Des-25</t>
  </si>
  <si>
    <t>129</t>
  </si>
  <si>
    <t>KE25-129</t>
  </si>
  <si>
    <t>77.830.000,00</t>
  </si>
  <si>
    <t>Eben Ezer / Reservoar PGE JKT</t>
  </si>
  <si>
    <t>Jasa Sewa Sewa Kendaraan Fungsi SPBD PT. PPI Periode November 2025</t>
  </si>
  <si>
    <t>4-Des-25</t>
  </si>
  <si>
    <t>130</t>
  </si>
  <si>
    <t>064/PPI50100/2025-S0</t>
  </si>
  <si>
    <t>2.959.183,00</t>
  </si>
  <si>
    <t>15/11/25</t>
  </si>
  <si>
    <t>16/11/25</t>
  </si>
  <si>
    <t>Adrisman Tahar</t>
  </si>
  <si>
    <t>Jasa Perbaikan Control Valve Drain LRVP PLTP PGE Area Karaha</t>
  </si>
  <si>
    <t>9-Des-25</t>
  </si>
  <si>
    <t>131</t>
  </si>
  <si>
    <t>49.224.000,00</t>
  </si>
  <si>
    <t>RIZAL/KARAHA</t>
  </si>
  <si>
    <t xml:space="preserve"> Jasa Splacing FO dan Service Peralatan Multimedia
	</t>
  </si>
  <si>
    <t>132</t>
  </si>
  <si>
    <t>No. 139/PGE123/2025-S0</t>
  </si>
  <si>
    <t>21.747.099,00</t>
  </si>
  <si>
    <t>Jasa Revitalisasi Meja dan Kursi Kerja Kantor Utama PGE Karaha</t>
  </si>
  <si>
    <t>133</t>
  </si>
  <si>
    <t>PO PADI 2025-12-01-279877120</t>
  </si>
  <si>
    <t>49.952.000,00</t>
  </si>
  <si>
    <t>18/11/25</t>
  </si>
  <si>
    <t>Jasa Penebangan Pohon di bawah Jalur Transmisi Karaha / ROW Periode September - November 2025</t>
  </si>
  <si>
    <t>134</t>
  </si>
  <si>
    <t>042/PPI10210/2025-S3</t>
  </si>
  <si>
    <t>29.321.600,00</t>
  </si>
  <si>
    <t>Jasa tambahan sewa kendaraan operasional area Karaha periode September - Oktober 2025</t>
  </si>
  <si>
    <t>135</t>
  </si>
  <si>
    <t xml:space="preserve"> 060/PGE272/2025-S0
	</t>
  </si>
  <si>
    <t>48.384.000,00</t>
  </si>
  <si>
    <t>Jasa Penyesuaian Patok Tower 31 PT PGE Area Karaha</t>
  </si>
  <si>
    <t>136</t>
  </si>
  <si>
    <t xml:space="preserve"> 196/PGE274/2025-S0</t>
  </si>
  <si>
    <t>41.440.000,00</t>
  </si>
  <si>
    <t>19/12/25</t>
  </si>
  <si>
    <t>Pengadaan Interior Emergency Exit PT PGE Area Karaha</t>
  </si>
  <si>
    <t>137</t>
  </si>
  <si>
    <t xml:space="preserve"> 201/PGE274/2025-S0</t>
  </si>
  <si>
    <t>99.493.632,00</t>
  </si>
  <si>
    <t xml:space="preserve"> Jasa Revitalisasi Nursery PGE Area Karaha
        </t>
  </si>
  <si>
    <t>138</t>
  </si>
  <si>
    <t>021/PGE271/2025-S0</t>
  </si>
  <si>
    <t>99.235.000,00</t>
  </si>
  <si>
    <t>Jasa Backup dan Restore sistem EWS OWS PLTP</t>
  </si>
  <si>
    <t>139</t>
  </si>
  <si>
    <t>KE25-139</t>
  </si>
  <si>
    <t>PO 4101436549</t>
  </si>
  <si>
    <t>44.329.600,00</t>
  </si>
  <si>
    <t>Jasa Perbaikan Pengamanan CCTV PLTP dan STA 5+0</t>
  </si>
  <si>
    <t>140</t>
  </si>
  <si>
    <t>KE25-140</t>
  </si>
  <si>
    <t>202/PGE274/2025-S0</t>
  </si>
  <si>
    <t>98.943.985,00</t>
  </si>
  <si>
    <t>Dokumentasi Turbine Cleaning</t>
  </si>
  <si>
    <t>141</t>
  </si>
  <si>
    <t>KE25-141</t>
  </si>
  <si>
    <t>Pengadaan VIA PADI</t>
  </si>
  <si>
    <t>35.280.000,00</t>
  </si>
  <si>
    <t xml:space="preserve"> Jasa Pendukung Survey Manifestasi dengan Drone Thermal Tahun 2025
</t>
  </si>
  <si>
    <t>16-Des-25</t>
  </si>
  <si>
    <t>142</t>
  </si>
  <si>
    <t>125.000.000,00</t>
  </si>
  <si>
    <t>Fraga/PGE</t>
  </si>
  <si>
    <t>Jasa Survey Lokasi Rehabilitasi Infrastruktur Lumut Balai Unit 4</t>
  </si>
  <si>
    <t>22-Des-25</t>
  </si>
  <si>
    <t>143</t>
  </si>
  <si>
    <t>066/PGE272/2025-S0</t>
  </si>
  <si>
    <t>21/12/25</t>
  </si>
  <si>
    <t>25/12/25</t>
  </si>
  <si>
    <t>Jasa Penunjang Biaya Operasional Fungsi SCM Area Karaha periode November 2025</t>
  </si>
  <si>
    <t>144</t>
  </si>
  <si>
    <t>Jasa penunjang Forum CIP tim Beruang Bodas di Subholding PNRE</t>
  </si>
  <si>
    <t>145</t>
  </si>
  <si>
    <t>218/PGE274/2025-S0</t>
  </si>
  <si>
    <t>39.905.000,00</t>
  </si>
  <si>
    <t>28/11/25</t>
  </si>
  <si>
    <t>Konsumsi November 2025</t>
  </si>
  <si>
    <t>146</t>
  </si>
  <si>
    <t xml:space="preserve">No. 150/PGE121/2025-S0
</t>
  </si>
  <si>
    <t>118.492.416,00</t>
  </si>
  <si>
    <t>Jasa Penunjang Biaya Operasional Fungsi SCM Area Karaha periode Desember 2025</t>
  </si>
  <si>
    <t>147</t>
  </si>
  <si>
    <t>KE25-147</t>
  </si>
  <si>
    <t>No. 159/PGE121/2025-S0</t>
  </si>
  <si>
    <t>20.700.000,00</t>
  </si>
  <si>
    <t>Jasa Pengurusan Izin Siar Radio (ISR) dan Implementasi Firewall OT PGE</t>
  </si>
  <si>
    <t>148</t>
  </si>
  <si>
    <t>PO 4101441373</t>
  </si>
  <si>
    <t>Konsumsi Des 2025</t>
  </si>
  <si>
    <t>149</t>
  </si>
  <si>
    <t>KE25-149</t>
  </si>
  <si>
    <t xml:space="preserve"> 	
072/PGE072/2025-S0</t>
  </si>
  <si>
    <t>157.668.000,00</t>
  </si>
  <si>
    <t xml:space="preserve"> 	
PO 3700345314</t>
  </si>
  <si>
    <t xml:space="preserve"> 	
PO 4101441369</t>
  </si>
  <si>
    <t xml:space="preserve"> 	
PO 3700346232</t>
  </si>
  <si>
    <t>No</t>
  </si>
  <si>
    <t>Bulan</t>
  </si>
  <si>
    <t>Huruf</t>
  </si>
  <si>
    <t>No Urut</t>
  </si>
  <si>
    <t>No Invoice</t>
  </si>
  <si>
    <t>No.Kontrak /SPK</t>
  </si>
  <si>
    <t>NO PEKERJAAN</t>
  </si>
  <si>
    <t>PT</t>
  </si>
  <si>
    <t>Fungsi</t>
  </si>
  <si>
    <t>Judul Invoice</t>
  </si>
  <si>
    <t>Nominal Invoice</t>
  </si>
  <si>
    <t>Total stlh Profit</t>
  </si>
  <si>
    <t>Total stlh PPN</t>
  </si>
  <si>
    <t>POSISI Terakhir</t>
  </si>
  <si>
    <t>PIC KPG</t>
  </si>
  <si>
    <t>NO FAKTUR</t>
  </si>
  <si>
    <t>USER</t>
  </si>
  <si>
    <t>JANUARI</t>
  </si>
  <si>
    <t>PE25-</t>
  </si>
  <si>
    <t>KARAHA</t>
  </si>
  <si>
    <t xml:space="preserve">Jasa Tambahan Sewa Kendaraan Operasional Area Karaha Periode Desember 2024 </t>
  </si>
  <si>
    <t>PUSAT</t>
  </si>
  <si>
    <t>Agus</t>
  </si>
  <si>
    <t xml:space="preserve">Batal Nomor Invoice </t>
  </si>
  <si>
    <t xml:space="preserve">Jasa Repair Dan Modifikasi Positioner CV HWP PGE Area Kraha </t>
  </si>
  <si>
    <t xml:space="preserve">Jasa Pembuatan Video 3D Animasi Safety Induction PGE Area Karaha </t>
  </si>
  <si>
    <t>FEBRUARI</t>
  </si>
  <si>
    <t xml:space="preserve">Tenaga Kerja </t>
  </si>
  <si>
    <t>CHATALYNA</t>
  </si>
  <si>
    <t>MARET</t>
  </si>
  <si>
    <t> KE25-016</t>
  </si>
  <si>
    <t xml:space="preserve">Jasa Pemasangan Aksesoris DFR PGE Area Karaha </t>
  </si>
  <si>
    <t>KEUANGAN</t>
  </si>
  <si>
    <t xml:space="preserve">Tagihan Periode Desember 2025 Pengadaan Jasa Sewa Dispenser Penyediaan Air Minum Kantor Pusat PGE </t>
  </si>
  <si>
    <t xml:space="preserve">Tagihan Periode Jan - Feb  2025 Pengadaan Jasa Sewa Dispenser Penyediaan Air Minum Kantor Pusat PGE </t>
  </si>
  <si>
    <t>DAVID</t>
  </si>
  <si>
    <t>APRIL</t>
  </si>
  <si>
    <t xml:space="preserve">Jasa Pekerjaan Asesmen Radio Komunikasi PGE Area Ululbelu </t>
  </si>
  <si>
    <t xml:space="preserve">Tagihan Periode Januari sd Maret 2025 Jasa Pembuatan Video komunikasi </t>
  </si>
  <si>
    <t xml:space="preserve">Jasa Sewa Kendaraan Agenda Preventive Maintenence MV Panel </t>
  </si>
  <si>
    <t xml:space="preserve">Jasa Sewa Kendaraan Agenda Joint Infection GEG RU Dumai Tahap II Proyek Flare Gas </t>
  </si>
  <si>
    <t xml:space="preserve">Jasa Sewa Kendaraan Agenda Safari Ramadhan </t>
  </si>
  <si>
    <t xml:space="preserve"> </t>
  </si>
  <si>
    <t xml:space="preserve">Jasa Sewa Kendaraan Pengembangan Proyek NEBS dan Rencana Kunjungan Lapangan Ke Wilayah Otorita Ibu Kota Nusantara </t>
  </si>
  <si>
    <t xml:space="preserve">Pengadaan Jasa Pekerjaan Penunjang Kegiatan Proyek Hululais </t>
  </si>
  <si>
    <t xml:space="preserve">Jasa Sewa Kendaraan Site Visit RU PPI Periode Maret 2025 </t>
  </si>
  <si>
    <t>MEI</t>
  </si>
  <si>
    <t xml:space="preserve">KE165 </t>
  </si>
  <si>
    <t xml:space="preserve">JASA PERBAIKAN AKTUATOR EDV-KRH </t>
  </si>
  <si>
    <t xml:space="preserve">MEQ AREA KAMOJANG </t>
  </si>
  <si>
    <t xml:space="preserve">TAGIHAN PERIODE APR-MEI 2025 JASA MAINTENCE APLIKASI SISTEM ALLOCATION </t>
  </si>
  <si>
    <t xml:space="preserve">Jasa Sewa Kendaraan Agenda Pelaksanaan Management Walkthrought Sei Mengkei </t>
  </si>
  <si>
    <t xml:space="preserve">Jasa Sewa Kendaraan Agenda PSSR PLTS </t>
  </si>
  <si>
    <t>JUNI</t>
  </si>
  <si>
    <t xml:space="preserve">BBM NON RFID PGE KANTOR PUSAT </t>
  </si>
  <si>
    <t xml:space="preserve">Jasa Penunjang Operasional Fungsi SCM Area Karaha </t>
  </si>
  <si>
    <t xml:space="preserve">Jasa Pemeliharan Kabel FO Kantor utama PLTP area karaha </t>
  </si>
  <si>
    <t xml:space="preserve">Jasa Sosialisasi Uji Sumur Area Karaha </t>
  </si>
  <si>
    <t xml:space="preserve">KE143 </t>
  </si>
  <si>
    <t xml:space="preserve">Jasa Sewa Mobile Crane 25 ton untuk persiapan uji sumur </t>
  </si>
  <si>
    <t>ZUL</t>
  </si>
  <si>
    <t>JULI</t>
  </si>
  <si>
    <t xml:space="preserve">JASA KEGIATAN CHANGE MANAGEMENT PROJECT G-BIONIC </t>
  </si>
  <si>
    <t xml:space="preserve">Jasa Sewa Kendaraan Kegiatan Survei Lapangan Proyek PLTS Sei Mengkei </t>
  </si>
  <si>
    <t xml:space="preserve">Jasa Sewa Kendaraan Kegiatan Andwijizing Proyek PLTS Sei Mengkei </t>
  </si>
  <si>
    <t xml:space="preserve">Jasa Sewa Kendaraan Kegiatan Custesy Visit Fungsi Reliability Service </t>
  </si>
  <si>
    <t xml:space="preserve">Jasa Sewa Kendaraan Agenda Workshop &amp; Sharing Kowladge Operation &amp; Maintence Wter Treatment </t>
  </si>
  <si>
    <t>150</t>
  </si>
  <si>
    <t>151</t>
  </si>
  <si>
    <t>152</t>
  </si>
  <si>
    <t>153</t>
  </si>
  <si>
    <t xml:space="preserve">Jasa General Services Proyek Eksplorasi Ulubelu Extention 1 </t>
  </si>
  <si>
    <t>154</t>
  </si>
  <si>
    <t xml:space="preserve">Jasa Pengelolaan dan Kontrol Dokumen Proyek Pemipaan Karaha </t>
  </si>
  <si>
    <t>155</t>
  </si>
  <si>
    <t>155-1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</si>
  <si>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</si>
  <si>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</si>
  <si>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</si>
  <si>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</si>
  <si>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</si>
  <si>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</si>
  <si>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</si>
  <si>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</si>
  <si>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</si>
  <si>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 xml:space="preserve">Jasa sewa crane 250 ton </t>
  </si>
  <si>
    <t>165</t>
  </si>
  <si>
    <t xml:space="preserve">Jasa coating wellhead sumur krh 5 PT PGE Karaha </t>
  </si>
  <si>
    <t>166</t>
  </si>
  <si>
    <t xml:space="preserve">Pengadaan jasa perbaikan weather system area karaha </t>
  </si>
  <si>
    <t>167</t>
  </si>
  <si>
    <t>168</t>
  </si>
  <si>
    <t xml:space="preserve">Jasa penunjang operasional facility  management area karaha mei 2025 </t>
  </si>
  <si>
    <t>169</t>
  </si>
  <si>
    <t>170</t>
  </si>
  <si>
    <t>171</t>
  </si>
  <si>
    <t>172</t>
  </si>
  <si>
    <t>173</t>
  </si>
  <si>
    <t>174</t>
  </si>
  <si>
    <t>AGUSTUS</t>
  </si>
  <si>
    <t>175</t>
  </si>
  <si>
    <t xml:space="preserve">Jasa support kegiatan stakeholder engagement olahraga bersama 2025 Area Karaha 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</si>
  <si>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</si>
  <si>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</si>
  <si>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</si>
  <si>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</si>
  <si>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</si>
  <si>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</si>
  <si>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</si>
  <si>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</si>
  <si>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</si>
  <si>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</si>
  <si>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</si>
  <si>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</si>
  <si>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 xml:space="preserve">Pekerjaan Radiography Test Pipa Header KRH 5 </t>
  </si>
  <si>
    <t>188</t>
  </si>
  <si>
    <t>189</t>
  </si>
  <si>
    <t xml:space="preserve">Pengadaan jasa operasional kendaraan ringan penumpang (KRP) dan operasional SCM Area lumut balai </t>
  </si>
  <si>
    <t>190</t>
  </si>
  <si>
    <t>191</t>
  </si>
  <si>
    <t xml:space="preserve">Jasa Pengiriman Peralatan dan Sampel kegiatan Uji Produksi Sibayak        </t>
  </si>
  <si>
    <t>192</t>
  </si>
  <si>
    <t>193</t>
  </si>
  <si>
    <t>194</t>
  </si>
  <si>
    <t>195</t>
  </si>
  <si>
    <t>196</t>
  </si>
  <si>
    <t>197</t>
  </si>
  <si>
    <t>198</t>
  </si>
  <si>
    <t xml:space="preserve">Jasa sewa kendaraan agenda site survey ker RU II dumai proyek FTP dan GEG RU II Dumai </t>
  </si>
  <si>
    <t>199</t>
  </si>
  <si>
    <t>200</t>
  </si>
  <si>
    <t xml:space="preserve">Jasa Sewa Kendaraan Agenda Pelaksanaan Kegiatan Survei Lapangan PLTP Area Karaha </t>
  </si>
  <si>
    <t xml:space="preserve">SEPTEMBER </t>
  </si>
  <si>
    <t>1/9/25</t>
  </si>
  <si>
    <t xml:space="preserve">jasa penunjang sosialisasi pembersihan </t>
  </si>
  <si>
    <t>OCA</t>
  </si>
  <si>
    <t xml:space="preserve">Jasa sewa kendaraan agenda join survey lokasi renovasi power house PLTS main office </t>
  </si>
  <si>
    <t xml:space="preserve">Jasa sewa kendaraan agenda courtesy visit RU III plaju </t>
  </si>
  <si>
    <t xml:space="preserve">Jasa Troubleshoot DFR PLTP Karaha Unit-1 </t>
  </si>
  <si>
    <t xml:space="preserve">MEQ Area Lumut Balai Periode September 2025 </t>
  </si>
  <si>
    <t xml:space="preserve">LMB , Jasa Supporting kegiatan operasional fungsi operasi area lumut balai 2025-2027 - Tahap I </t>
  </si>
  <si>
    <t>OKTOBER</t>
  </si>
  <si>
    <t xml:space="preserve">Jasa sewa kendaraan Pekanbaru </t>
  </si>
  <si>
    <t xml:space="preserve">Jasa sewa kendaraan  kegiatan KoM renovasi power house wing main office </t>
  </si>
  <si>
    <t xml:space="preserve">Jasa penunjang survei geokimia manifestasi tahun 2025 di lapangan kamojang </t>
  </si>
  <si>
    <t xml:space="preserve">Pengadaan Perlengkapan Dokumentasi Pemipaan TLG 3 ke KRH </t>
  </si>
  <si>
    <t xml:space="preserve">Survey cluster sumur pengembangan kerinci - sungai penuh tahun 2025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</si>
</sst>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-* #,##0_-;\-* #,##0_-;_-* &quot;-&quot;_-;_-@"/>
    <numFmt numFmtId="165" formatCode="d/m/yy"/>
    <numFmt numFmtId="166" formatCode="&quot;$&quot;#,##0.00"/>
    <numFmt numFmtId="167" formatCode="[$-409]d\-mmm\-yy"/>
    <numFmt numFmtId="168" formatCode="_-* #,##0.00_-;\-* #,##0.00_-;_-* &quot;-&quot;??_-;_-@"/>
    <numFmt numFmtId="169" formatCode="m/d/yy"/>
    <numFmt numFmtId="170" formatCode="yyyy\-mm\-dd"/>
    <numFmt numFmtId="171" formatCode="_-* #,##0_-;\-* #,##0_-;_-* &quot;-&quot;??_-;_-@"/>
    <numFmt numFmtId="172" formatCode="0000"/>
    <numFmt numFmtId="173" formatCode="[$-409]dd\-mmm\-yy"/>
    <numFmt numFmtId="174" formatCode="d\.\ mmmm"/>
    <numFmt numFmtId="175" formatCode="d/m/yyyy"/>
    <numFmt numFmtId="176" formatCode="dd/mm/yy"/>
  </numFmts>
  <fonts count="20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FF0000"/>
      <name val="Arial"/>
    </font>
    <font>
      <color theme="1"/>
      <name val="Bookman Old Style"/>
    </font>
    <font>
      <color rgb="FF000000"/>
      <name val="Bookman Old Style"/>
    </font>
    <font>
      <sz val="11.0"/>
      <color theme="1"/>
      <name val="Calibri"/>
    </font>
    <font>
      <sz val="11.0"/>
      <color rgb="FF500050"/>
      <name val="Calibri"/>
    </font>
    <font>
      <sz val="11.0"/>
      <color rgb="FFFF0000"/>
      <name val="Calibri"/>
    </font>
    <font>
      <color theme="1"/>
      <name val="Calibri"/>
    </font>
    <font>
      <color rgb="FF222222"/>
      <name val="Calibri"/>
    </font>
    <font>
      <b/>
      <sz val="10.0"/>
      <color theme="1"/>
      <name val="Bookman Old Style"/>
    </font>
    <font>
      <sz val="10.0"/>
      <color rgb="FF000000"/>
      <name val="Bookman Old Style"/>
    </font>
    <font>
      <sz val="10.0"/>
      <color theme="1"/>
      <name val="Bookman Old Style"/>
    </font>
    <font>
      <sz val="10.0"/>
      <color rgb="FFFF0000"/>
      <name val="Bookman Old Style"/>
    </font>
    <font>
      <strike/>
      <sz val="10.0"/>
      <color rgb="FFFF0000"/>
      <name val="Bookman Old Style"/>
    </font>
    <font>
      <sz val="11.0"/>
      <color theme="1"/>
      <name val="Bookman Old Style"/>
    </font>
    <font>
      <sz val="10.0"/>
      <color rgb="FF222222"/>
      <name val="Bookman Old Style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right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/>
    </xf>
    <xf borderId="1" fillId="0" fontId="3" numFmtId="14" xfId="0" applyAlignment="1" applyBorder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4" numFmtId="0" xfId="0" applyBorder="1" applyFont="1"/>
    <xf borderId="1" fillId="0" fontId="2" numFmtId="0" xfId="0" applyAlignment="1" applyBorder="1" applyFont="1">
      <alignment horizontal="left" readingOrder="0" shrinkToFit="0" wrapText="1"/>
    </xf>
    <xf borderId="1" fillId="0" fontId="3" numFmtId="164" xfId="0" applyAlignment="1" applyBorder="1" applyFont="1" applyNumberFormat="1">
      <alignment horizontal="right"/>
    </xf>
    <xf borderId="1" fillId="0" fontId="3" numFmtId="164" xfId="0" applyBorder="1" applyFont="1" applyNumberFormat="1"/>
    <xf borderId="1" fillId="0" fontId="4" numFmtId="0" xfId="0" applyAlignment="1" applyBorder="1" applyFont="1">
      <alignment horizontal="right" readingOrder="0"/>
    </xf>
    <xf borderId="1" fillId="0" fontId="3" numFmtId="164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164" xfId="0" applyAlignment="1" applyBorder="1" applyFont="1" applyNumberFormat="1">
      <alignment horizontal="center" readingOrder="0"/>
    </xf>
    <xf borderId="1" fillId="0" fontId="6" numFmtId="164" xfId="0" applyAlignment="1" applyBorder="1" applyFont="1" applyNumberFormat="1">
      <alignment horizontal="left" readingOrder="0" shrinkToFit="0" wrapText="1"/>
    </xf>
    <xf borderId="1" fillId="0" fontId="7" numFmtId="0" xfId="0" applyAlignment="1" applyBorder="1" applyFont="1">
      <alignment horizontal="right"/>
    </xf>
    <xf borderId="1" fillId="0" fontId="4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left"/>
    </xf>
    <xf borderId="1" fillId="0" fontId="7" numFmtId="164" xfId="0" applyAlignment="1" applyBorder="1" applyFont="1" applyNumberFormat="1">
      <alignment horizontal="right"/>
    </xf>
    <xf borderId="1" fillId="0" fontId="7" numFmtId="164" xfId="0" applyAlignment="1" applyBorder="1" applyFont="1" applyNumberFormat="1">
      <alignment horizontal="right" shrinkToFit="0" wrapText="1"/>
    </xf>
    <xf borderId="1" fillId="0" fontId="6" numFmtId="165" xfId="0" applyAlignment="1" applyBorder="1" applyFont="1" applyNumberFormat="1">
      <alignment horizontal="center" readingOrder="0"/>
    </xf>
    <xf borderId="1" fillId="0" fontId="7" numFmtId="164" xfId="0" applyAlignment="1" applyBorder="1" applyFont="1" applyNumberFormat="1">
      <alignment horizontal="right" readingOrder="0" shrinkToFit="0" wrapText="1"/>
    </xf>
    <xf borderId="1" fillId="0" fontId="7" numFmtId="164" xfId="0" applyAlignment="1" applyBorder="1" applyFont="1" applyNumberFormat="1">
      <alignment horizontal="right" readingOrder="0"/>
    </xf>
    <xf borderId="1" fillId="0" fontId="6" numFmtId="164" xfId="0" applyAlignment="1" applyBorder="1" applyFont="1" applyNumberFormat="1">
      <alignment horizontal="center" readingOrder="0" vertical="bottom"/>
    </xf>
    <xf borderId="1" fillId="0" fontId="6" numFmtId="165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8" numFmtId="164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0" fillId="0" fontId="3" numFmtId="14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4" xfId="0" applyFont="1" applyNumberFormat="1"/>
    <xf borderId="0" fillId="0" fontId="3" numFmtId="164" xfId="0" applyAlignment="1" applyFont="1" applyNumberFormat="1">
      <alignment horizontal="left" shrinkToFit="0" wrapText="1"/>
    </xf>
    <xf borderId="0" fillId="0" fontId="3" numFmtId="164" xfId="0" applyAlignment="1" applyFont="1" applyNumberFormat="1">
      <alignment horizontal="right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1" numFmtId="0" xfId="0" applyAlignment="1" applyBorder="1" applyFont="1">
      <alignment horizontal="center" vertical="center"/>
    </xf>
    <xf borderId="1" fillId="2" fontId="1" numFmtId="166" xfId="0" applyAlignment="1" applyBorder="1" applyFont="1" applyNumberFormat="1">
      <alignment horizontal="right" vertical="center"/>
    </xf>
    <xf borderId="1" fillId="2" fontId="1" numFmtId="1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left" vertical="center"/>
    </xf>
    <xf borderId="0" fillId="0" fontId="3" numFmtId="0" xfId="0" applyAlignment="1" applyFont="1">
      <alignment horizontal="center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8" numFmtId="167" xfId="0" applyAlignment="1" applyBorder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quotePrefix="1" borderId="1" fillId="0" fontId="8" numFmtId="0" xfId="0" applyAlignment="1" applyBorder="1" applyFont="1">
      <alignment horizontal="center"/>
    </xf>
    <xf borderId="1" fillId="0" fontId="3" numFmtId="0" xfId="0" applyBorder="1" applyFont="1"/>
    <xf borderId="1" fillId="0" fontId="8" numFmtId="166" xfId="0" applyAlignment="1" applyBorder="1" applyFont="1" applyNumberFormat="1">
      <alignment horizontal="right" readingOrder="0" shrinkToFit="0" vertical="center" wrapText="1"/>
    </xf>
    <xf borderId="1" fillId="0" fontId="8" numFmtId="1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/>
    </xf>
    <xf borderId="1" fillId="0" fontId="3" numFmtId="166" xfId="0" applyAlignment="1" applyBorder="1" applyFont="1" applyNumberFormat="1">
      <alignment horizontal="right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8" numFmtId="14" xfId="0" applyAlignment="1" applyBorder="1" applyFont="1" applyNumberFormat="1">
      <alignment horizontal="center" shrinkToFit="0" vertical="center" wrapText="1"/>
    </xf>
    <xf borderId="1" fillId="0" fontId="3" numFmtId="14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0" fontId="3" numFmtId="166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10" numFmtId="0" xfId="0" applyAlignment="1" applyBorder="1" applyFont="1">
      <alignment horizontal="center"/>
    </xf>
    <xf borderId="1" fillId="0" fontId="11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shrinkToFit="0" wrapText="1"/>
    </xf>
    <xf borderId="1" fillId="0" fontId="11" numFmtId="166" xfId="0" applyAlignment="1" applyBorder="1" applyFont="1" applyNumberFormat="1">
      <alignment horizontal="right" readingOrder="0" shrinkToFit="0" wrapText="1"/>
    </xf>
    <xf borderId="1" fillId="0" fontId="11" numFmtId="165" xfId="0" applyAlignment="1" applyBorder="1" applyFont="1" applyNumberFormat="1">
      <alignment horizontal="center" shrinkToFit="0" wrapText="1"/>
    </xf>
    <xf borderId="1" fillId="0" fontId="11" numFmtId="168" xfId="0" applyAlignment="1" applyBorder="1" applyFont="1" applyNumberFormat="1">
      <alignment horizontal="center" readingOrder="0" shrinkToFit="0" wrapText="1"/>
    </xf>
    <xf borderId="1" fillId="0" fontId="11" numFmtId="0" xfId="0" applyAlignment="1" applyBorder="1" applyFont="1">
      <alignment horizontal="left" readingOrder="0" shrinkToFit="0" wrapText="1"/>
    </xf>
    <xf borderId="1" fillId="0" fontId="11" numFmtId="165" xfId="0" applyAlignment="1" applyBorder="1" applyFont="1" applyNumberFormat="1">
      <alignment horizontal="center" readingOrder="0" shrinkToFit="0" wrapText="1"/>
    </xf>
    <xf borderId="1" fillId="0" fontId="8" numFmtId="0" xfId="0" applyBorder="1" applyFont="1"/>
    <xf borderId="1" fillId="0" fontId="11" numFmtId="164" xfId="0" applyAlignment="1" applyBorder="1" applyFont="1" applyNumberFormat="1">
      <alignment horizontal="center" readingOrder="0" shrinkToFit="0" wrapText="1"/>
    </xf>
    <xf borderId="1" fillId="0" fontId="11" numFmtId="167" xfId="0" applyAlignment="1" applyBorder="1" applyFont="1" applyNumberFormat="1">
      <alignment horizontal="center" readingOrder="0" shrinkToFit="0" wrapText="1"/>
    </xf>
    <xf borderId="1" fillId="0" fontId="8" numFmtId="164" xfId="0" applyAlignment="1" applyBorder="1" applyFont="1" applyNumberFormat="1">
      <alignment horizontal="center" readingOrder="0"/>
    </xf>
    <xf borderId="1" fillId="0" fontId="8" numFmtId="169" xfId="0" applyAlignment="1" applyBorder="1" applyFont="1" applyNumberFormat="1">
      <alignment horizontal="center" readingOrder="0"/>
    </xf>
    <xf borderId="1" fillId="0" fontId="11" numFmtId="167" xfId="0" applyAlignment="1" applyBorder="1" applyFont="1" applyNumberFormat="1">
      <alignment horizontal="center" shrinkToFit="0" wrapText="1"/>
    </xf>
    <xf borderId="1" fillId="0" fontId="11" numFmtId="166" xfId="0" applyAlignment="1" applyBorder="1" applyFont="1" applyNumberFormat="1">
      <alignment horizontal="right" shrinkToFit="0" wrapText="1"/>
    </xf>
    <xf borderId="1" fillId="0" fontId="11" numFmtId="168" xfId="0" applyAlignment="1" applyBorder="1" applyFont="1" applyNumberFormat="1">
      <alignment horizontal="center" shrinkToFit="0" wrapText="1"/>
    </xf>
    <xf borderId="1" fillId="0" fontId="11" numFmtId="0" xfId="0" applyAlignment="1" applyBorder="1" applyFont="1">
      <alignment horizontal="left" shrinkToFit="0" wrapText="1"/>
    </xf>
    <xf borderId="1" fillId="0" fontId="8" numFmtId="0" xfId="0" applyAlignment="1" applyBorder="1" applyFont="1">
      <alignment readingOrder="0" shrinkToFit="0" wrapText="1"/>
    </xf>
    <xf borderId="1" fillId="0" fontId="8" numFmtId="167" xfId="0" applyAlignment="1" applyBorder="1" applyFont="1" applyNumberFormat="1">
      <alignment horizontal="center" readingOrder="0"/>
    </xf>
    <xf borderId="1" fillId="0" fontId="8" numFmtId="166" xfId="0" applyAlignment="1" applyBorder="1" applyFont="1" applyNumberFormat="1">
      <alignment horizontal="right" readingOrder="0"/>
    </xf>
    <xf borderId="1" fillId="0" fontId="8" numFmtId="168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left" readingOrder="0"/>
    </xf>
    <xf borderId="1" fillId="0" fontId="11" numFmtId="167" xfId="0" applyAlignment="1" applyBorder="1" applyFont="1" applyNumberFormat="1">
      <alignment shrinkToFit="0" wrapText="1"/>
    </xf>
    <xf borderId="1" fillId="0" fontId="12" numFmtId="0" xfId="0" applyAlignment="1" applyBorder="1" applyFont="1">
      <alignment readingOrder="0" shrinkToFit="0" wrapText="1"/>
    </xf>
    <xf borderId="0" fillId="0" fontId="8" numFmtId="0" xfId="0" applyAlignment="1" applyFont="1">
      <alignment vertical="bottom"/>
    </xf>
    <xf borderId="1" fillId="0" fontId="11" numFmtId="165" xfId="0" applyAlignment="1" applyBorder="1" applyFont="1" applyNumberFormat="1">
      <alignment shrinkToFit="0" wrapText="1"/>
    </xf>
    <xf borderId="1" fillId="0" fontId="11" numFmtId="168" xfId="0" applyAlignment="1" applyBorder="1" applyFont="1" applyNumberFormat="1">
      <alignment shrinkToFit="0" wrapText="1"/>
    </xf>
    <xf borderId="1" fillId="0" fontId="11" numFmtId="0" xfId="0" applyBorder="1" applyFont="1"/>
    <xf borderId="1" fillId="0" fontId="11" numFmtId="165" xfId="0" applyAlignment="1" applyBorder="1" applyFont="1" applyNumberFormat="1">
      <alignment horizontal="center"/>
    </xf>
    <xf borderId="1" fillId="0" fontId="11" numFmtId="165" xfId="0" applyBorder="1" applyFont="1" applyNumberFormat="1"/>
    <xf borderId="1" fillId="0" fontId="8" numFmtId="0" xfId="0" applyAlignment="1" applyBorder="1" applyFont="1">
      <alignment horizontal="left" shrinkToFit="0" vertical="center" wrapText="1"/>
    </xf>
    <xf borderId="1" fillId="0" fontId="8" numFmtId="167" xfId="0" applyAlignment="1" applyBorder="1" applyFont="1" applyNumberFormat="1">
      <alignment horizontal="center" shrinkToFit="0" vertical="center" wrapText="1"/>
    </xf>
    <xf borderId="1" fillId="0" fontId="8" numFmtId="166" xfId="0" applyAlignment="1" applyBorder="1" applyFont="1" applyNumberFormat="1">
      <alignment horizontal="right" shrinkToFit="0" vertical="center" wrapText="1"/>
    </xf>
    <xf borderId="1" fillId="0" fontId="3" numFmtId="0" xfId="0" applyAlignment="1" applyBorder="1" applyFont="1">
      <alignment horizontal="center"/>
    </xf>
    <xf borderId="1" fillId="0" fontId="10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wrapText="1"/>
    </xf>
    <xf borderId="0" fillId="0" fontId="3" numFmtId="166" xfId="0" applyAlignment="1" applyFont="1" applyNumberFormat="1">
      <alignment horizontal="right"/>
    </xf>
    <xf borderId="0" fillId="0" fontId="3" numFmtId="14" xfId="0" applyFont="1" applyNumberFormat="1"/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left"/>
    </xf>
    <xf borderId="0" fillId="0" fontId="3" numFmtId="170" xfId="0" applyFont="1" applyNumberFormat="1"/>
    <xf borderId="1" fillId="3" fontId="13" numFmtId="0" xfId="0" applyAlignment="1" applyBorder="1" applyFill="1" applyFont="1">
      <alignment horizontal="center" vertical="center"/>
    </xf>
    <xf borderId="1" fillId="3" fontId="13" numFmtId="0" xfId="0" applyAlignment="1" applyBorder="1" applyFont="1">
      <alignment horizontal="left" vertical="center"/>
    </xf>
    <xf borderId="1" fillId="3" fontId="13" numFmtId="14" xfId="0" applyAlignment="1" applyBorder="1" applyFont="1" applyNumberFormat="1">
      <alignment horizontal="right" vertical="center"/>
    </xf>
    <xf borderId="1" fillId="3" fontId="13" numFmtId="1" xfId="0" applyAlignment="1" applyBorder="1" applyFont="1" applyNumberFormat="1">
      <alignment horizontal="left" vertical="center"/>
    </xf>
    <xf borderId="1" fillId="3" fontId="13" numFmtId="1" xfId="0" applyAlignment="1" applyBorder="1" applyFont="1" applyNumberFormat="1">
      <alignment horizontal="center" vertical="center"/>
    </xf>
    <xf borderId="1" fillId="3" fontId="13" numFmtId="164" xfId="0" applyAlignment="1" applyBorder="1" applyFont="1" applyNumberFormat="1">
      <alignment horizontal="center" shrinkToFit="0" vertical="center" wrapText="1"/>
    </xf>
    <xf borderId="1" fillId="3" fontId="13" numFmtId="171" xfId="0" applyAlignment="1" applyBorder="1" applyFont="1" applyNumberFormat="1">
      <alignment horizontal="right" vertical="center"/>
    </xf>
    <xf borderId="1" fillId="3" fontId="13" numFmtId="171" xfId="0" applyAlignment="1" applyBorder="1" applyFont="1" applyNumberFormat="1">
      <alignment horizontal="center" vertical="center"/>
    </xf>
    <xf borderId="1" fillId="3" fontId="13" numFmtId="164" xfId="0" applyAlignment="1" applyBorder="1" applyFont="1" applyNumberFormat="1">
      <alignment horizontal="center" vertical="center"/>
    </xf>
    <xf borderId="1" fillId="3" fontId="13" numFmtId="0" xfId="0" applyAlignment="1" applyBorder="1" applyFont="1">
      <alignment horizontal="center" shrinkToFit="0" vertical="center" wrapText="1"/>
    </xf>
    <xf borderId="1" fillId="3" fontId="13" numFmtId="164" xfId="0" applyAlignment="1" applyBorder="1" applyFont="1" applyNumberFormat="1">
      <alignment horizontal="left" shrinkToFit="0" vertical="center" wrapText="1"/>
    </xf>
    <xf borderId="1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vertical="center"/>
    </xf>
    <xf quotePrefix="1" borderId="1" fillId="0" fontId="14" numFmtId="0" xfId="0" applyAlignment="1" applyBorder="1" applyFont="1">
      <alignment horizontal="center" vertical="center"/>
    </xf>
    <xf quotePrefix="1" borderId="1" fillId="0" fontId="14" numFmtId="14" xfId="0" applyAlignment="1" applyBorder="1" applyFont="1" applyNumberFormat="1">
      <alignment horizontal="center" vertical="center"/>
    </xf>
    <xf borderId="1" fillId="0" fontId="14" numFmtId="14" xfId="0" applyAlignment="1" applyBorder="1" applyFont="1" applyNumberFormat="1">
      <alignment horizontal="left" vertical="center"/>
    </xf>
    <xf borderId="1" fillId="0" fontId="14" numFmtId="14" xfId="0" applyAlignment="1" applyBorder="1" applyFont="1" applyNumberFormat="1">
      <alignment horizontal="right" vertical="center"/>
    </xf>
    <xf borderId="1" fillId="0" fontId="14" numFmtId="0" xfId="0" applyAlignment="1" applyBorder="1" applyFont="1">
      <alignment horizontal="left" vertical="center"/>
    </xf>
    <xf borderId="1" fillId="0" fontId="14" numFmtId="0" xfId="0" applyAlignment="1" applyBorder="1" applyFont="1">
      <alignment shrinkToFit="0" vertical="center" wrapText="1"/>
    </xf>
    <xf borderId="1" fillId="0" fontId="14" numFmtId="171" xfId="0" applyAlignment="1" applyBorder="1" applyFont="1" applyNumberFormat="1">
      <alignment horizontal="right" vertical="center"/>
    </xf>
    <xf borderId="1" fillId="0" fontId="14" numFmtId="171" xfId="0" applyAlignment="1" applyBorder="1" applyFont="1" applyNumberFormat="1">
      <alignment vertical="center"/>
    </xf>
    <xf borderId="1" fillId="0" fontId="14" numFmtId="171" xfId="0" applyAlignment="1" applyBorder="1" applyFont="1" applyNumberFormat="1">
      <alignment shrinkToFit="0" vertical="center" wrapText="1"/>
    </xf>
    <xf borderId="1" fillId="0" fontId="14" numFmtId="15" xfId="0" applyAlignment="1" applyBorder="1" applyFont="1" applyNumberFormat="1">
      <alignment shrinkToFit="0" vertical="center" wrapText="1"/>
    </xf>
    <xf borderId="1" fillId="0" fontId="14" numFmtId="15" xfId="0" applyAlignment="1" applyBorder="1" applyFont="1" applyNumberFormat="1">
      <alignment horizontal="left" shrinkToFit="0" vertical="center" wrapText="1"/>
    </xf>
    <xf borderId="1" fillId="0" fontId="14" numFmtId="14" xfId="0" applyAlignment="1" applyBorder="1" applyFont="1" applyNumberFormat="1">
      <alignment vertical="center"/>
    </xf>
    <xf borderId="1" fillId="0" fontId="15" numFmtId="0" xfId="0" applyAlignment="1" applyBorder="1" applyFont="1">
      <alignment vertical="center"/>
    </xf>
    <xf borderId="1" fillId="0" fontId="16" numFmtId="14" xfId="0" applyAlignment="1" applyBorder="1" applyFont="1" applyNumberFormat="1">
      <alignment horizontal="left" vertical="center"/>
    </xf>
    <xf borderId="1" fillId="0" fontId="16" numFmtId="14" xfId="0" applyAlignment="1" applyBorder="1" applyFont="1" applyNumberFormat="1">
      <alignment horizontal="right" vertical="center"/>
    </xf>
    <xf borderId="1" fillId="0" fontId="16" numFmtId="0" xfId="0" applyAlignment="1" applyBorder="1" applyFont="1">
      <alignment horizontal="left" vertical="center"/>
    </xf>
    <xf borderId="1" fillId="0" fontId="16" numFmtId="0" xfId="0" applyAlignment="1" applyBorder="1" applyFont="1">
      <alignment vertical="center"/>
    </xf>
    <xf borderId="1" fillId="0" fontId="16" numFmtId="0" xfId="0" applyAlignment="1" applyBorder="1" applyFont="1">
      <alignment shrinkToFit="0" vertical="center" wrapText="1"/>
    </xf>
    <xf borderId="1" fillId="0" fontId="16" numFmtId="171" xfId="0" applyAlignment="1" applyBorder="1" applyFont="1" applyNumberFormat="1">
      <alignment horizontal="right" vertical="center"/>
    </xf>
    <xf borderId="1" fillId="0" fontId="17" numFmtId="171" xfId="0" applyAlignment="1" applyBorder="1" applyFont="1" applyNumberFormat="1">
      <alignment vertical="center"/>
    </xf>
    <xf borderId="1" fillId="0" fontId="16" numFmtId="171" xfId="0" applyAlignment="1" applyBorder="1" applyFont="1" applyNumberFormat="1">
      <alignment vertical="center"/>
    </xf>
    <xf borderId="1" fillId="0" fontId="16" numFmtId="171" xfId="0" applyAlignment="1" applyBorder="1" applyFont="1" applyNumberFormat="1">
      <alignment shrinkToFit="0" vertical="center" wrapText="1"/>
    </xf>
    <xf borderId="1" fillId="0" fontId="17" numFmtId="0" xfId="0" applyAlignment="1" applyBorder="1" applyFont="1">
      <alignment shrinkToFit="0" vertical="center" wrapText="1"/>
    </xf>
    <xf borderId="1" fillId="0" fontId="16" numFmtId="15" xfId="0" applyAlignment="1" applyBorder="1" applyFont="1" applyNumberFormat="1">
      <alignment shrinkToFit="0" vertical="center" wrapText="1"/>
    </xf>
    <xf borderId="1" fillId="0" fontId="14" numFmtId="0" xfId="0" applyAlignment="1" applyBorder="1" applyFont="1">
      <alignment horizontal="left" shrinkToFit="0" vertical="center" wrapText="1"/>
    </xf>
    <xf borderId="1" fillId="0" fontId="15" numFmtId="171" xfId="0" applyAlignment="1" applyBorder="1" applyFont="1" applyNumberFormat="1">
      <alignment horizontal="right" vertical="center"/>
    </xf>
    <xf borderId="1" fillId="0" fontId="14" numFmtId="172" xfId="0" applyAlignment="1" applyBorder="1" applyFont="1" applyNumberFormat="1">
      <alignment horizontal="left" shrinkToFit="0" vertical="center" wrapText="1"/>
    </xf>
    <xf borderId="1" fillId="0" fontId="14" numFmtId="0" xfId="0" applyAlignment="1" applyBorder="1" applyFont="1">
      <alignment horizontal="right" vertical="center"/>
    </xf>
    <xf borderId="1" fillId="0" fontId="14" numFmtId="165" xfId="0" applyAlignment="1" applyBorder="1" applyFont="1" applyNumberFormat="1">
      <alignment horizontal="right" vertical="center"/>
    </xf>
    <xf borderId="1" fillId="0" fontId="15" numFmtId="0" xfId="0" applyAlignment="1" applyBorder="1" applyFont="1">
      <alignment shrinkToFit="0" vertical="center" wrapText="1"/>
    </xf>
    <xf borderId="1" fillId="0" fontId="14" numFmtId="3" xfId="0" applyAlignment="1" applyBorder="1" applyFont="1" applyNumberFormat="1">
      <alignment horizontal="center" vertical="center"/>
    </xf>
    <xf borderId="1" fillId="0" fontId="14" numFmtId="14" xfId="0" applyAlignment="1" applyBorder="1" applyFont="1" applyNumberFormat="1">
      <alignment shrinkToFit="0" vertical="center" wrapText="1"/>
    </xf>
    <xf borderId="1" fillId="0" fontId="15" numFmtId="0" xfId="0" applyBorder="1" applyFont="1"/>
    <xf borderId="1" fillId="0" fontId="18" numFmtId="171" xfId="0" applyAlignment="1" applyBorder="1" applyFont="1" applyNumberFormat="1">
      <alignment horizontal="right"/>
    </xf>
    <xf borderId="1" fillId="0" fontId="18" numFmtId="171" xfId="0" applyAlignment="1" applyBorder="1" applyFont="1" applyNumberFormat="1">
      <alignment horizontal="right" shrinkToFit="0" wrapText="1"/>
    </xf>
    <xf borderId="1" fillId="0" fontId="17" numFmtId="0" xfId="0" applyAlignment="1" applyBorder="1" applyFont="1">
      <alignment horizontal="left" vertical="center"/>
    </xf>
    <xf borderId="1" fillId="0" fontId="15" numFmtId="0" xfId="0" applyAlignment="1" applyBorder="1" applyFont="1">
      <alignment horizontal="left" vertical="center"/>
    </xf>
    <xf borderId="1" fillId="0" fontId="14" numFmtId="0" xfId="0" applyAlignment="1" applyBorder="1" applyFont="1">
      <alignment shrinkToFit="0" wrapText="1"/>
    </xf>
    <xf borderId="1" fillId="0" fontId="14" numFmtId="165" xfId="0" applyAlignment="1" applyBorder="1" applyFont="1" applyNumberFormat="1">
      <alignment horizontal="right"/>
    </xf>
    <xf borderId="1" fillId="0" fontId="14" numFmtId="0" xfId="0" applyAlignment="1" applyBorder="1" applyFont="1">
      <alignment horizontal="left"/>
    </xf>
    <xf borderId="1" fillId="0" fontId="14" numFmtId="0" xfId="0" applyBorder="1" applyFont="1"/>
    <xf borderId="1" fillId="0" fontId="14" numFmtId="171" xfId="0" applyAlignment="1" applyBorder="1" applyFont="1" applyNumberFormat="1">
      <alignment horizontal="right"/>
    </xf>
    <xf borderId="1" fillId="0" fontId="14" numFmtId="171" xfId="0" applyBorder="1" applyFont="1" applyNumberFormat="1"/>
    <xf borderId="1" fillId="0" fontId="14" numFmtId="171" xfId="0" applyAlignment="1" applyBorder="1" applyFont="1" applyNumberFormat="1">
      <alignment horizontal="right" shrinkToFit="0" wrapText="1"/>
    </xf>
    <xf borderId="1" fillId="0" fontId="14" numFmtId="14" xfId="0" applyBorder="1" applyFont="1" applyNumberFormat="1"/>
    <xf borderId="1" fillId="0" fontId="14" numFmtId="0" xfId="0" applyAlignment="1" applyBorder="1" applyFont="1">
      <alignment horizontal="right"/>
    </xf>
    <xf borderId="1" fillId="0" fontId="14" numFmtId="173" xfId="0" applyBorder="1" applyFont="1" applyNumberFormat="1"/>
    <xf borderId="1" fillId="0" fontId="14" numFmtId="174" xfId="0" applyAlignment="1" applyBorder="1" applyFont="1" applyNumberFormat="1">
      <alignment vertical="center"/>
    </xf>
    <xf borderId="1" fillId="0" fontId="15" numFmtId="165" xfId="0" applyAlignment="1" applyBorder="1" applyFont="1" applyNumberFormat="1">
      <alignment horizontal="right"/>
    </xf>
    <xf borderId="1" fillId="0" fontId="15" numFmtId="0" xfId="0" applyAlignment="1" applyBorder="1" applyFont="1">
      <alignment horizontal="left"/>
    </xf>
    <xf borderId="1" fillId="0" fontId="15" numFmtId="171" xfId="0" applyAlignment="1" applyBorder="1" applyFont="1" applyNumberFormat="1">
      <alignment horizontal="right"/>
    </xf>
    <xf borderId="1" fillId="0" fontId="15" numFmtId="171" xfId="0" applyBorder="1" applyFont="1" applyNumberFormat="1"/>
    <xf borderId="1" fillId="0" fontId="15" numFmtId="14" xfId="0" applyBorder="1" applyFont="1" applyNumberFormat="1"/>
    <xf borderId="1" fillId="0" fontId="15" numFmtId="0" xfId="0" applyAlignment="1" applyBorder="1" applyFont="1">
      <alignment horizontal="right"/>
    </xf>
    <xf borderId="1" fillId="0" fontId="15" numFmtId="174" xfId="0" applyAlignment="1" applyBorder="1" applyFont="1" applyNumberFormat="1">
      <alignment vertical="center"/>
    </xf>
    <xf borderId="1" fillId="0" fontId="15" numFmtId="175" xfId="0" applyAlignment="1" applyBorder="1" applyFont="1" applyNumberFormat="1">
      <alignment horizontal="right"/>
    </xf>
    <xf borderId="1" fillId="0" fontId="15" numFmtId="171" xfId="0" applyAlignment="1" applyBorder="1" applyFont="1" applyNumberFormat="1">
      <alignment vertical="center"/>
    </xf>
    <xf borderId="1" fillId="0" fontId="15" numFmtId="176" xfId="0" applyAlignment="1" applyBorder="1" applyFont="1" applyNumberFormat="1">
      <alignment horizontal="right" vertical="center"/>
    </xf>
    <xf borderId="1" fillId="0" fontId="15" numFmtId="165" xfId="0" applyAlignment="1" applyBorder="1" applyFont="1" applyNumberFormat="1">
      <alignment horizontal="right" vertical="center"/>
    </xf>
    <xf borderId="1" fillId="0" fontId="15" numFmtId="3" xfId="0" applyAlignment="1" applyBorder="1" applyFont="1" applyNumberFormat="1">
      <alignment horizontal="right" vertical="center"/>
    </xf>
    <xf borderId="1" fillId="0" fontId="15" numFmtId="3" xfId="0" applyAlignment="1" applyBorder="1" applyFont="1" applyNumberFormat="1">
      <alignment vertical="center"/>
    </xf>
    <xf borderId="1" fillId="0" fontId="14" numFmtId="3" xfId="0" applyAlignment="1" applyBorder="1" applyFont="1" applyNumberFormat="1">
      <alignment horizontal="right"/>
    </xf>
    <xf borderId="1" fillId="0" fontId="14" numFmtId="3" xfId="0" applyAlignment="1" applyBorder="1" applyFont="1" applyNumberFormat="1">
      <alignment horizontal="right" shrinkToFit="0" wrapText="1"/>
    </xf>
    <xf borderId="1" fillId="0" fontId="15" numFmtId="3" xfId="0" applyAlignment="1" applyBorder="1" applyFont="1" applyNumberFormat="1">
      <alignment horizontal="right"/>
    </xf>
    <xf borderId="1" fillId="0" fontId="15" numFmtId="3" xfId="0" applyBorder="1" applyFont="1" applyNumberFormat="1"/>
    <xf borderId="1" fillId="4" fontId="19" numFmtId="0" xfId="0" applyAlignment="1" applyBorder="1" applyFill="1" applyFont="1">
      <alignment horizontal="left"/>
    </xf>
    <xf borderId="1" fillId="4" fontId="19" numFmtId="3" xfId="0" applyAlignment="1" applyBorder="1" applyFont="1" applyNumberFormat="1">
      <alignment horizontal="right"/>
    </xf>
    <xf borderId="1" fillId="0" fontId="17" numFmtId="165" xfId="0" applyAlignment="1" applyBorder="1" applyFont="1" applyNumberFormat="1">
      <alignment horizontal="right"/>
    </xf>
    <xf borderId="1" fillId="0" fontId="17" numFmtId="0" xfId="0" applyAlignment="1" applyBorder="1" applyFont="1">
      <alignment horizontal="left"/>
    </xf>
    <xf borderId="1" fillId="0" fontId="17" numFmtId="0" xfId="0" applyBorder="1" applyFont="1"/>
    <xf borderId="1" fillId="0" fontId="17" numFmtId="3" xfId="0" applyAlignment="1" applyBorder="1" applyFont="1" applyNumberFormat="1">
      <alignment horizontal="right"/>
    </xf>
    <xf borderId="1" fillId="0" fontId="17" numFmtId="3" xfId="0" applyBorder="1" applyFont="1" applyNumberFormat="1"/>
    <xf borderId="1" fillId="0" fontId="17" numFmtId="3" xfId="0" applyAlignment="1" applyBorder="1" applyFont="1" applyNumberFormat="1">
      <alignment horizontal="right" shrinkToFit="0" wrapText="1"/>
    </xf>
    <xf borderId="1" fillId="0" fontId="17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user/Downloads/KERTAS%20KERJA%20INVOICE%202025-KPP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O.PEKERJAAN"/>
      <sheetName val="Nomor Kontrak TAD"/>
      <sheetName val="NO. INVOICE"/>
      <sheetName val="NSFP KPP"/>
      <sheetName val="TARIKANMYSAP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1.5"/>
    <col customWidth="1" min="3" max="3" width="18.25"/>
    <col customWidth="1" min="4" max="4" width="11.5"/>
    <col customWidth="1" min="5" max="5" width="53.5"/>
    <col customWidth="1" min="6" max="6" width="25.25"/>
    <col customWidth="1" min="7" max="8" width="12.5"/>
    <col customWidth="1" min="9" max="9" width="15.25"/>
    <col customWidth="1" min="10" max="10" width="11.5"/>
    <col customWidth="1" min="11" max="11" width="14.13"/>
    <col customWidth="1" min="12" max="26" width="11.5"/>
  </cols>
  <sheetData>
    <row r="1" ht="12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3" t="s">
        <v>9</v>
      </c>
      <c r="K1" s="5" t="s">
        <v>10</v>
      </c>
    </row>
    <row r="2" ht="12.75" customHeight="1">
      <c r="A2" s="6" t="s">
        <v>11</v>
      </c>
      <c r="B2" s="7">
        <v>45677.0</v>
      </c>
      <c r="C2" s="8" t="s">
        <v>12</v>
      </c>
      <c r="D2" s="9"/>
      <c r="E2" s="10" t="s">
        <v>13</v>
      </c>
      <c r="F2" s="11">
        <v>1.11104E8</v>
      </c>
      <c r="G2" s="12"/>
      <c r="H2" s="13" t="s">
        <v>14</v>
      </c>
      <c r="I2" s="14" t="s">
        <v>15</v>
      </c>
      <c r="J2" s="15" t="s">
        <v>16</v>
      </c>
      <c r="K2" s="12"/>
    </row>
    <row r="3" ht="12.75" customHeight="1">
      <c r="A3" s="6" t="s">
        <v>17</v>
      </c>
      <c r="B3" s="7">
        <v>45677.0</v>
      </c>
      <c r="C3" s="8" t="s">
        <v>18</v>
      </c>
      <c r="D3" s="9"/>
      <c r="E3" s="10" t="s">
        <v>19</v>
      </c>
      <c r="F3" s="11">
        <v>4.57884E7</v>
      </c>
      <c r="G3" s="12"/>
      <c r="H3" s="13" t="s">
        <v>20</v>
      </c>
      <c r="I3" s="14" t="s">
        <v>21</v>
      </c>
      <c r="J3" s="15" t="s">
        <v>16</v>
      </c>
      <c r="K3" s="12"/>
    </row>
    <row r="4" ht="12.75" customHeight="1">
      <c r="A4" s="6" t="s">
        <v>22</v>
      </c>
      <c r="B4" s="7">
        <v>45677.0</v>
      </c>
      <c r="C4" s="8" t="s">
        <v>23</v>
      </c>
      <c r="D4" s="9"/>
      <c r="E4" s="10" t="s">
        <v>24</v>
      </c>
      <c r="F4" s="11">
        <v>1.539399E7</v>
      </c>
      <c r="G4" s="12"/>
      <c r="H4" s="13" t="s">
        <v>25</v>
      </c>
      <c r="I4" s="14" t="s">
        <v>26</v>
      </c>
      <c r="J4" s="15" t="s">
        <v>16</v>
      </c>
      <c r="K4" s="12"/>
    </row>
    <row r="5" ht="12.75" customHeight="1">
      <c r="A5" s="6" t="s">
        <v>27</v>
      </c>
      <c r="B5" s="7">
        <v>45677.0</v>
      </c>
      <c r="C5" s="8" t="s">
        <v>28</v>
      </c>
      <c r="D5" s="9"/>
      <c r="E5" s="10" t="s">
        <v>29</v>
      </c>
      <c r="F5" s="11">
        <v>1.66628E7</v>
      </c>
      <c r="G5" s="12"/>
      <c r="H5" s="13" t="s">
        <v>30</v>
      </c>
      <c r="I5" s="14" t="s">
        <v>31</v>
      </c>
      <c r="J5" s="15" t="s">
        <v>16</v>
      </c>
      <c r="K5" s="12"/>
    </row>
    <row r="6" ht="12.75" customHeight="1">
      <c r="A6" s="6" t="s">
        <v>32</v>
      </c>
      <c r="B6" s="7">
        <v>45709.0</v>
      </c>
      <c r="C6" s="8" t="s">
        <v>33</v>
      </c>
      <c r="D6" s="9"/>
      <c r="E6" s="10" t="s">
        <v>34</v>
      </c>
      <c r="F6" s="11">
        <v>1.0612241E7</v>
      </c>
      <c r="G6" s="12">
        <v>1273468.92</v>
      </c>
      <c r="H6" s="14" t="s">
        <v>35</v>
      </c>
      <c r="I6" s="14" t="s">
        <v>36</v>
      </c>
      <c r="J6" s="15" t="s">
        <v>16</v>
      </c>
      <c r="K6" s="12"/>
    </row>
    <row r="7" ht="12.75" customHeight="1">
      <c r="A7" s="6" t="s">
        <v>37</v>
      </c>
      <c r="B7" s="7">
        <v>45677.0</v>
      </c>
      <c r="C7" s="16"/>
      <c r="D7" s="9"/>
      <c r="E7" s="10" t="s">
        <v>38</v>
      </c>
      <c r="F7" s="11">
        <v>4.956E7</v>
      </c>
      <c r="G7" s="12"/>
      <c r="H7" s="14" t="s">
        <v>39</v>
      </c>
      <c r="I7" s="14" t="s">
        <v>40</v>
      </c>
      <c r="J7" s="15" t="s">
        <v>41</v>
      </c>
      <c r="K7" s="12"/>
    </row>
    <row r="8" ht="12.75" customHeight="1">
      <c r="A8" s="6" t="s">
        <v>42</v>
      </c>
      <c r="B8" s="7">
        <v>45677.0</v>
      </c>
      <c r="C8" s="8" t="s">
        <v>43</v>
      </c>
      <c r="D8" s="9"/>
      <c r="E8" s="10" t="s">
        <v>44</v>
      </c>
      <c r="F8" s="11">
        <v>4.95E7</v>
      </c>
      <c r="G8" s="12"/>
      <c r="H8" s="14" t="s">
        <v>45</v>
      </c>
      <c r="I8" s="14" t="s">
        <v>46</v>
      </c>
      <c r="J8" s="15" t="s">
        <v>16</v>
      </c>
      <c r="K8" s="12"/>
    </row>
    <row r="9" ht="12.75" customHeight="1">
      <c r="A9" s="6" t="s">
        <v>47</v>
      </c>
      <c r="B9" s="7">
        <v>45677.0</v>
      </c>
      <c r="C9" s="8" t="s">
        <v>48</v>
      </c>
      <c r="D9" s="9"/>
      <c r="E9" s="10" t="s">
        <v>49</v>
      </c>
      <c r="F9" s="11">
        <v>4.991E7</v>
      </c>
      <c r="G9" s="12"/>
      <c r="H9" s="14" t="s">
        <v>50</v>
      </c>
      <c r="I9" s="14" t="s">
        <v>51</v>
      </c>
      <c r="J9" s="15" t="s">
        <v>16</v>
      </c>
      <c r="K9" s="12"/>
    </row>
    <row r="10" ht="12.75" customHeight="1">
      <c r="A10" s="6" t="s">
        <v>52</v>
      </c>
      <c r="B10" s="7">
        <v>45677.0</v>
      </c>
      <c r="C10" s="8" t="s">
        <v>53</v>
      </c>
      <c r="D10" s="9"/>
      <c r="E10" s="10" t="s">
        <v>54</v>
      </c>
      <c r="F10" s="11">
        <v>7.2574682E7</v>
      </c>
      <c r="G10" s="12"/>
      <c r="H10" s="14" t="s">
        <v>55</v>
      </c>
      <c r="I10" s="14" t="s">
        <v>56</v>
      </c>
      <c r="J10" s="15" t="s">
        <v>16</v>
      </c>
      <c r="K10" s="12"/>
    </row>
    <row r="11" ht="12.75" customHeight="1">
      <c r="A11" s="6" t="s">
        <v>57</v>
      </c>
      <c r="B11" s="7">
        <v>45677.0</v>
      </c>
      <c r="C11" s="8" t="s">
        <v>58</v>
      </c>
      <c r="D11" s="9"/>
      <c r="E11" s="10" t="s">
        <v>59</v>
      </c>
      <c r="F11" s="11">
        <v>8.920559E7</v>
      </c>
      <c r="G11" s="12"/>
      <c r="H11" s="14" t="s">
        <v>60</v>
      </c>
      <c r="I11" s="14" t="s">
        <v>61</v>
      </c>
      <c r="J11" s="15" t="s">
        <v>16</v>
      </c>
      <c r="K11" s="12"/>
    </row>
    <row r="12" ht="12.75" customHeight="1">
      <c r="A12" s="6" t="s">
        <v>62</v>
      </c>
      <c r="B12" s="7">
        <v>45677.0</v>
      </c>
      <c r="C12" s="8" t="s">
        <v>63</v>
      </c>
      <c r="D12" s="9"/>
      <c r="E12" s="10" t="s">
        <v>64</v>
      </c>
      <c r="F12" s="11">
        <v>9.756E7</v>
      </c>
      <c r="G12" s="12"/>
      <c r="H12" s="14" t="s">
        <v>65</v>
      </c>
      <c r="I12" s="14" t="s">
        <v>66</v>
      </c>
      <c r="J12" s="15" t="s">
        <v>16</v>
      </c>
      <c r="K12" s="12"/>
    </row>
    <row r="13" ht="12.75" customHeight="1">
      <c r="A13" s="6" t="s">
        <v>67</v>
      </c>
      <c r="B13" s="7">
        <v>45679.0</v>
      </c>
      <c r="C13" s="8" t="s">
        <v>68</v>
      </c>
      <c r="D13" s="9"/>
      <c r="E13" s="10" t="s">
        <v>69</v>
      </c>
      <c r="F13" s="11">
        <v>5571428.0</v>
      </c>
      <c r="G13" s="12"/>
      <c r="H13" s="14">
        <v>612.857</v>
      </c>
      <c r="I13" s="14" t="s">
        <v>70</v>
      </c>
      <c r="J13" s="15" t="s">
        <v>16</v>
      </c>
      <c r="K13" s="12"/>
    </row>
    <row r="14" ht="12.75" customHeight="1">
      <c r="A14" s="6" t="s">
        <v>71</v>
      </c>
      <c r="B14" s="7">
        <v>45679.0</v>
      </c>
      <c r="C14" s="8" t="s">
        <v>68</v>
      </c>
      <c r="D14" s="9"/>
      <c r="E14" s="10" t="s">
        <v>72</v>
      </c>
      <c r="F14" s="11">
        <v>1.4183671E7</v>
      </c>
      <c r="G14" s="12">
        <v>1702040.52</v>
      </c>
      <c r="H14" s="14" t="s">
        <v>73</v>
      </c>
      <c r="I14" s="14" t="s">
        <v>74</v>
      </c>
      <c r="J14" s="15" t="s">
        <v>16</v>
      </c>
      <c r="K14" s="12"/>
    </row>
    <row r="15" ht="12.75" customHeight="1">
      <c r="A15" s="6" t="s">
        <v>75</v>
      </c>
      <c r="B15" s="7">
        <v>45679.0</v>
      </c>
      <c r="C15" s="8" t="s">
        <v>68</v>
      </c>
      <c r="D15" s="9"/>
      <c r="E15" s="10" t="s">
        <v>76</v>
      </c>
      <c r="F15" s="11">
        <v>1.9387752E7</v>
      </c>
      <c r="G15" s="12">
        <v>2326530.2399999998</v>
      </c>
      <c r="H15" s="14" t="s">
        <v>77</v>
      </c>
      <c r="I15" s="14" t="s">
        <v>78</v>
      </c>
      <c r="J15" s="15" t="s">
        <v>16</v>
      </c>
      <c r="K15" s="12"/>
    </row>
    <row r="16" ht="12.75" customHeight="1">
      <c r="A16" s="6" t="s">
        <v>79</v>
      </c>
      <c r="B16" s="7">
        <v>45679.0</v>
      </c>
      <c r="C16" s="8" t="s">
        <v>68</v>
      </c>
      <c r="D16" s="9"/>
      <c r="E16" s="10" t="s">
        <v>80</v>
      </c>
      <c r="F16" s="11">
        <v>1.0408159E7</v>
      </c>
      <c r="G16" s="12">
        <v>1248979.0799999998</v>
      </c>
      <c r="H16" s="14" t="s">
        <v>81</v>
      </c>
      <c r="I16" s="14" t="s">
        <v>82</v>
      </c>
      <c r="J16" s="15" t="s">
        <v>16</v>
      </c>
      <c r="K16" s="12"/>
    </row>
    <row r="17" ht="12.75" customHeight="1">
      <c r="A17" s="6" t="s">
        <v>83</v>
      </c>
      <c r="B17" s="7">
        <v>45692.0</v>
      </c>
      <c r="C17" s="8" t="s">
        <v>84</v>
      </c>
      <c r="D17" s="9"/>
      <c r="E17" s="10" t="s">
        <v>85</v>
      </c>
      <c r="F17" s="11">
        <v>9.3238087E7</v>
      </c>
      <c r="G17" s="12">
        <v>7925237.3950000005</v>
      </c>
      <c r="H17" s="14" t="s">
        <v>86</v>
      </c>
      <c r="I17" s="14" t="s">
        <v>87</v>
      </c>
      <c r="J17" s="15" t="s">
        <v>16</v>
      </c>
      <c r="K17" s="12"/>
    </row>
    <row r="18" ht="12.75" customHeight="1">
      <c r="A18" s="6" t="s">
        <v>88</v>
      </c>
      <c r="B18" s="7">
        <v>45692.0</v>
      </c>
      <c r="C18" s="8" t="s">
        <v>89</v>
      </c>
      <c r="D18" s="9"/>
      <c r="E18" s="10" t="s">
        <v>90</v>
      </c>
      <c r="F18" s="11">
        <v>4.3493817E7</v>
      </c>
      <c r="G18" s="12"/>
      <c r="H18" s="14" t="s">
        <v>91</v>
      </c>
      <c r="I18" s="14" t="s">
        <v>92</v>
      </c>
      <c r="J18" s="15" t="s">
        <v>16</v>
      </c>
      <c r="K18" s="12"/>
    </row>
    <row r="19" ht="12.75" customHeight="1">
      <c r="A19" s="6" t="s">
        <v>93</v>
      </c>
      <c r="B19" s="7">
        <v>45692.0</v>
      </c>
      <c r="C19" s="8" t="s">
        <v>94</v>
      </c>
      <c r="D19" s="9"/>
      <c r="E19" s="10" t="s">
        <v>95</v>
      </c>
      <c r="F19" s="11">
        <v>4.645E7</v>
      </c>
      <c r="G19" s="12"/>
      <c r="H19" s="14" t="s">
        <v>96</v>
      </c>
      <c r="I19" s="14" t="s">
        <v>97</v>
      </c>
      <c r="J19" s="15" t="s">
        <v>16</v>
      </c>
      <c r="K19" s="12"/>
    </row>
    <row r="20" ht="12.75" customHeight="1">
      <c r="A20" s="6" t="s">
        <v>98</v>
      </c>
      <c r="B20" s="7">
        <v>45693.0</v>
      </c>
      <c r="C20" s="17" t="s">
        <v>99</v>
      </c>
      <c r="D20" s="9"/>
      <c r="E20" s="10" t="s">
        <v>100</v>
      </c>
      <c r="F20" s="11">
        <v>7.9330578E7</v>
      </c>
      <c r="G20" s="12">
        <v>6029123.928</v>
      </c>
      <c r="H20" s="14" t="s">
        <v>101</v>
      </c>
      <c r="I20" s="14" t="s">
        <v>102</v>
      </c>
      <c r="J20" s="15" t="s">
        <v>16</v>
      </c>
      <c r="K20" s="12"/>
    </row>
    <row r="21" ht="12.75" customHeight="1">
      <c r="A21" s="6" t="s">
        <v>103</v>
      </c>
      <c r="B21" s="7">
        <v>45693.0</v>
      </c>
      <c r="C21" s="17" t="s">
        <v>99</v>
      </c>
      <c r="D21" s="9"/>
      <c r="E21" s="10" t="s">
        <v>104</v>
      </c>
      <c r="F21" s="11">
        <v>4.8975E7</v>
      </c>
      <c r="G21" s="12">
        <v>3722100.0</v>
      </c>
      <c r="H21" s="14" t="s">
        <v>105</v>
      </c>
      <c r="I21" s="14" t="s">
        <v>106</v>
      </c>
      <c r="J21" s="15" t="s">
        <v>16</v>
      </c>
      <c r="K21" s="12"/>
    </row>
    <row r="22" ht="12.75" customHeight="1">
      <c r="A22" s="6" t="s">
        <v>107</v>
      </c>
      <c r="B22" s="7">
        <v>45695.0</v>
      </c>
      <c r="C22" s="17" t="s">
        <v>99</v>
      </c>
      <c r="D22" s="9"/>
      <c r="E22" s="10" t="s">
        <v>108</v>
      </c>
      <c r="F22" s="11">
        <v>2.3832858E7</v>
      </c>
      <c r="G22" s="12">
        <v>1477637.196</v>
      </c>
      <c r="H22" s="14" t="s">
        <v>109</v>
      </c>
      <c r="I22" s="14" t="s">
        <v>110</v>
      </c>
      <c r="J22" s="15" t="s">
        <v>16</v>
      </c>
      <c r="K22" s="12"/>
    </row>
    <row r="23" ht="12.75" customHeight="1">
      <c r="A23" s="6" t="s">
        <v>111</v>
      </c>
      <c r="B23" s="7">
        <v>45699.0</v>
      </c>
      <c r="C23" s="17" t="s">
        <v>99</v>
      </c>
      <c r="D23" s="9"/>
      <c r="E23" s="10" t="s">
        <v>112</v>
      </c>
      <c r="F23" s="11">
        <v>7392000.0</v>
      </c>
      <c r="G23" s="12"/>
      <c r="H23" s="14">
        <v>813.12</v>
      </c>
      <c r="I23" s="14" t="s">
        <v>113</v>
      </c>
      <c r="J23" s="15" t="e">
        <v>#N/A</v>
      </c>
      <c r="K23" s="12"/>
    </row>
    <row r="24" ht="12.75" customHeight="1">
      <c r="A24" s="6" t="s">
        <v>114</v>
      </c>
      <c r="B24" s="7">
        <v>45699.0</v>
      </c>
      <c r="C24" s="17" t="s">
        <v>99</v>
      </c>
      <c r="D24" s="9"/>
      <c r="E24" s="10" t="s">
        <v>115</v>
      </c>
      <c r="F24" s="11">
        <v>7392000.0</v>
      </c>
      <c r="G24" s="12"/>
      <c r="H24" s="14">
        <v>813.12</v>
      </c>
      <c r="I24" s="14" t="s">
        <v>113</v>
      </c>
      <c r="J24" s="15" t="s">
        <v>16</v>
      </c>
      <c r="K24" s="12"/>
    </row>
    <row r="25" ht="12.75" customHeight="1">
      <c r="A25" s="6" t="s">
        <v>116</v>
      </c>
      <c r="B25" s="7">
        <v>45702.0</v>
      </c>
      <c r="C25" s="8" t="s">
        <v>117</v>
      </c>
      <c r="D25" s="9"/>
      <c r="E25" s="10" t="s">
        <v>118</v>
      </c>
      <c r="F25" s="11">
        <v>3.02E7</v>
      </c>
      <c r="G25" s="12"/>
      <c r="H25" s="14" t="s">
        <v>119</v>
      </c>
      <c r="I25" s="14" t="s">
        <v>120</v>
      </c>
      <c r="J25" s="15" t="s">
        <v>16</v>
      </c>
      <c r="K25" s="12"/>
    </row>
    <row r="26" ht="12.75" customHeight="1">
      <c r="A26" s="6" t="s">
        <v>121</v>
      </c>
      <c r="B26" s="7">
        <v>45715.0</v>
      </c>
      <c r="C26" s="8" t="s">
        <v>122</v>
      </c>
      <c r="D26" s="9"/>
      <c r="E26" s="10" t="s">
        <v>123</v>
      </c>
      <c r="F26" s="11">
        <v>1.8324539E8</v>
      </c>
      <c r="G26" s="12">
        <v>1.557585815E7</v>
      </c>
      <c r="H26" s="14" t="s">
        <v>124</v>
      </c>
      <c r="I26" s="14" t="s">
        <v>125</v>
      </c>
      <c r="J26" s="15" t="s">
        <v>16</v>
      </c>
      <c r="K26" s="12"/>
    </row>
    <row r="27" ht="12.75" customHeight="1">
      <c r="A27" s="6" t="s">
        <v>126</v>
      </c>
      <c r="B27" s="7">
        <v>45707.0</v>
      </c>
      <c r="C27" s="8" t="s">
        <v>127</v>
      </c>
      <c r="D27" s="9"/>
      <c r="E27" s="10" t="s">
        <v>128</v>
      </c>
      <c r="F27" s="11">
        <v>1.567552E8</v>
      </c>
      <c r="G27" s="12"/>
      <c r="H27" s="14" t="s">
        <v>129</v>
      </c>
      <c r="I27" s="14" t="s">
        <v>130</v>
      </c>
      <c r="J27" s="15" t="s">
        <v>16</v>
      </c>
      <c r="K27" s="12"/>
    </row>
    <row r="28" ht="12.75" customHeight="1">
      <c r="A28" s="6" t="s">
        <v>131</v>
      </c>
      <c r="B28" s="7">
        <v>45707.0</v>
      </c>
      <c r="C28" s="8" t="s">
        <v>132</v>
      </c>
      <c r="D28" s="9"/>
      <c r="E28" s="10" t="s">
        <v>133</v>
      </c>
      <c r="F28" s="11">
        <v>1.344E8</v>
      </c>
      <c r="G28" s="12"/>
      <c r="H28" s="14" t="s">
        <v>134</v>
      </c>
      <c r="I28" s="14" t="s">
        <v>135</v>
      </c>
      <c r="J28" s="15" t="s">
        <v>16</v>
      </c>
      <c r="K28" s="12"/>
    </row>
    <row r="29" ht="12.75" customHeight="1">
      <c r="A29" s="6" t="s">
        <v>136</v>
      </c>
      <c r="B29" s="7">
        <v>45719.0</v>
      </c>
      <c r="C29" s="8" t="s">
        <v>137</v>
      </c>
      <c r="D29" s="9"/>
      <c r="E29" s="10" t="s">
        <v>138</v>
      </c>
      <c r="F29" s="11">
        <v>4081632.0</v>
      </c>
      <c r="G29" s="12">
        <v>489795.83999999997</v>
      </c>
      <c r="H29" s="14">
        <v>502.857</v>
      </c>
      <c r="I29" s="14" t="s">
        <v>139</v>
      </c>
      <c r="J29" s="15" t="s">
        <v>16</v>
      </c>
      <c r="K29" s="12"/>
    </row>
    <row r="30" ht="12.75" customHeight="1">
      <c r="A30" s="6" t="s">
        <v>140</v>
      </c>
      <c r="B30" s="7">
        <v>45719.0</v>
      </c>
      <c r="C30" s="8" t="s">
        <v>137</v>
      </c>
      <c r="D30" s="9"/>
      <c r="E30" s="10" t="s">
        <v>141</v>
      </c>
      <c r="F30" s="11">
        <v>2857142.0</v>
      </c>
      <c r="G30" s="12">
        <v>342857.04</v>
      </c>
      <c r="H30" s="14">
        <v>352.0</v>
      </c>
      <c r="I30" s="14" t="s">
        <v>142</v>
      </c>
      <c r="J30" s="15" t="s">
        <v>16</v>
      </c>
      <c r="K30" s="12"/>
    </row>
    <row r="31" ht="12.75" customHeight="1">
      <c r="A31" s="6" t="s">
        <v>143</v>
      </c>
      <c r="B31" s="7">
        <v>45719.0</v>
      </c>
      <c r="C31" s="8" t="s">
        <v>137</v>
      </c>
      <c r="D31" s="9"/>
      <c r="E31" s="10" t="s">
        <v>144</v>
      </c>
      <c r="F31" s="11">
        <v>2857142.0</v>
      </c>
      <c r="G31" s="12">
        <v>342857.04</v>
      </c>
      <c r="H31" s="14">
        <v>352.0</v>
      </c>
      <c r="I31" s="14" t="s">
        <v>142</v>
      </c>
      <c r="J31" s="15" t="s">
        <v>16</v>
      </c>
      <c r="K31" s="12"/>
    </row>
    <row r="32" ht="12.75" customHeight="1">
      <c r="A32" s="6" t="s">
        <v>145</v>
      </c>
      <c r="B32" s="7">
        <v>45720.0</v>
      </c>
      <c r="C32" s="8" t="s">
        <v>94</v>
      </c>
      <c r="D32" s="9"/>
      <c r="E32" s="10" t="s">
        <v>146</v>
      </c>
      <c r="F32" s="11">
        <v>5.086272E7</v>
      </c>
      <c r="G32" s="12"/>
      <c r="H32" s="14" t="s">
        <v>147</v>
      </c>
      <c r="I32" s="14" t="s">
        <v>148</v>
      </c>
      <c r="J32" s="15" t="s">
        <v>16</v>
      </c>
      <c r="K32" s="12"/>
    </row>
    <row r="33" ht="12.75" customHeight="1">
      <c r="A33" s="6" t="s">
        <v>149</v>
      </c>
      <c r="B33" s="7">
        <v>45721.0</v>
      </c>
      <c r="C33" s="8" t="s">
        <v>150</v>
      </c>
      <c r="D33" s="9"/>
      <c r="E33" s="10" t="s">
        <v>151</v>
      </c>
      <c r="F33" s="11">
        <v>3.472E7</v>
      </c>
      <c r="G33" s="12"/>
      <c r="H33" s="14" t="s">
        <v>152</v>
      </c>
      <c r="I33" s="14" t="s">
        <v>153</v>
      </c>
      <c r="J33" s="15" t="s">
        <v>16</v>
      </c>
      <c r="K33" s="12"/>
    </row>
    <row r="34" ht="12.75" customHeight="1">
      <c r="A34" s="6" t="s">
        <v>154</v>
      </c>
      <c r="B34" s="7">
        <v>45722.0</v>
      </c>
      <c r="C34" s="17" t="s">
        <v>99</v>
      </c>
      <c r="D34" s="9"/>
      <c r="E34" s="10" t="s">
        <v>155</v>
      </c>
      <c r="F34" s="11">
        <v>7.9403788E7</v>
      </c>
      <c r="G34" s="12">
        <v>6034687.888</v>
      </c>
      <c r="H34" s="14" t="s">
        <v>156</v>
      </c>
      <c r="I34" s="14" t="s">
        <v>157</v>
      </c>
      <c r="J34" s="15" t="s">
        <v>16</v>
      </c>
      <c r="K34" s="12"/>
    </row>
    <row r="35" ht="12.75" customHeight="1">
      <c r="A35" s="6" t="s">
        <v>158</v>
      </c>
      <c r="B35" s="7">
        <v>45722.0</v>
      </c>
      <c r="C35" s="17" t="s">
        <v>99</v>
      </c>
      <c r="D35" s="9"/>
      <c r="E35" s="10" t="s">
        <v>159</v>
      </c>
      <c r="F35" s="11">
        <v>2.3779169E7</v>
      </c>
      <c r="G35" s="12">
        <v>1474308.478</v>
      </c>
      <c r="H35" s="14" t="s">
        <v>160</v>
      </c>
      <c r="I35" s="14" t="s">
        <v>161</v>
      </c>
      <c r="J35" s="15" t="s">
        <v>16</v>
      </c>
      <c r="K35" s="12"/>
    </row>
    <row r="36" ht="12.75" customHeight="1">
      <c r="A36" s="6" t="s">
        <v>162</v>
      </c>
      <c r="B36" s="7">
        <v>45723.0</v>
      </c>
      <c r="C36" s="17" t="s">
        <v>99</v>
      </c>
      <c r="D36" s="9"/>
      <c r="E36" s="10" t="s">
        <v>163</v>
      </c>
      <c r="F36" s="11">
        <v>7392000.0</v>
      </c>
      <c r="G36" s="12"/>
      <c r="H36" s="14">
        <v>813.12</v>
      </c>
      <c r="I36" s="14" t="s">
        <v>113</v>
      </c>
      <c r="J36" s="15" t="s">
        <v>16</v>
      </c>
      <c r="K36" s="12"/>
    </row>
    <row r="37" ht="12.75" customHeight="1">
      <c r="A37" s="6" t="s">
        <v>164</v>
      </c>
      <c r="B37" s="7">
        <v>45727.0</v>
      </c>
      <c r="C37" s="8" t="s">
        <v>165</v>
      </c>
      <c r="D37" s="9"/>
      <c r="E37" s="10" t="s">
        <v>166</v>
      </c>
      <c r="F37" s="11">
        <v>9.6157376E7</v>
      </c>
      <c r="G37" s="12"/>
      <c r="H37" s="14" t="s">
        <v>167</v>
      </c>
      <c r="I37" s="14" t="s">
        <v>168</v>
      </c>
      <c r="J37" s="15" t="s">
        <v>16</v>
      </c>
      <c r="K37" s="12"/>
    </row>
    <row r="38" ht="12.75" customHeight="1">
      <c r="A38" s="6" t="s">
        <v>169</v>
      </c>
      <c r="B38" s="7">
        <v>45727.0</v>
      </c>
      <c r="C38" s="8" t="s">
        <v>170</v>
      </c>
      <c r="D38" s="9"/>
      <c r="E38" s="10" t="s">
        <v>171</v>
      </c>
      <c r="F38" s="11">
        <v>2.016E7</v>
      </c>
      <c r="G38" s="12"/>
      <c r="H38" s="14" t="s">
        <v>172</v>
      </c>
      <c r="I38" s="14" t="s">
        <v>173</v>
      </c>
      <c r="J38" s="15" t="s">
        <v>16</v>
      </c>
      <c r="K38" s="12"/>
    </row>
    <row r="39" ht="12.75" customHeight="1">
      <c r="A39" s="6" t="s">
        <v>174</v>
      </c>
      <c r="B39" s="7">
        <v>45727.0</v>
      </c>
      <c r="C39" s="17" t="s">
        <v>99</v>
      </c>
      <c r="D39" s="9"/>
      <c r="E39" s="10" t="s">
        <v>175</v>
      </c>
      <c r="F39" s="11">
        <v>5.1494328E7</v>
      </c>
      <c r="G39" s="12">
        <v>3913568.928</v>
      </c>
      <c r="H39" s="14" t="s">
        <v>176</v>
      </c>
      <c r="I39" s="14" t="s">
        <v>177</v>
      </c>
      <c r="J39" s="15" t="s">
        <v>16</v>
      </c>
      <c r="K39" s="12"/>
    </row>
    <row r="40" ht="12.75" customHeight="1">
      <c r="A40" s="6" t="s">
        <v>178</v>
      </c>
      <c r="B40" s="7">
        <v>45728.0</v>
      </c>
      <c r="C40" s="8" t="s">
        <v>179</v>
      </c>
      <c r="D40" s="9"/>
      <c r="E40" s="10" t="s">
        <v>180</v>
      </c>
      <c r="F40" s="11">
        <v>9.4750254E7</v>
      </c>
      <c r="G40" s="12">
        <v>8053771.590000001</v>
      </c>
      <c r="H40" s="14" t="s">
        <v>181</v>
      </c>
      <c r="I40" s="14" t="s">
        <v>182</v>
      </c>
      <c r="J40" s="15" t="s">
        <v>16</v>
      </c>
      <c r="K40" s="12"/>
    </row>
    <row r="41" ht="12.75" customHeight="1">
      <c r="A41" s="6" t="s">
        <v>183</v>
      </c>
      <c r="B41" s="7">
        <v>45728.0</v>
      </c>
      <c r="C41" s="8" t="s">
        <v>184</v>
      </c>
      <c r="D41" s="9"/>
      <c r="E41" s="10" t="s">
        <v>185</v>
      </c>
      <c r="F41" s="11">
        <v>1.506E7</v>
      </c>
      <c r="G41" s="12"/>
      <c r="H41" s="14" t="s">
        <v>186</v>
      </c>
      <c r="I41" s="14" t="s">
        <v>187</v>
      </c>
      <c r="J41" s="15" t="s">
        <v>16</v>
      </c>
      <c r="K41" s="12"/>
    </row>
    <row r="42" ht="12.75" customHeight="1">
      <c r="A42" s="6" t="s">
        <v>188</v>
      </c>
      <c r="B42" s="7">
        <v>45728.0</v>
      </c>
      <c r="C42" s="8" t="s">
        <v>184</v>
      </c>
      <c r="D42" s="9"/>
      <c r="E42" s="10" t="s">
        <v>189</v>
      </c>
      <c r="F42" s="11">
        <v>3.672E7</v>
      </c>
      <c r="G42" s="12"/>
      <c r="H42" s="14" t="s">
        <v>190</v>
      </c>
      <c r="I42" s="14" t="s">
        <v>191</v>
      </c>
      <c r="J42" s="15" t="s">
        <v>16</v>
      </c>
      <c r="K42" s="12"/>
    </row>
    <row r="43" ht="12.75" customHeight="1">
      <c r="A43" s="6" t="s">
        <v>192</v>
      </c>
      <c r="B43" s="7">
        <v>45728.0</v>
      </c>
      <c r="C43" s="17" t="s">
        <v>99</v>
      </c>
      <c r="D43" s="9"/>
      <c r="E43" s="10" t="s">
        <v>193</v>
      </c>
      <c r="F43" s="11">
        <v>7370000.0</v>
      </c>
      <c r="G43" s="12"/>
      <c r="H43" s="14">
        <v>810.7</v>
      </c>
      <c r="I43" s="14" t="s">
        <v>194</v>
      </c>
      <c r="J43" s="15" t="s">
        <v>16</v>
      </c>
      <c r="K43" s="12"/>
    </row>
    <row r="44" ht="12.75" customHeight="1">
      <c r="A44" s="6" t="s">
        <v>195</v>
      </c>
      <c r="B44" s="7">
        <v>45728.0</v>
      </c>
      <c r="C44" s="17" t="s">
        <v>99</v>
      </c>
      <c r="D44" s="9"/>
      <c r="E44" s="10" t="s">
        <v>196</v>
      </c>
      <c r="F44" s="11">
        <v>7370000.0</v>
      </c>
      <c r="G44" s="12"/>
      <c r="H44" s="14">
        <v>810.7</v>
      </c>
      <c r="I44" s="14" t="s">
        <v>194</v>
      </c>
      <c r="J44" s="15" t="s">
        <v>16</v>
      </c>
      <c r="K44" s="12"/>
    </row>
    <row r="45" ht="12.75" customHeight="1">
      <c r="A45" s="6" t="s">
        <v>197</v>
      </c>
      <c r="B45" s="7">
        <v>45728.0</v>
      </c>
      <c r="C45" s="8" t="s">
        <v>198</v>
      </c>
      <c r="D45" s="9"/>
      <c r="E45" s="10" t="s">
        <v>199</v>
      </c>
      <c r="F45" s="11">
        <v>7.7456918E7</v>
      </c>
      <c r="G45" s="12">
        <v>5964182.686</v>
      </c>
      <c r="H45" s="14" t="s">
        <v>200</v>
      </c>
      <c r="I45" s="14" t="s">
        <v>201</v>
      </c>
      <c r="J45" s="15" t="s">
        <v>16</v>
      </c>
      <c r="K45" s="12"/>
    </row>
    <row r="46" ht="12.75" customHeight="1">
      <c r="A46" s="6" t="s">
        <v>202</v>
      </c>
      <c r="B46" s="7">
        <v>45734.0</v>
      </c>
      <c r="C46" s="8" t="s">
        <v>203</v>
      </c>
      <c r="D46" s="9"/>
      <c r="E46" s="10" t="s">
        <v>204</v>
      </c>
      <c r="F46" s="11">
        <v>6.0E7</v>
      </c>
      <c r="G46" s="12">
        <v>4500000.0</v>
      </c>
      <c r="H46" s="14" t="s">
        <v>205</v>
      </c>
      <c r="I46" s="14" t="s">
        <v>206</v>
      </c>
      <c r="J46" s="15" t="s">
        <v>16</v>
      </c>
      <c r="K46" s="12"/>
    </row>
    <row r="47" ht="12.75" customHeight="1">
      <c r="A47" s="6" t="s">
        <v>207</v>
      </c>
      <c r="B47" s="7">
        <v>45734.0</v>
      </c>
      <c r="C47" s="17" t="s">
        <v>99</v>
      </c>
      <c r="D47" s="9"/>
      <c r="E47" s="10" t="s">
        <v>208</v>
      </c>
      <c r="F47" s="11">
        <v>6.5156148E7</v>
      </c>
      <c r="G47" s="12">
        <v>4951867.248</v>
      </c>
      <c r="H47" s="14" t="s">
        <v>209</v>
      </c>
      <c r="I47" s="14" t="s">
        <v>210</v>
      </c>
      <c r="J47" s="15" t="s">
        <v>16</v>
      </c>
      <c r="K47" s="12"/>
    </row>
    <row r="48" ht="12.75" customHeight="1">
      <c r="A48" s="6" t="s">
        <v>211</v>
      </c>
      <c r="B48" s="7">
        <v>45737.0</v>
      </c>
      <c r="C48" s="8" t="s">
        <v>212</v>
      </c>
      <c r="D48" s="9"/>
      <c r="E48" s="10" t="s">
        <v>213</v>
      </c>
      <c r="F48" s="11">
        <v>8.755504E8</v>
      </c>
      <c r="G48" s="12"/>
      <c r="H48" s="14" t="s">
        <v>214</v>
      </c>
      <c r="I48" s="14" t="s">
        <v>215</v>
      </c>
      <c r="J48" s="15" t="s">
        <v>16</v>
      </c>
      <c r="K48" s="12"/>
    </row>
    <row r="49" ht="12.75" customHeight="1">
      <c r="A49" s="6" t="s">
        <v>216</v>
      </c>
      <c r="B49" s="7">
        <v>45755.0</v>
      </c>
      <c r="C49" s="8" t="s">
        <v>217</v>
      </c>
      <c r="D49" s="9"/>
      <c r="E49" s="10" t="s">
        <v>218</v>
      </c>
      <c r="F49" s="11">
        <v>5.0E7</v>
      </c>
      <c r="G49" s="12">
        <v>3750000.0</v>
      </c>
      <c r="H49" s="14" t="s">
        <v>219</v>
      </c>
      <c r="I49" s="14" t="s">
        <v>220</v>
      </c>
      <c r="J49" s="15" t="s">
        <v>16</v>
      </c>
      <c r="K49" s="12"/>
    </row>
    <row r="50" ht="12.75" customHeight="1">
      <c r="A50" s="6" t="s">
        <v>221</v>
      </c>
      <c r="B50" s="7">
        <v>45755.0</v>
      </c>
      <c r="C50" s="17" t="s">
        <v>99</v>
      </c>
      <c r="D50" s="9"/>
      <c r="E50" s="10" t="s">
        <v>222</v>
      </c>
      <c r="F50" s="11">
        <v>2.517714E7</v>
      </c>
      <c r="G50" s="12">
        <v>1560982.68</v>
      </c>
      <c r="H50" s="14" t="s">
        <v>223</v>
      </c>
      <c r="I50" s="14" t="s">
        <v>224</v>
      </c>
      <c r="J50" s="15" t="s">
        <v>16</v>
      </c>
      <c r="K50" s="12"/>
    </row>
    <row r="51" ht="12.75" customHeight="1">
      <c r="A51" s="6" t="s">
        <v>225</v>
      </c>
      <c r="B51" s="7">
        <v>45756.0</v>
      </c>
      <c r="C51" s="17" t="s">
        <v>99</v>
      </c>
      <c r="D51" s="9"/>
      <c r="E51" s="10" t="s">
        <v>226</v>
      </c>
      <c r="F51" s="11">
        <v>1.9616886E7</v>
      </c>
      <c r="G51" s="12">
        <v>1490883.336</v>
      </c>
      <c r="H51" s="14" t="s">
        <v>227</v>
      </c>
      <c r="I51" s="14" t="s">
        <v>228</v>
      </c>
      <c r="J51" s="15" t="s">
        <v>16</v>
      </c>
      <c r="K51" s="12"/>
    </row>
    <row r="52" ht="12.75" customHeight="1">
      <c r="A52" s="6" t="s">
        <v>229</v>
      </c>
      <c r="B52" s="7">
        <v>45756.0</v>
      </c>
      <c r="C52" s="17" t="s">
        <v>99</v>
      </c>
      <c r="D52" s="9"/>
      <c r="E52" s="10" t="s">
        <v>230</v>
      </c>
      <c r="F52" s="11">
        <v>1.58E7</v>
      </c>
      <c r="G52" s="12">
        <v>1200800.0</v>
      </c>
      <c r="H52" s="14" t="s">
        <v>231</v>
      </c>
      <c r="I52" s="14" t="s">
        <v>232</v>
      </c>
      <c r="J52" s="15" t="s">
        <v>16</v>
      </c>
      <c r="K52" s="12"/>
    </row>
    <row r="53" ht="12.75" customHeight="1">
      <c r="A53" s="6" t="s">
        <v>233</v>
      </c>
      <c r="B53" s="7">
        <v>45756.0</v>
      </c>
      <c r="C53" s="8" t="s">
        <v>234</v>
      </c>
      <c r="D53" s="9"/>
      <c r="E53" s="10" t="s">
        <v>235</v>
      </c>
      <c r="F53" s="11">
        <v>2.88E7</v>
      </c>
      <c r="G53" s="12">
        <v>4320000.0</v>
      </c>
      <c r="H53" s="14" t="s">
        <v>236</v>
      </c>
      <c r="I53" s="14" t="s">
        <v>237</v>
      </c>
      <c r="J53" s="15" t="s">
        <v>16</v>
      </c>
      <c r="K53" s="12"/>
    </row>
    <row r="54" ht="12.75" customHeight="1">
      <c r="A54" s="6" t="s">
        <v>238</v>
      </c>
      <c r="B54" s="7">
        <v>45756.0</v>
      </c>
      <c r="C54" s="8" t="s">
        <v>239</v>
      </c>
      <c r="D54" s="9"/>
      <c r="E54" s="10" t="s">
        <v>240</v>
      </c>
      <c r="F54" s="11">
        <v>3.5464734E7</v>
      </c>
      <c r="G54" s="12">
        <v>3546473.4000000004</v>
      </c>
      <c r="H54" s="14" t="s">
        <v>241</v>
      </c>
      <c r="I54" s="14" t="s">
        <v>242</v>
      </c>
      <c r="J54" s="15" t="s">
        <v>16</v>
      </c>
      <c r="K54" s="12"/>
    </row>
    <row r="55" ht="12.75" customHeight="1">
      <c r="A55" s="6" t="s">
        <v>243</v>
      </c>
      <c r="B55" s="7">
        <v>45755.0</v>
      </c>
      <c r="C55" s="8" t="s">
        <v>244</v>
      </c>
      <c r="D55" s="9"/>
      <c r="E55" s="10" t="s">
        <v>245</v>
      </c>
      <c r="F55" s="11">
        <v>3.51072E7</v>
      </c>
      <c r="G55" s="12">
        <v>4212864.0</v>
      </c>
      <c r="H55" s="14" t="s">
        <v>246</v>
      </c>
      <c r="I55" s="14" t="s">
        <v>247</v>
      </c>
      <c r="J55" s="15" t="s">
        <v>16</v>
      </c>
      <c r="K55" s="12"/>
    </row>
    <row r="56" ht="12.75" customHeight="1">
      <c r="A56" s="6" t="s">
        <v>248</v>
      </c>
      <c r="B56" s="7">
        <v>45756.0</v>
      </c>
      <c r="C56" s="17" t="s">
        <v>99</v>
      </c>
      <c r="D56" s="9"/>
      <c r="E56" s="10" t="s">
        <v>249</v>
      </c>
      <c r="F56" s="11">
        <v>1.49E7</v>
      </c>
      <c r="G56" s="12">
        <v>789700.0</v>
      </c>
      <c r="H56" s="14" t="s">
        <v>250</v>
      </c>
      <c r="I56" s="14" t="s">
        <v>251</v>
      </c>
      <c r="J56" s="15" t="s">
        <v>16</v>
      </c>
      <c r="K56" s="12"/>
    </row>
    <row r="57" ht="12.75" customHeight="1">
      <c r="A57" s="6" t="s">
        <v>252</v>
      </c>
      <c r="B57" s="7">
        <v>45756.0</v>
      </c>
      <c r="C57" s="8" t="s">
        <v>33</v>
      </c>
      <c r="D57" s="9"/>
      <c r="E57" s="10" t="s">
        <v>253</v>
      </c>
      <c r="F57" s="11">
        <v>3061224.0</v>
      </c>
      <c r="G57" s="12">
        <v>367346.88</v>
      </c>
      <c r="H57" s="14">
        <v>377.143</v>
      </c>
      <c r="I57" s="14" t="s">
        <v>254</v>
      </c>
      <c r="J57" s="15" t="s">
        <v>16</v>
      </c>
      <c r="K57" s="12"/>
    </row>
    <row r="58" ht="12.75" customHeight="1">
      <c r="A58" s="6" t="s">
        <v>255</v>
      </c>
      <c r="B58" s="7">
        <v>45756.0</v>
      </c>
      <c r="C58" s="8" t="s">
        <v>33</v>
      </c>
      <c r="D58" s="9"/>
      <c r="E58" s="10" t="s">
        <v>256</v>
      </c>
      <c r="F58" s="11">
        <v>1.1224487E7</v>
      </c>
      <c r="G58" s="12">
        <v>1346938.44</v>
      </c>
      <c r="H58" s="14" t="s">
        <v>257</v>
      </c>
      <c r="I58" s="14" t="s">
        <v>258</v>
      </c>
      <c r="J58" s="15" t="s">
        <v>16</v>
      </c>
      <c r="K58" s="12"/>
    </row>
    <row r="59" ht="12.75" customHeight="1">
      <c r="A59" s="6" t="s">
        <v>259</v>
      </c>
      <c r="B59" s="7">
        <v>45756.0</v>
      </c>
      <c r="C59" s="8" t="s">
        <v>33</v>
      </c>
      <c r="D59" s="9"/>
      <c r="E59" s="10" t="s">
        <v>260</v>
      </c>
      <c r="F59" s="11">
        <v>2.5714278E7</v>
      </c>
      <c r="G59" s="12">
        <v>3085713.36</v>
      </c>
      <c r="H59" s="14" t="s">
        <v>261</v>
      </c>
      <c r="I59" s="14" t="s">
        <v>262</v>
      </c>
      <c r="J59" s="15" t="s">
        <v>16</v>
      </c>
      <c r="K59" s="12"/>
    </row>
    <row r="60" ht="12.75" customHeight="1">
      <c r="A60" s="6" t="s">
        <v>263</v>
      </c>
      <c r="B60" s="7">
        <v>45756.0</v>
      </c>
      <c r="C60" s="8" t="s">
        <v>33</v>
      </c>
      <c r="D60" s="9"/>
      <c r="E60" s="10" t="s">
        <v>264</v>
      </c>
      <c r="F60" s="11">
        <v>2857142.0</v>
      </c>
      <c r="G60" s="12">
        <v>342857.04</v>
      </c>
      <c r="H60" s="14">
        <v>352.0</v>
      </c>
      <c r="I60" s="14" t="s">
        <v>142</v>
      </c>
      <c r="J60" s="15" t="s">
        <v>16</v>
      </c>
      <c r="K60" s="12"/>
    </row>
    <row r="61" ht="12.75" customHeight="1">
      <c r="A61" s="6" t="s">
        <v>265</v>
      </c>
      <c r="B61" s="17" t="s">
        <v>266</v>
      </c>
      <c r="C61" s="8" t="s">
        <v>33</v>
      </c>
      <c r="D61" s="9"/>
      <c r="E61" s="10" t="s">
        <v>267</v>
      </c>
      <c r="F61" s="11">
        <v>8367345.0</v>
      </c>
      <c r="G61" s="12">
        <v>1004081.3999999999</v>
      </c>
      <c r="H61" s="14" t="s">
        <v>268</v>
      </c>
      <c r="I61" s="14" t="s">
        <v>269</v>
      </c>
      <c r="J61" s="15" t="s">
        <v>16</v>
      </c>
      <c r="K61" s="12"/>
    </row>
    <row r="62" ht="12.75" customHeight="1">
      <c r="A62" s="6" t="s">
        <v>270</v>
      </c>
      <c r="B62" s="17" t="s">
        <v>266</v>
      </c>
      <c r="C62" s="8" t="s">
        <v>33</v>
      </c>
      <c r="D62" s="9"/>
      <c r="E62" s="10" t="s">
        <v>271</v>
      </c>
      <c r="F62" s="11">
        <v>9999997.0</v>
      </c>
      <c r="G62" s="12">
        <v>1199999.64</v>
      </c>
      <c r="H62" s="14" t="s">
        <v>272</v>
      </c>
      <c r="I62" s="14" t="s">
        <v>273</v>
      </c>
      <c r="J62" s="15" t="s">
        <v>16</v>
      </c>
      <c r="K62" s="12"/>
    </row>
    <row r="63" ht="12.75" customHeight="1">
      <c r="A63" s="6" t="s">
        <v>274</v>
      </c>
      <c r="B63" s="7">
        <v>45757.0</v>
      </c>
      <c r="C63" s="8" t="s">
        <v>33</v>
      </c>
      <c r="D63" s="9"/>
      <c r="E63" s="10" t="s">
        <v>275</v>
      </c>
      <c r="F63" s="11">
        <v>2.2448976E7</v>
      </c>
      <c r="G63" s="12">
        <v>2693877.12</v>
      </c>
      <c r="H63" s="14" t="s">
        <v>276</v>
      </c>
      <c r="I63" s="14" t="s">
        <v>277</v>
      </c>
      <c r="J63" s="15" t="s">
        <v>16</v>
      </c>
      <c r="K63" s="12"/>
    </row>
    <row r="64" ht="12.75" customHeight="1">
      <c r="A64" s="6" t="s">
        <v>278</v>
      </c>
      <c r="B64" s="7">
        <v>45757.0</v>
      </c>
      <c r="C64" s="8" t="s">
        <v>33</v>
      </c>
      <c r="D64" s="9"/>
      <c r="E64" s="10" t="s">
        <v>279</v>
      </c>
      <c r="F64" s="11">
        <v>6122448.0</v>
      </c>
      <c r="G64" s="12">
        <v>734693.76</v>
      </c>
      <c r="H64" s="14">
        <v>754.286</v>
      </c>
      <c r="I64" s="14" t="s">
        <v>280</v>
      </c>
      <c r="J64" s="15" t="s">
        <v>16</v>
      </c>
      <c r="K64" s="12"/>
    </row>
    <row r="65" ht="12.75" customHeight="1">
      <c r="A65" s="6" t="s">
        <v>281</v>
      </c>
      <c r="B65" s="7">
        <v>45757.0</v>
      </c>
      <c r="C65" s="8" t="s">
        <v>94</v>
      </c>
      <c r="D65" s="9"/>
      <c r="E65" s="10" t="s">
        <v>282</v>
      </c>
      <c r="F65" s="11">
        <v>4.645E7</v>
      </c>
      <c r="G65" s="12">
        <v>4412750.0</v>
      </c>
      <c r="H65" s="14" t="s">
        <v>283</v>
      </c>
      <c r="I65" s="14" t="s">
        <v>284</v>
      </c>
      <c r="J65" s="15" t="s">
        <v>16</v>
      </c>
      <c r="K65" s="12"/>
    </row>
    <row r="66" ht="12.75" customHeight="1">
      <c r="A66" s="6" t="s">
        <v>285</v>
      </c>
      <c r="B66" s="7">
        <v>45757.0</v>
      </c>
      <c r="C66" s="8" t="s">
        <v>33</v>
      </c>
      <c r="D66" s="9"/>
      <c r="E66" s="10" t="s">
        <v>286</v>
      </c>
      <c r="F66" s="11">
        <v>2857142.0</v>
      </c>
      <c r="G66" s="12">
        <v>4412750.0</v>
      </c>
      <c r="H66" s="14">
        <v>799.688</v>
      </c>
      <c r="I66" s="14" t="s">
        <v>287</v>
      </c>
      <c r="J66" s="15" t="s">
        <v>16</v>
      </c>
      <c r="K66" s="12"/>
    </row>
    <row r="67" ht="12.75" customHeight="1">
      <c r="A67" s="6" t="s">
        <v>288</v>
      </c>
      <c r="B67" s="7">
        <v>45763.0</v>
      </c>
      <c r="C67" s="17" t="s">
        <v>99</v>
      </c>
      <c r="D67" s="9"/>
      <c r="E67" s="10" t="s">
        <v>289</v>
      </c>
      <c r="F67" s="11">
        <v>7392000.0</v>
      </c>
      <c r="G67" s="12"/>
      <c r="H67" s="14">
        <v>813.12</v>
      </c>
      <c r="I67" s="14" t="s">
        <v>113</v>
      </c>
      <c r="J67" s="15" t="s">
        <v>16</v>
      </c>
      <c r="K67" s="12"/>
    </row>
    <row r="68" ht="12.75" customHeight="1">
      <c r="A68" s="6" t="s">
        <v>290</v>
      </c>
      <c r="B68" s="7">
        <v>45763.0</v>
      </c>
      <c r="C68" s="17" t="s">
        <v>99</v>
      </c>
      <c r="D68" s="9"/>
      <c r="E68" s="10" t="s">
        <v>291</v>
      </c>
      <c r="F68" s="11">
        <v>2.565E7</v>
      </c>
      <c r="G68" s="12"/>
      <c r="H68" s="14" t="s">
        <v>292</v>
      </c>
      <c r="I68" s="14" t="s">
        <v>293</v>
      </c>
      <c r="J68" s="15" t="s">
        <v>16</v>
      </c>
      <c r="K68" s="12"/>
    </row>
    <row r="69" ht="12.75" customHeight="1">
      <c r="A69" s="6" t="s">
        <v>294</v>
      </c>
      <c r="B69" s="7">
        <v>45764.0</v>
      </c>
      <c r="C69" s="17" t="s">
        <v>99</v>
      </c>
      <c r="D69" s="9"/>
      <c r="E69" s="10" t="s">
        <v>295</v>
      </c>
      <c r="F69" s="11">
        <v>7370000.0</v>
      </c>
      <c r="G69" s="12"/>
      <c r="H69" s="14">
        <v>810.7</v>
      </c>
      <c r="I69" s="14" t="s">
        <v>194</v>
      </c>
      <c r="J69" s="15" t="s">
        <v>16</v>
      </c>
      <c r="K69" s="12"/>
    </row>
    <row r="70" ht="12.75" customHeight="1">
      <c r="A70" s="6" t="s">
        <v>296</v>
      </c>
      <c r="B70" s="7">
        <v>45768.0</v>
      </c>
      <c r="C70" s="8" t="s">
        <v>297</v>
      </c>
      <c r="D70" s="9"/>
      <c r="E70" s="10" t="s">
        <v>298</v>
      </c>
      <c r="F70" s="11">
        <v>1.86432088E8</v>
      </c>
      <c r="G70" s="12">
        <v>1.584672748E7</v>
      </c>
      <c r="H70" s="14" t="s">
        <v>299</v>
      </c>
      <c r="I70" s="14" t="s">
        <v>300</v>
      </c>
      <c r="J70" s="15" t="s">
        <v>16</v>
      </c>
      <c r="K70" s="12"/>
    </row>
    <row r="71" ht="12.75" customHeight="1">
      <c r="A71" s="6" t="s">
        <v>301</v>
      </c>
      <c r="B71" s="7">
        <v>45769.0</v>
      </c>
      <c r="C71" s="17" t="s">
        <v>99</v>
      </c>
      <c r="D71" s="9"/>
      <c r="E71" s="10" t="s">
        <v>302</v>
      </c>
      <c r="F71" s="11">
        <v>2.8877545E7</v>
      </c>
      <c r="G71" s="12">
        <v>3465305.4</v>
      </c>
      <c r="H71" s="14" t="s">
        <v>303</v>
      </c>
      <c r="I71" s="14" t="s">
        <v>304</v>
      </c>
      <c r="J71" s="15" t="s">
        <v>16</v>
      </c>
      <c r="K71" s="12"/>
    </row>
    <row r="72" ht="12.75" customHeight="1">
      <c r="A72" s="6" t="s">
        <v>305</v>
      </c>
      <c r="B72" s="7">
        <v>45770.0</v>
      </c>
      <c r="C72" s="17" t="s">
        <v>99</v>
      </c>
      <c r="D72" s="9"/>
      <c r="E72" s="10" t="s">
        <v>306</v>
      </c>
      <c r="F72" s="11">
        <v>1.3992871E7</v>
      </c>
      <c r="G72" s="12">
        <v>1049465.325</v>
      </c>
      <c r="H72" s="14" t="s">
        <v>307</v>
      </c>
      <c r="I72" s="14" t="s">
        <v>308</v>
      </c>
      <c r="J72" s="15" t="s">
        <v>16</v>
      </c>
      <c r="K72" s="12"/>
    </row>
    <row r="73" ht="12.75" customHeight="1">
      <c r="A73" s="6" t="s">
        <v>309</v>
      </c>
      <c r="B73" s="7">
        <v>45770.0</v>
      </c>
      <c r="C73" s="17" t="s">
        <v>99</v>
      </c>
      <c r="D73" s="9"/>
      <c r="E73" s="10" t="s">
        <v>310</v>
      </c>
      <c r="F73" s="11">
        <v>1.0884071E7</v>
      </c>
      <c r="G73" s="12">
        <v>816305.325</v>
      </c>
      <c r="H73" s="14" t="s">
        <v>311</v>
      </c>
      <c r="I73" s="14" t="s">
        <v>312</v>
      </c>
      <c r="J73" s="15" t="s">
        <v>16</v>
      </c>
      <c r="K73" s="12"/>
    </row>
    <row r="74" ht="12.75" customHeight="1">
      <c r="A74" s="6" t="s">
        <v>313</v>
      </c>
      <c r="B74" s="7">
        <v>45770.0</v>
      </c>
      <c r="C74" s="17" t="s">
        <v>99</v>
      </c>
      <c r="D74" s="9"/>
      <c r="E74" s="10" t="s">
        <v>314</v>
      </c>
      <c r="F74" s="11">
        <v>1.0884071E7</v>
      </c>
      <c r="G74" s="12">
        <v>816305.325</v>
      </c>
      <c r="H74" s="14" t="s">
        <v>311</v>
      </c>
      <c r="I74" s="14" t="s">
        <v>312</v>
      </c>
      <c r="J74" s="15" t="s">
        <v>16</v>
      </c>
      <c r="K74" s="12"/>
    </row>
    <row r="75" ht="12.75" customHeight="1">
      <c r="A75" s="6" t="s">
        <v>315</v>
      </c>
      <c r="B75" s="7">
        <v>45770.0</v>
      </c>
      <c r="C75" s="8" t="s">
        <v>316</v>
      </c>
      <c r="D75" s="9"/>
      <c r="E75" s="10" t="s">
        <v>317</v>
      </c>
      <c r="F75" s="11">
        <v>1.223012E7</v>
      </c>
      <c r="G75" s="12"/>
      <c r="H75" s="14" t="s">
        <v>318</v>
      </c>
      <c r="I75" s="14" t="s">
        <v>319</v>
      </c>
      <c r="J75" s="15" t="s">
        <v>16</v>
      </c>
      <c r="K75" s="12"/>
    </row>
    <row r="76" ht="12.75" customHeight="1">
      <c r="A76" s="6" t="s">
        <v>320</v>
      </c>
      <c r="B76" s="7">
        <v>45770.0</v>
      </c>
      <c r="C76" s="8" t="s">
        <v>316</v>
      </c>
      <c r="D76" s="9"/>
      <c r="E76" s="10" t="s">
        <v>321</v>
      </c>
      <c r="F76" s="11">
        <v>1.223012E7</v>
      </c>
      <c r="G76" s="12"/>
      <c r="H76" s="14" t="s">
        <v>318</v>
      </c>
      <c r="I76" s="14" t="s">
        <v>319</v>
      </c>
      <c r="J76" s="15" t="s">
        <v>16</v>
      </c>
      <c r="K76" s="12"/>
    </row>
    <row r="77" ht="12.75" customHeight="1">
      <c r="A77" s="6" t="s">
        <v>322</v>
      </c>
      <c r="B77" s="7">
        <v>45770.0</v>
      </c>
      <c r="C77" s="8" t="s">
        <v>316</v>
      </c>
      <c r="D77" s="9"/>
      <c r="E77" s="10" t="s">
        <v>323</v>
      </c>
      <c r="F77" s="11">
        <v>1.374912E7</v>
      </c>
      <c r="G77" s="12"/>
      <c r="H77" s="14" t="s">
        <v>324</v>
      </c>
      <c r="I77" s="14" t="s">
        <v>325</v>
      </c>
      <c r="J77" s="15" t="s">
        <v>16</v>
      </c>
      <c r="K77" s="12"/>
    </row>
    <row r="78" ht="12.75" customHeight="1">
      <c r="A78" s="6" t="s">
        <v>326</v>
      </c>
      <c r="B78" s="7">
        <v>45770.0</v>
      </c>
      <c r="C78" s="8" t="s">
        <v>316</v>
      </c>
      <c r="D78" s="9"/>
      <c r="E78" s="10" t="s">
        <v>327</v>
      </c>
      <c r="F78" s="11">
        <v>1.223012E7</v>
      </c>
      <c r="G78" s="12"/>
      <c r="H78" s="14" t="s">
        <v>318</v>
      </c>
      <c r="I78" s="14" t="s">
        <v>319</v>
      </c>
      <c r="J78" s="15" t="s">
        <v>16</v>
      </c>
      <c r="K78" s="12"/>
    </row>
    <row r="79" ht="12.75" customHeight="1">
      <c r="A79" s="6" t="s">
        <v>328</v>
      </c>
      <c r="B79" s="7">
        <v>45771.0</v>
      </c>
      <c r="C79" s="8" t="s">
        <v>329</v>
      </c>
      <c r="D79" s="9"/>
      <c r="E79" s="10" t="s">
        <v>330</v>
      </c>
      <c r="F79" s="11">
        <v>1.13637563E8</v>
      </c>
      <c r="G79" s="12"/>
      <c r="H79" s="14" t="s">
        <v>331</v>
      </c>
      <c r="I79" s="14" t="s">
        <v>332</v>
      </c>
      <c r="J79" s="15" t="s">
        <v>16</v>
      </c>
      <c r="K79" s="12"/>
    </row>
    <row r="80" ht="12.75" customHeight="1">
      <c r="A80" s="6" t="s">
        <v>333</v>
      </c>
      <c r="B80" s="7">
        <v>45771.0</v>
      </c>
      <c r="C80" s="17" t="s">
        <v>99</v>
      </c>
      <c r="D80" s="9"/>
      <c r="E80" s="10" t="s">
        <v>334</v>
      </c>
      <c r="F80" s="11">
        <v>8550000.0</v>
      </c>
      <c r="G80" s="12"/>
      <c r="H80" s="14">
        <v>940.5</v>
      </c>
      <c r="I80" s="14" t="s">
        <v>335</v>
      </c>
      <c r="J80" s="15" t="s">
        <v>16</v>
      </c>
      <c r="K80" s="12"/>
    </row>
    <row r="81" ht="12.75" customHeight="1">
      <c r="A81" s="6" t="s">
        <v>336</v>
      </c>
      <c r="B81" s="7">
        <v>45775.0</v>
      </c>
      <c r="C81" s="8" t="s">
        <v>337</v>
      </c>
      <c r="D81" s="9"/>
      <c r="E81" s="10" t="s">
        <v>338</v>
      </c>
      <c r="F81" s="11">
        <v>7.3235585E7</v>
      </c>
      <c r="G81" s="12">
        <v>6225024.725000001</v>
      </c>
      <c r="H81" s="14" t="s">
        <v>339</v>
      </c>
      <c r="I81" s="14" t="s">
        <v>340</v>
      </c>
      <c r="J81" s="15" t="s">
        <v>16</v>
      </c>
      <c r="K81" s="12"/>
    </row>
    <row r="82" ht="12.75" customHeight="1">
      <c r="A82" s="6" t="s">
        <v>341</v>
      </c>
      <c r="B82" s="7">
        <v>45775.0</v>
      </c>
      <c r="C82" s="8" t="s">
        <v>337</v>
      </c>
      <c r="D82" s="9"/>
      <c r="E82" s="10" t="s">
        <v>342</v>
      </c>
      <c r="F82" s="11">
        <v>7.5620042E7</v>
      </c>
      <c r="G82" s="12">
        <v>6427703.57</v>
      </c>
      <c r="H82" s="14" t="s">
        <v>343</v>
      </c>
      <c r="I82" s="14" t="s">
        <v>344</v>
      </c>
      <c r="J82" s="15" t="s">
        <v>16</v>
      </c>
      <c r="K82" s="12"/>
    </row>
    <row r="83" ht="12.75" customHeight="1">
      <c r="A83" s="6" t="s">
        <v>345</v>
      </c>
      <c r="B83" s="7">
        <v>45775.0</v>
      </c>
      <c r="C83" s="8" t="s">
        <v>337</v>
      </c>
      <c r="D83" s="9"/>
      <c r="E83" s="10" t="s">
        <v>346</v>
      </c>
      <c r="F83" s="11">
        <v>6.6216842E7</v>
      </c>
      <c r="G83" s="12">
        <v>5628431.57</v>
      </c>
      <c r="H83" s="14" t="s">
        <v>347</v>
      </c>
      <c r="I83" s="14" t="s">
        <v>348</v>
      </c>
      <c r="J83" s="15" t="s">
        <v>16</v>
      </c>
      <c r="K83" s="12"/>
    </row>
    <row r="84" ht="12.75" customHeight="1">
      <c r="A84" s="6" t="s">
        <v>349</v>
      </c>
      <c r="B84" s="7">
        <v>45775.0</v>
      </c>
      <c r="C84" s="8" t="s">
        <v>337</v>
      </c>
      <c r="D84" s="9"/>
      <c r="E84" s="10" t="s">
        <v>350</v>
      </c>
      <c r="F84" s="11">
        <v>8.5614543E7</v>
      </c>
      <c r="G84" s="12">
        <v>7277236.155</v>
      </c>
      <c r="H84" s="14" t="s">
        <v>351</v>
      </c>
      <c r="I84" s="14" t="s">
        <v>352</v>
      </c>
      <c r="J84" s="15" t="s">
        <v>16</v>
      </c>
      <c r="K84" s="12"/>
    </row>
    <row r="85" ht="12.75" customHeight="1">
      <c r="A85" s="6" t="s">
        <v>353</v>
      </c>
      <c r="B85" s="7">
        <v>45775.0</v>
      </c>
      <c r="C85" s="8" t="s">
        <v>337</v>
      </c>
      <c r="D85" s="9"/>
      <c r="E85" s="10" t="s">
        <v>354</v>
      </c>
      <c r="F85" s="11">
        <v>5.1662042E7</v>
      </c>
      <c r="G85" s="12">
        <v>4391273.57</v>
      </c>
      <c r="H85" s="14" t="s">
        <v>355</v>
      </c>
      <c r="I85" s="14" t="s">
        <v>356</v>
      </c>
      <c r="J85" s="15" t="s">
        <v>16</v>
      </c>
      <c r="K85" s="12"/>
    </row>
    <row r="86" ht="12.75" customHeight="1">
      <c r="A86" s="6" t="s">
        <v>357</v>
      </c>
      <c r="B86" s="7">
        <v>45775.0</v>
      </c>
      <c r="C86" s="17" t="s">
        <v>99</v>
      </c>
      <c r="D86" s="9"/>
      <c r="E86" s="10" t="s">
        <v>358</v>
      </c>
      <c r="F86" s="11">
        <v>7392000.0</v>
      </c>
      <c r="G86" s="12"/>
      <c r="H86" s="14">
        <v>813.12</v>
      </c>
      <c r="I86" s="14" t="s">
        <v>113</v>
      </c>
      <c r="J86" s="15" t="s">
        <v>16</v>
      </c>
      <c r="K86" s="12"/>
    </row>
    <row r="87" ht="12.75" customHeight="1">
      <c r="A87" s="6" t="s">
        <v>359</v>
      </c>
      <c r="B87" s="17" t="s">
        <v>360</v>
      </c>
      <c r="C87" s="8" t="s">
        <v>361</v>
      </c>
      <c r="D87" s="9"/>
      <c r="E87" s="10" t="s">
        <v>362</v>
      </c>
      <c r="F87" s="11">
        <v>6122448.0</v>
      </c>
      <c r="G87" s="12">
        <v>734693.76</v>
      </c>
      <c r="H87" s="14">
        <v>754.286</v>
      </c>
      <c r="I87" s="14" t="s">
        <v>280</v>
      </c>
      <c r="J87" s="15" t="s">
        <v>16</v>
      </c>
      <c r="K87" s="12"/>
    </row>
    <row r="88" ht="12.75" customHeight="1">
      <c r="A88" s="6" t="s">
        <v>363</v>
      </c>
      <c r="B88" s="7">
        <v>45779.0</v>
      </c>
      <c r="C88" s="17" t="s">
        <v>99</v>
      </c>
      <c r="D88" s="9"/>
      <c r="E88" s="10" t="s">
        <v>364</v>
      </c>
      <c r="F88" s="11">
        <v>2.5249141E7</v>
      </c>
      <c r="G88" s="12">
        <v>1565446.742</v>
      </c>
      <c r="H88" s="14" t="s">
        <v>365</v>
      </c>
      <c r="I88" s="14" t="s">
        <v>366</v>
      </c>
      <c r="J88" s="15" t="s">
        <v>16</v>
      </c>
      <c r="K88" s="12"/>
    </row>
    <row r="89" ht="12.75" customHeight="1">
      <c r="A89" s="6" t="s">
        <v>367</v>
      </c>
      <c r="B89" s="7">
        <v>45779.0</v>
      </c>
      <c r="C89" s="17" t="s">
        <v>99</v>
      </c>
      <c r="D89" s="9"/>
      <c r="E89" s="10" t="s">
        <v>368</v>
      </c>
      <c r="F89" s="11">
        <v>1.0884071E7</v>
      </c>
      <c r="G89" s="12">
        <v>816305.325</v>
      </c>
      <c r="H89" s="14" t="s">
        <v>311</v>
      </c>
      <c r="I89" s="14" t="s">
        <v>312</v>
      </c>
      <c r="J89" s="15" t="s">
        <v>16</v>
      </c>
      <c r="K89" s="12"/>
    </row>
    <row r="90" ht="12.75" customHeight="1">
      <c r="A90" s="6" t="s">
        <v>369</v>
      </c>
      <c r="B90" s="7">
        <v>45782.0</v>
      </c>
      <c r="C90" s="8" t="s">
        <v>370</v>
      </c>
      <c r="D90" s="9"/>
      <c r="E90" s="10" t="s">
        <v>371</v>
      </c>
      <c r="F90" s="11">
        <v>1.1272E7</v>
      </c>
      <c r="G90" s="12">
        <v>958120.0000000001</v>
      </c>
      <c r="H90" s="14" t="s">
        <v>318</v>
      </c>
      <c r="I90" s="14" t="s">
        <v>319</v>
      </c>
      <c r="J90" s="15" t="e">
        <v>#N/A</v>
      </c>
      <c r="K90" s="12"/>
    </row>
    <row r="91" ht="12.75" customHeight="1">
      <c r="A91" s="6" t="s">
        <v>372</v>
      </c>
      <c r="B91" s="7">
        <v>45779.0</v>
      </c>
      <c r="C91" s="8" t="s">
        <v>373</v>
      </c>
      <c r="D91" s="9"/>
      <c r="E91" s="10" t="s">
        <v>374</v>
      </c>
      <c r="F91" s="11">
        <v>3.40032E7</v>
      </c>
      <c r="G91" s="12"/>
      <c r="H91" s="14" t="s">
        <v>375</v>
      </c>
      <c r="I91" s="14" t="s">
        <v>376</v>
      </c>
      <c r="J91" s="15" t="s">
        <v>16</v>
      </c>
      <c r="K91" s="12"/>
    </row>
    <row r="92" ht="12.75" customHeight="1">
      <c r="A92" s="6" t="s">
        <v>377</v>
      </c>
      <c r="B92" s="7">
        <v>45779.0</v>
      </c>
      <c r="C92" s="8" t="s">
        <v>378</v>
      </c>
      <c r="D92" s="9"/>
      <c r="E92" s="10" t="s">
        <v>379</v>
      </c>
      <c r="F92" s="11">
        <v>3.416E7</v>
      </c>
      <c r="G92" s="12"/>
      <c r="H92" s="14" t="s">
        <v>380</v>
      </c>
      <c r="I92" s="14" t="s">
        <v>381</v>
      </c>
      <c r="J92" s="15" t="s">
        <v>16</v>
      </c>
      <c r="K92" s="12"/>
    </row>
    <row r="93" ht="12.75" customHeight="1">
      <c r="A93" s="6" t="s">
        <v>382</v>
      </c>
      <c r="B93" s="7">
        <v>45779.0</v>
      </c>
      <c r="C93" s="8" t="s">
        <v>383</v>
      </c>
      <c r="D93" s="9"/>
      <c r="E93" s="10" t="s">
        <v>384</v>
      </c>
      <c r="F93" s="11">
        <v>1.473528E7</v>
      </c>
      <c r="G93" s="12"/>
      <c r="H93" s="14" t="s">
        <v>385</v>
      </c>
      <c r="I93" s="14" t="s">
        <v>386</v>
      </c>
      <c r="J93" s="15" t="s">
        <v>16</v>
      </c>
      <c r="K93" s="12"/>
    </row>
    <row r="94" ht="12.75" customHeight="1">
      <c r="A94" s="6" t="s">
        <v>387</v>
      </c>
      <c r="B94" s="7">
        <v>45779.0</v>
      </c>
      <c r="C94" s="8" t="s">
        <v>388</v>
      </c>
      <c r="D94" s="9"/>
      <c r="E94" s="10" t="s">
        <v>389</v>
      </c>
      <c r="F94" s="11">
        <v>1.725E7</v>
      </c>
      <c r="G94" s="12"/>
      <c r="H94" s="14" t="s">
        <v>390</v>
      </c>
      <c r="I94" s="14" t="s">
        <v>391</v>
      </c>
      <c r="J94" s="15" t="s">
        <v>16</v>
      </c>
      <c r="K94" s="12"/>
    </row>
    <row r="95" ht="12.75" customHeight="1">
      <c r="A95" s="6" t="s">
        <v>392</v>
      </c>
      <c r="B95" s="7">
        <v>45783.0</v>
      </c>
      <c r="C95" s="17" t="s">
        <v>99</v>
      </c>
      <c r="D95" s="9"/>
      <c r="E95" s="10" t="s">
        <v>393</v>
      </c>
      <c r="F95" s="11">
        <v>7370000.0</v>
      </c>
      <c r="G95" s="12"/>
      <c r="H95" s="14">
        <v>810.7</v>
      </c>
      <c r="I95" s="14" t="s">
        <v>194</v>
      </c>
      <c r="J95" s="15" t="s">
        <v>16</v>
      </c>
      <c r="K95" s="12"/>
    </row>
    <row r="96" ht="12.75" customHeight="1">
      <c r="A96" s="6" t="s">
        <v>394</v>
      </c>
      <c r="B96" s="7">
        <v>45783.0</v>
      </c>
      <c r="C96" s="8" t="s">
        <v>94</v>
      </c>
      <c r="D96" s="9"/>
      <c r="E96" s="10" t="s">
        <v>395</v>
      </c>
      <c r="F96" s="11">
        <v>5.086275E7</v>
      </c>
      <c r="G96" s="12"/>
      <c r="H96" s="14" t="s">
        <v>283</v>
      </c>
      <c r="I96" s="14" t="s">
        <v>284</v>
      </c>
      <c r="J96" s="15" t="s">
        <v>16</v>
      </c>
      <c r="K96" s="12"/>
    </row>
    <row r="97" ht="12.75" customHeight="1">
      <c r="A97" s="6" t="s">
        <v>396</v>
      </c>
      <c r="B97" s="7">
        <v>45783.0</v>
      </c>
      <c r="C97" s="8" t="s">
        <v>217</v>
      </c>
      <c r="D97" s="9"/>
      <c r="E97" s="10" t="s">
        <v>397</v>
      </c>
      <c r="F97" s="11">
        <v>6.0E7</v>
      </c>
      <c r="G97" s="12">
        <v>4500000.0</v>
      </c>
      <c r="H97" s="14" t="s">
        <v>205</v>
      </c>
      <c r="I97" s="14" t="s">
        <v>206</v>
      </c>
      <c r="J97" s="15" t="s">
        <v>16</v>
      </c>
      <c r="K97" s="12"/>
    </row>
    <row r="98" ht="12.75" customHeight="1">
      <c r="A98" s="6" t="s">
        <v>398</v>
      </c>
      <c r="B98" s="7">
        <v>45793.0</v>
      </c>
      <c r="C98" s="8" t="s">
        <v>399</v>
      </c>
      <c r="D98" s="9"/>
      <c r="E98" s="10" t="s">
        <v>400</v>
      </c>
      <c r="F98" s="11">
        <v>4.018E7</v>
      </c>
      <c r="G98" s="12"/>
      <c r="H98" s="14" t="s">
        <v>401</v>
      </c>
      <c r="I98" s="14" t="s">
        <v>402</v>
      </c>
      <c r="J98" s="15" t="s">
        <v>16</v>
      </c>
      <c r="K98" s="12"/>
    </row>
    <row r="99" ht="12.75" customHeight="1">
      <c r="A99" s="6" t="s">
        <v>403</v>
      </c>
      <c r="B99" s="7">
        <v>45793.0</v>
      </c>
      <c r="C99" s="8" t="s">
        <v>404</v>
      </c>
      <c r="D99" s="9"/>
      <c r="E99" s="10" t="s">
        <v>405</v>
      </c>
      <c r="F99" s="11">
        <v>8.75504E7</v>
      </c>
      <c r="G99" s="12"/>
      <c r="H99" s="14" t="s">
        <v>406</v>
      </c>
      <c r="I99" s="14" t="s">
        <v>407</v>
      </c>
      <c r="J99" s="15" t="s">
        <v>16</v>
      </c>
      <c r="K99" s="12"/>
    </row>
    <row r="100" ht="12.75" customHeight="1">
      <c r="A100" s="6" t="s">
        <v>408</v>
      </c>
      <c r="B100" s="7">
        <v>45793.0</v>
      </c>
      <c r="C100" s="8" t="s">
        <v>409</v>
      </c>
      <c r="D100" s="9"/>
      <c r="E100" s="10" t="s">
        <v>410</v>
      </c>
      <c r="F100" s="11">
        <v>1.512E7</v>
      </c>
      <c r="G100" s="12"/>
      <c r="H100" s="14" t="s">
        <v>411</v>
      </c>
      <c r="I100" s="14" t="s">
        <v>412</v>
      </c>
      <c r="J100" s="15" t="s">
        <v>16</v>
      </c>
      <c r="K100" s="12"/>
    </row>
    <row r="101" ht="12.75" customHeight="1">
      <c r="A101" s="6" t="s">
        <v>413</v>
      </c>
      <c r="B101" s="7">
        <v>45797.0</v>
      </c>
      <c r="C101" s="8" t="s">
        <v>244</v>
      </c>
      <c r="D101" s="9"/>
      <c r="E101" s="10" t="s">
        <v>414</v>
      </c>
      <c r="F101" s="11">
        <v>1.80403495E8</v>
      </c>
      <c r="G101" s="12">
        <v>1.5334297075000001E7</v>
      </c>
      <c r="H101" s="14" t="s">
        <v>415</v>
      </c>
      <c r="I101" s="14" t="s">
        <v>416</v>
      </c>
      <c r="J101" s="15" t="s">
        <v>16</v>
      </c>
      <c r="K101" s="12"/>
    </row>
    <row r="102" ht="12.75" customHeight="1">
      <c r="A102" s="6" t="s">
        <v>417</v>
      </c>
      <c r="B102" s="7">
        <v>45797.0</v>
      </c>
      <c r="C102" s="8" t="s">
        <v>418</v>
      </c>
      <c r="D102" s="9"/>
      <c r="E102" s="10" t="s">
        <v>419</v>
      </c>
      <c r="F102" s="11">
        <v>6.2432766E7</v>
      </c>
      <c r="G102" s="12">
        <v>5306785.11</v>
      </c>
      <c r="H102" s="14" t="s">
        <v>420</v>
      </c>
      <c r="I102" s="14" t="s">
        <v>421</v>
      </c>
      <c r="J102" s="15" t="s">
        <v>16</v>
      </c>
      <c r="K102" s="12"/>
    </row>
    <row r="103" ht="12.75" customHeight="1">
      <c r="A103" s="6" t="s">
        <v>422</v>
      </c>
      <c r="B103" s="7">
        <v>45797.0</v>
      </c>
      <c r="C103" s="8" t="s">
        <v>418</v>
      </c>
      <c r="D103" s="9"/>
      <c r="E103" s="10" t="s">
        <v>423</v>
      </c>
      <c r="F103" s="11">
        <v>8.3392766E7</v>
      </c>
      <c r="G103" s="12">
        <v>7088385.11</v>
      </c>
      <c r="H103" s="14" t="s">
        <v>424</v>
      </c>
      <c r="I103" s="14" t="s">
        <v>425</v>
      </c>
      <c r="J103" s="15" t="s">
        <v>16</v>
      </c>
      <c r="K103" s="12"/>
    </row>
    <row r="104" ht="12.75" customHeight="1">
      <c r="A104" s="6" t="s">
        <v>426</v>
      </c>
      <c r="B104" s="7">
        <v>45797.0</v>
      </c>
      <c r="C104" s="8" t="s">
        <v>418</v>
      </c>
      <c r="D104" s="9"/>
      <c r="E104" s="10" t="s">
        <v>427</v>
      </c>
      <c r="F104" s="11">
        <v>1.11225883E8</v>
      </c>
      <c r="G104" s="12">
        <v>9454200.055000002</v>
      </c>
      <c r="H104" s="14" t="s">
        <v>428</v>
      </c>
      <c r="I104" s="14" t="s">
        <v>429</v>
      </c>
      <c r="J104" s="15" t="s">
        <v>16</v>
      </c>
      <c r="K104" s="12"/>
    </row>
    <row r="105" ht="12.75" customHeight="1">
      <c r="A105" s="6" t="s">
        <v>430</v>
      </c>
      <c r="B105" s="7">
        <v>45797.0</v>
      </c>
      <c r="C105" s="8" t="s">
        <v>418</v>
      </c>
      <c r="D105" s="9"/>
      <c r="E105" s="10" t="s">
        <v>431</v>
      </c>
      <c r="F105" s="11">
        <v>8.6735766E7</v>
      </c>
      <c r="G105" s="12">
        <v>7372540.11</v>
      </c>
      <c r="H105" s="14" t="s">
        <v>432</v>
      </c>
      <c r="I105" s="14" t="s">
        <v>433</v>
      </c>
      <c r="J105" s="15" t="s">
        <v>16</v>
      </c>
      <c r="K105" s="12"/>
    </row>
    <row r="106" ht="12.75" customHeight="1">
      <c r="A106" s="6" t="s">
        <v>434</v>
      </c>
      <c r="B106" s="7">
        <v>45797.0</v>
      </c>
      <c r="C106" s="8" t="s">
        <v>418</v>
      </c>
      <c r="D106" s="9"/>
      <c r="E106" s="10" t="s">
        <v>435</v>
      </c>
      <c r="F106" s="11">
        <v>6.8733066E7</v>
      </c>
      <c r="G106" s="12">
        <v>5842310.61</v>
      </c>
      <c r="H106" s="14" t="s">
        <v>436</v>
      </c>
      <c r="I106" s="14" t="s">
        <v>437</v>
      </c>
      <c r="J106" s="15" t="s">
        <v>16</v>
      </c>
      <c r="K106" s="12"/>
    </row>
    <row r="107" ht="12.75" customHeight="1">
      <c r="A107" s="6" t="s">
        <v>438</v>
      </c>
      <c r="B107" s="7">
        <v>45797.0</v>
      </c>
      <c r="C107" s="8" t="s">
        <v>370</v>
      </c>
      <c r="D107" s="9"/>
      <c r="E107" s="10" t="s">
        <v>439</v>
      </c>
      <c r="F107" s="11">
        <v>1.1272E7</v>
      </c>
      <c r="G107" s="12"/>
      <c r="H107" s="14" t="s">
        <v>440</v>
      </c>
      <c r="I107" s="14" t="s">
        <v>441</v>
      </c>
      <c r="J107" s="15" t="s">
        <v>16</v>
      </c>
      <c r="K107" s="12"/>
    </row>
    <row r="108" ht="12.75" customHeight="1">
      <c r="A108" s="6" t="s">
        <v>442</v>
      </c>
      <c r="B108" s="7">
        <v>45800.0</v>
      </c>
      <c r="C108" s="8" t="s">
        <v>443</v>
      </c>
      <c r="D108" s="9"/>
      <c r="E108" s="10" t="s">
        <v>444</v>
      </c>
      <c r="F108" s="11">
        <v>3.406032E7</v>
      </c>
      <c r="G108" s="12"/>
      <c r="H108" s="14" t="s">
        <v>445</v>
      </c>
      <c r="I108" s="14" t="s">
        <v>446</v>
      </c>
      <c r="J108" s="15" t="s">
        <v>16</v>
      </c>
      <c r="K108" s="12"/>
    </row>
    <row r="109" ht="12.75" customHeight="1">
      <c r="A109" s="6" t="s">
        <v>447</v>
      </c>
      <c r="B109" s="7">
        <v>45804.0</v>
      </c>
      <c r="C109" s="8" t="s">
        <v>33</v>
      </c>
      <c r="D109" s="9"/>
      <c r="E109" s="10" t="s">
        <v>448</v>
      </c>
      <c r="F109" s="11">
        <v>2857142.0</v>
      </c>
      <c r="G109" s="12">
        <v>342857.04</v>
      </c>
      <c r="H109" s="14">
        <v>352.0</v>
      </c>
      <c r="I109" s="14" t="s">
        <v>142</v>
      </c>
      <c r="J109" s="15" t="s">
        <v>16</v>
      </c>
      <c r="K109" s="12"/>
    </row>
    <row r="110" ht="12.75" customHeight="1">
      <c r="A110" s="6" t="s">
        <v>449</v>
      </c>
      <c r="B110" s="7">
        <v>45804.0</v>
      </c>
      <c r="C110" s="8" t="s">
        <v>33</v>
      </c>
      <c r="D110" s="9"/>
      <c r="E110" s="10" t="s">
        <v>450</v>
      </c>
      <c r="F110" s="11">
        <v>1.8571423E7</v>
      </c>
      <c r="G110" s="12">
        <v>2228570.76</v>
      </c>
      <c r="H110" s="14" t="s">
        <v>451</v>
      </c>
      <c r="I110" s="14" t="s">
        <v>452</v>
      </c>
      <c r="J110" s="15" t="s">
        <v>16</v>
      </c>
      <c r="K110" s="12"/>
    </row>
    <row r="111" ht="12.75" customHeight="1">
      <c r="A111" s="6" t="s">
        <v>453</v>
      </c>
      <c r="B111" s="7">
        <v>45804.0</v>
      </c>
      <c r="C111" s="8" t="s">
        <v>33</v>
      </c>
      <c r="D111" s="9"/>
      <c r="E111" s="10" t="s">
        <v>454</v>
      </c>
      <c r="F111" s="11">
        <v>1.1122446E7</v>
      </c>
      <c r="G111" s="12">
        <v>1334693.52</v>
      </c>
      <c r="H111" s="14" t="s">
        <v>455</v>
      </c>
      <c r="I111" s="14" t="s">
        <v>456</v>
      </c>
      <c r="J111" s="15" t="s">
        <v>16</v>
      </c>
      <c r="K111" s="12"/>
    </row>
    <row r="112" ht="12.75" customHeight="1">
      <c r="A112" s="6" t="s">
        <v>457</v>
      </c>
      <c r="B112" s="7">
        <v>45804.0</v>
      </c>
      <c r="C112" s="8" t="s">
        <v>33</v>
      </c>
      <c r="D112" s="9"/>
      <c r="E112" s="10" t="s">
        <v>458</v>
      </c>
      <c r="F112" s="11">
        <v>7142855.0</v>
      </c>
      <c r="G112" s="12">
        <v>857142.6</v>
      </c>
      <c r="H112" s="14">
        <v>880.0</v>
      </c>
      <c r="I112" s="14" t="s">
        <v>459</v>
      </c>
      <c r="J112" s="15" t="s">
        <v>16</v>
      </c>
      <c r="K112" s="12"/>
    </row>
    <row r="113" ht="12.75" customHeight="1">
      <c r="A113" s="6" t="s">
        <v>460</v>
      </c>
      <c r="B113" s="7">
        <v>45810.0</v>
      </c>
      <c r="C113" s="8" t="s">
        <v>33</v>
      </c>
      <c r="D113" s="9"/>
      <c r="E113" s="10" t="s">
        <v>461</v>
      </c>
      <c r="F113" s="11">
        <v>6.0E7</v>
      </c>
      <c r="G113" s="12">
        <v>4500000.0</v>
      </c>
      <c r="H113" s="14" t="s">
        <v>205</v>
      </c>
      <c r="I113" s="14" t="s">
        <v>206</v>
      </c>
      <c r="J113" s="15" t="s">
        <v>16</v>
      </c>
      <c r="K113" s="12"/>
    </row>
    <row r="114" ht="12.75" customHeight="1">
      <c r="A114" s="6" t="s">
        <v>462</v>
      </c>
      <c r="B114" s="7">
        <v>45811.0</v>
      </c>
      <c r="C114" s="18" t="s">
        <v>198</v>
      </c>
      <c r="D114" s="9"/>
      <c r="E114" s="10" t="s">
        <v>463</v>
      </c>
      <c r="F114" s="11">
        <v>1.9831157E8</v>
      </c>
      <c r="G114" s="12">
        <v>1.526999089E7</v>
      </c>
      <c r="H114" s="14" t="s">
        <v>464</v>
      </c>
      <c r="I114" s="14" t="s">
        <v>465</v>
      </c>
      <c r="J114" s="15" t="s">
        <v>16</v>
      </c>
      <c r="K114" s="12"/>
    </row>
    <row r="115" ht="12.75" customHeight="1">
      <c r="A115" s="6" t="s">
        <v>466</v>
      </c>
      <c r="B115" s="7">
        <v>45811.0</v>
      </c>
      <c r="C115" s="8" t="s">
        <v>198</v>
      </c>
      <c r="D115" s="9"/>
      <c r="E115" s="10" t="s">
        <v>467</v>
      </c>
      <c r="F115" s="11">
        <v>5.086275E7</v>
      </c>
      <c r="G115" s="12"/>
      <c r="H115" s="14" t="s">
        <v>283</v>
      </c>
      <c r="I115" s="14" t="s">
        <v>284</v>
      </c>
      <c r="J115" s="15" t="s">
        <v>16</v>
      </c>
      <c r="K115" s="12"/>
    </row>
    <row r="116" ht="12.75" customHeight="1">
      <c r="A116" s="6" t="s">
        <v>468</v>
      </c>
      <c r="B116" s="7">
        <v>45811.0</v>
      </c>
      <c r="C116" s="17" t="s">
        <v>99</v>
      </c>
      <c r="D116" s="9"/>
      <c r="E116" s="10" t="s">
        <v>469</v>
      </c>
      <c r="F116" s="11">
        <v>2.5177141E7</v>
      </c>
      <c r="G116" s="12">
        <v>1560982.742</v>
      </c>
      <c r="H116" s="14" t="s">
        <v>470</v>
      </c>
      <c r="I116" s="14" t="s">
        <v>471</v>
      </c>
      <c r="J116" s="15" t="s">
        <v>16</v>
      </c>
      <c r="K116" s="12"/>
    </row>
    <row r="117" ht="12.75" customHeight="1">
      <c r="A117" s="6" t="s">
        <v>472</v>
      </c>
      <c r="B117" s="7">
        <v>45811.0</v>
      </c>
      <c r="C117" s="17" t="s">
        <v>99</v>
      </c>
      <c r="D117" s="9"/>
      <c r="E117" s="10" t="s">
        <v>473</v>
      </c>
      <c r="F117" s="11">
        <v>1.0884071E7</v>
      </c>
      <c r="G117" s="12">
        <v>816305.325</v>
      </c>
      <c r="H117" s="14" t="s">
        <v>311</v>
      </c>
      <c r="I117" s="14" t="s">
        <v>312</v>
      </c>
      <c r="J117" s="15" t="s">
        <v>16</v>
      </c>
      <c r="K117" s="12"/>
    </row>
    <row r="118" ht="12.75" customHeight="1">
      <c r="A118" s="6" t="s">
        <v>474</v>
      </c>
      <c r="B118" s="7">
        <v>45811.0</v>
      </c>
      <c r="C118" s="8" t="s">
        <v>475</v>
      </c>
      <c r="D118" s="9"/>
      <c r="E118" s="10" t="s">
        <v>476</v>
      </c>
      <c r="F118" s="11">
        <v>4.0E7</v>
      </c>
      <c r="G118" s="12">
        <v>6000000.0</v>
      </c>
      <c r="H118" s="14" t="s">
        <v>477</v>
      </c>
      <c r="I118" s="14" t="s">
        <v>478</v>
      </c>
      <c r="J118" s="15" t="s">
        <v>16</v>
      </c>
      <c r="K118" s="12"/>
    </row>
    <row r="119" ht="12.75" customHeight="1">
      <c r="A119" s="6" t="s">
        <v>479</v>
      </c>
      <c r="B119" s="7">
        <v>45811.0</v>
      </c>
      <c r="C119" s="17" t="s">
        <v>99</v>
      </c>
      <c r="D119" s="9"/>
      <c r="E119" s="10" t="s">
        <v>480</v>
      </c>
      <c r="F119" s="11">
        <v>8550000.0</v>
      </c>
      <c r="G119" s="12"/>
      <c r="H119" s="14">
        <v>940.5</v>
      </c>
      <c r="I119" s="14" t="s">
        <v>335</v>
      </c>
      <c r="J119" s="15" t="s">
        <v>16</v>
      </c>
      <c r="K119" s="12"/>
    </row>
    <row r="120" ht="12.75" customHeight="1">
      <c r="A120" s="6" t="s">
        <v>481</v>
      </c>
      <c r="B120" s="7">
        <v>45813.0</v>
      </c>
      <c r="C120" s="17" t="s">
        <v>99</v>
      </c>
      <c r="D120" s="9"/>
      <c r="E120" s="10" t="s">
        <v>482</v>
      </c>
      <c r="F120" s="11">
        <v>7370000.0</v>
      </c>
      <c r="G120" s="12"/>
      <c r="H120" s="14">
        <v>810.7</v>
      </c>
      <c r="I120" s="14" t="s">
        <v>194</v>
      </c>
      <c r="J120" s="15" t="s">
        <v>16</v>
      </c>
      <c r="K120" s="12"/>
    </row>
    <row r="121" ht="12.75" customHeight="1">
      <c r="A121" s="6" t="s">
        <v>483</v>
      </c>
      <c r="B121" s="7">
        <v>45813.0</v>
      </c>
      <c r="C121" s="17" t="s">
        <v>99</v>
      </c>
      <c r="D121" s="9"/>
      <c r="E121" s="10" t="s">
        <v>484</v>
      </c>
      <c r="F121" s="11">
        <v>7932000.0</v>
      </c>
      <c r="G121" s="12"/>
      <c r="H121" s="14">
        <v>872.52</v>
      </c>
      <c r="I121" s="14" t="s">
        <v>485</v>
      </c>
      <c r="J121" s="15" t="s">
        <v>16</v>
      </c>
      <c r="K121" s="12"/>
    </row>
    <row r="122" ht="12.75" customHeight="1">
      <c r="A122" s="6" t="s">
        <v>486</v>
      </c>
      <c r="B122" s="7">
        <v>45813.0</v>
      </c>
      <c r="C122" s="8" t="s">
        <v>487</v>
      </c>
      <c r="D122" s="9"/>
      <c r="E122" s="10" t="s">
        <v>488</v>
      </c>
      <c r="F122" s="11">
        <v>1.725E7</v>
      </c>
      <c r="G122" s="12"/>
      <c r="H122" s="14" t="s">
        <v>390</v>
      </c>
      <c r="I122" s="14" t="s">
        <v>391</v>
      </c>
      <c r="J122" s="15" t="s">
        <v>16</v>
      </c>
      <c r="K122" s="12"/>
    </row>
    <row r="123" ht="12.75" customHeight="1">
      <c r="A123" s="6" t="s">
        <v>489</v>
      </c>
      <c r="B123" s="7">
        <v>45813.0</v>
      </c>
      <c r="C123" s="8" t="s">
        <v>490</v>
      </c>
      <c r="D123" s="9"/>
      <c r="E123" s="10" t="s">
        <v>491</v>
      </c>
      <c r="F123" s="11">
        <v>4.95E7</v>
      </c>
      <c r="G123" s="12"/>
      <c r="H123" s="14" t="s">
        <v>45</v>
      </c>
      <c r="I123" s="14" t="s">
        <v>46</v>
      </c>
      <c r="J123" s="15" t="s">
        <v>16</v>
      </c>
      <c r="K123" s="12"/>
    </row>
    <row r="124" ht="12.75" customHeight="1">
      <c r="A124" s="6" t="s">
        <v>492</v>
      </c>
      <c r="B124" s="7">
        <v>45813.0</v>
      </c>
      <c r="C124" s="8" t="s">
        <v>493</v>
      </c>
      <c r="D124" s="9"/>
      <c r="E124" s="10" t="s">
        <v>494</v>
      </c>
      <c r="F124" s="11">
        <v>1.344E7</v>
      </c>
      <c r="G124" s="12"/>
      <c r="H124" s="14" t="s">
        <v>495</v>
      </c>
      <c r="I124" s="14" t="s">
        <v>496</v>
      </c>
      <c r="J124" s="15" t="s">
        <v>16</v>
      </c>
      <c r="K124" s="12"/>
    </row>
    <row r="125" ht="12.75" customHeight="1">
      <c r="A125" s="6" t="s">
        <v>497</v>
      </c>
      <c r="B125" s="7">
        <v>45818.0</v>
      </c>
      <c r="C125" s="17" t="s">
        <v>99</v>
      </c>
      <c r="D125" s="9"/>
      <c r="E125" s="10" t="s">
        <v>498</v>
      </c>
      <c r="F125" s="11">
        <v>1.475118E7</v>
      </c>
      <c r="G125" s="12"/>
      <c r="H125" s="14" t="s">
        <v>499</v>
      </c>
      <c r="I125" s="14" t="s">
        <v>500</v>
      </c>
      <c r="J125" s="15" t="s">
        <v>16</v>
      </c>
      <c r="K125" s="12"/>
    </row>
    <row r="126" ht="12.75" customHeight="1">
      <c r="A126" s="6" t="s">
        <v>501</v>
      </c>
      <c r="B126" s="7">
        <v>45818.0</v>
      </c>
      <c r="C126" s="17" t="s">
        <v>99</v>
      </c>
      <c r="D126" s="9"/>
      <c r="E126" s="10" t="s">
        <v>502</v>
      </c>
      <c r="F126" s="11">
        <v>2.3473529E7</v>
      </c>
      <c r="G126" s="12"/>
      <c r="H126" s="14" t="s">
        <v>503</v>
      </c>
      <c r="I126" s="14" t="s">
        <v>504</v>
      </c>
      <c r="J126" s="15" t="s">
        <v>16</v>
      </c>
      <c r="K126" s="12"/>
    </row>
    <row r="127" ht="12.75" customHeight="1">
      <c r="A127" s="6" t="s">
        <v>505</v>
      </c>
      <c r="B127" s="7">
        <v>45818.0</v>
      </c>
      <c r="C127" s="8" t="s">
        <v>506</v>
      </c>
      <c r="D127" s="9"/>
      <c r="E127" s="10" t="s">
        <v>507</v>
      </c>
      <c r="F127" s="11">
        <v>4.489E7</v>
      </c>
      <c r="G127" s="12">
        <v>4489000.0</v>
      </c>
      <c r="H127" s="14" t="s">
        <v>508</v>
      </c>
      <c r="I127" s="14" t="s">
        <v>509</v>
      </c>
      <c r="J127" s="15" t="s">
        <v>16</v>
      </c>
      <c r="K127" s="12"/>
    </row>
    <row r="128" ht="12.75" customHeight="1">
      <c r="A128" s="6" t="s">
        <v>510</v>
      </c>
      <c r="B128" s="7">
        <v>45818.0</v>
      </c>
      <c r="C128" s="8" t="s">
        <v>511</v>
      </c>
      <c r="D128" s="9"/>
      <c r="E128" s="10" t="s">
        <v>512</v>
      </c>
      <c r="F128" s="11">
        <v>2.7792139E7</v>
      </c>
      <c r="G128" s="12"/>
      <c r="H128" s="14" t="s">
        <v>513</v>
      </c>
      <c r="I128" s="14" t="s">
        <v>514</v>
      </c>
      <c r="J128" s="15" t="s">
        <v>16</v>
      </c>
      <c r="K128" s="12"/>
    </row>
    <row r="129" ht="12.75" customHeight="1">
      <c r="A129" s="6" t="s">
        <v>515</v>
      </c>
      <c r="B129" s="7">
        <v>45818.0</v>
      </c>
      <c r="C129" s="16"/>
      <c r="D129" s="9"/>
      <c r="E129" s="10" t="s">
        <v>516</v>
      </c>
      <c r="F129" s="11">
        <v>4.9896E7</v>
      </c>
      <c r="G129" s="12"/>
      <c r="H129" s="14" t="s">
        <v>517</v>
      </c>
      <c r="I129" s="14" t="s">
        <v>518</v>
      </c>
      <c r="J129" s="15" t="s">
        <v>16</v>
      </c>
      <c r="K129" s="12"/>
    </row>
    <row r="130" ht="12.75" customHeight="1">
      <c r="A130" s="6" t="s">
        <v>519</v>
      </c>
      <c r="B130" s="7">
        <v>45819.0</v>
      </c>
      <c r="C130" s="8" t="s">
        <v>520</v>
      </c>
      <c r="D130" s="9"/>
      <c r="E130" s="10" t="s">
        <v>521</v>
      </c>
      <c r="F130" s="11">
        <v>8.1352E7</v>
      </c>
      <c r="G130" s="12">
        <v>7321680.0</v>
      </c>
      <c r="H130" s="14" t="s">
        <v>522</v>
      </c>
      <c r="I130" s="14" t="s">
        <v>523</v>
      </c>
      <c r="J130" s="15" t="s">
        <v>16</v>
      </c>
      <c r="K130" s="12"/>
    </row>
    <row r="131" ht="12.75" customHeight="1">
      <c r="A131" s="6" t="s">
        <v>524</v>
      </c>
      <c r="B131" s="7">
        <v>45819.0</v>
      </c>
      <c r="C131" s="16"/>
      <c r="D131" s="9"/>
      <c r="E131" s="10" t="s">
        <v>525</v>
      </c>
      <c r="F131" s="11">
        <v>6.9417535E7</v>
      </c>
      <c r="G131" s="12"/>
      <c r="H131" s="14" t="s">
        <v>526</v>
      </c>
      <c r="I131" s="14" t="s">
        <v>527</v>
      </c>
      <c r="J131" s="15" t="s">
        <v>16</v>
      </c>
      <c r="K131" s="12"/>
    </row>
    <row r="132" ht="12.75" customHeight="1">
      <c r="A132" s="6" t="s">
        <v>528</v>
      </c>
      <c r="B132" s="7">
        <v>45819.0</v>
      </c>
      <c r="C132" s="8" t="s">
        <v>184</v>
      </c>
      <c r="D132" s="9"/>
      <c r="E132" s="10" t="s">
        <v>529</v>
      </c>
      <c r="F132" s="11">
        <v>3.452E7</v>
      </c>
      <c r="G132" s="12"/>
      <c r="H132" s="14" t="s">
        <v>530</v>
      </c>
      <c r="I132" s="14" t="s">
        <v>531</v>
      </c>
      <c r="J132" s="15" t="s">
        <v>16</v>
      </c>
      <c r="K132" s="12"/>
    </row>
    <row r="133" ht="12.75" customHeight="1">
      <c r="A133" s="6" t="s">
        <v>532</v>
      </c>
      <c r="B133" s="7">
        <v>45821.0</v>
      </c>
      <c r="C133" s="8" t="s">
        <v>533</v>
      </c>
      <c r="D133" s="9"/>
      <c r="E133" s="10" t="s">
        <v>534</v>
      </c>
      <c r="F133" s="11">
        <v>3.8864E7</v>
      </c>
      <c r="G133" s="12"/>
      <c r="H133" s="14" t="s">
        <v>535</v>
      </c>
      <c r="I133" s="14" t="s">
        <v>536</v>
      </c>
      <c r="J133" s="15" t="s">
        <v>16</v>
      </c>
      <c r="K133" s="12"/>
    </row>
    <row r="134" ht="12.75" customHeight="1">
      <c r="A134" s="6" t="s">
        <v>537</v>
      </c>
      <c r="B134" s="7">
        <v>45821.0</v>
      </c>
      <c r="C134" s="8" t="s">
        <v>538</v>
      </c>
      <c r="D134" s="9"/>
      <c r="E134" s="10" t="s">
        <v>539</v>
      </c>
      <c r="F134" s="11">
        <v>6.776E7</v>
      </c>
      <c r="G134" s="12"/>
      <c r="H134" s="14" t="s">
        <v>540</v>
      </c>
      <c r="I134" s="14" t="s">
        <v>541</v>
      </c>
      <c r="J134" s="15" t="e">
        <v>#N/A</v>
      </c>
      <c r="K134" s="12"/>
    </row>
    <row r="135" ht="12.75" customHeight="1">
      <c r="A135" s="6" t="s">
        <v>542</v>
      </c>
      <c r="B135" s="7">
        <v>45821.0</v>
      </c>
      <c r="C135" s="8" t="s">
        <v>543</v>
      </c>
      <c r="D135" s="9"/>
      <c r="E135" s="10" t="s">
        <v>544</v>
      </c>
      <c r="F135" s="11">
        <v>9.0277152E7</v>
      </c>
      <c r="G135" s="12"/>
      <c r="H135" s="14" t="s">
        <v>545</v>
      </c>
      <c r="I135" s="14" t="s">
        <v>546</v>
      </c>
      <c r="J135" s="15" t="e">
        <v>#N/A</v>
      </c>
      <c r="K135" s="12"/>
    </row>
    <row r="136" ht="12.75" customHeight="1">
      <c r="A136" s="6" t="s">
        <v>547</v>
      </c>
      <c r="B136" s="7">
        <v>45827.0</v>
      </c>
      <c r="C136" s="8" t="s">
        <v>548</v>
      </c>
      <c r="D136" s="9"/>
      <c r="E136" s="10" t="s">
        <v>549</v>
      </c>
      <c r="F136" s="11">
        <v>5.71261E7</v>
      </c>
      <c r="G136" s="12">
        <v>5141349.0</v>
      </c>
      <c r="H136" s="14" t="s">
        <v>550</v>
      </c>
      <c r="I136" s="14" t="s">
        <v>551</v>
      </c>
      <c r="J136" s="15" t="s">
        <v>16</v>
      </c>
      <c r="K136" s="12"/>
    </row>
    <row r="137" ht="12.75" customHeight="1">
      <c r="A137" s="6" t="s">
        <v>552</v>
      </c>
      <c r="B137" s="7">
        <v>45834.0</v>
      </c>
      <c r="C137" s="16"/>
      <c r="D137" s="9"/>
      <c r="E137" s="10" t="s">
        <v>553</v>
      </c>
      <c r="F137" s="11">
        <v>2.2564331E7</v>
      </c>
      <c r="G137" s="12"/>
      <c r="H137" s="14" t="s">
        <v>554</v>
      </c>
      <c r="I137" s="14" t="s">
        <v>555</v>
      </c>
      <c r="J137" s="15" t="s">
        <v>16</v>
      </c>
      <c r="K137" s="12"/>
    </row>
    <row r="138" ht="12.75" customHeight="1">
      <c r="A138" s="6" t="s">
        <v>556</v>
      </c>
      <c r="B138" s="7">
        <v>45839.0</v>
      </c>
      <c r="C138" s="17" t="s">
        <v>99</v>
      </c>
      <c r="D138" s="9"/>
      <c r="E138" s="10" t="s">
        <v>557</v>
      </c>
      <c r="F138" s="11">
        <v>2.5249141E7</v>
      </c>
      <c r="G138" s="12">
        <v>1565446.742</v>
      </c>
      <c r="H138" s="14" t="s">
        <v>365</v>
      </c>
      <c r="I138" s="14" t="s">
        <v>366</v>
      </c>
      <c r="J138" s="15" t="s">
        <v>16</v>
      </c>
      <c r="K138" s="12"/>
    </row>
    <row r="139" ht="12.75" customHeight="1">
      <c r="A139" s="6" t="s">
        <v>558</v>
      </c>
      <c r="B139" s="7">
        <v>45839.0</v>
      </c>
      <c r="C139" s="17" t="s">
        <v>99</v>
      </c>
      <c r="D139" s="9"/>
      <c r="E139" s="10" t="s">
        <v>559</v>
      </c>
      <c r="F139" s="11">
        <v>1.0884071E7</v>
      </c>
      <c r="G139" s="12">
        <v>816305.325</v>
      </c>
      <c r="H139" s="14" t="s">
        <v>311</v>
      </c>
      <c r="I139" s="14" t="s">
        <v>312</v>
      </c>
      <c r="J139" s="15" t="s">
        <v>16</v>
      </c>
      <c r="K139" s="12"/>
    </row>
    <row r="140" ht="12.75" customHeight="1">
      <c r="A140" s="6" t="s">
        <v>560</v>
      </c>
      <c r="B140" s="7">
        <v>45839.0</v>
      </c>
      <c r="C140" s="17" t="s">
        <v>99</v>
      </c>
      <c r="D140" s="9"/>
      <c r="E140" s="10" t="s">
        <v>561</v>
      </c>
      <c r="F140" s="11">
        <v>8550000.0</v>
      </c>
      <c r="G140" s="12"/>
      <c r="H140" s="14">
        <v>940.5</v>
      </c>
      <c r="I140" s="14" t="s">
        <v>335</v>
      </c>
      <c r="J140" s="15" t="s">
        <v>16</v>
      </c>
      <c r="K140" s="12"/>
    </row>
    <row r="141" ht="12.75" customHeight="1">
      <c r="A141" s="6" t="s">
        <v>562</v>
      </c>
      <c r="B141" s="7">
        <v>45839.0</v>
      </c>
      <c r="C141" s="17" t="s">
        <v>99</v>
      </c>
      <c r="D141" s="9"/>
      <c r="E141" s="10" t="s">
        <v>563</v>
      </c>
      <c r="F141" s="11">
        <v>1.19890912E8</v>
      </c>
      <c r="G141" s="12">
        <v>7433236.544</v>
      </c>
      <c r="H141" s="14" t="s">
        <v>564</v>
      </c>
      <c r="I141" s="14" t="s">
        <v>565</v>
      </c>
      <c r="J141" s="15" t="s">
        <v>16</v>
      </c>
      <c r="K141" s="12"/>
    </row>
    <row r="142" ht="12.75" customHeight="1">
      <c r="A142" s="6" t="s">
        <v>566</v>
      </c>
      <c r="B142" s="7">
        <v>45695.0</v>
      </c>
      <c r="C142" s="8" t="s">
        <v>567</v>
      </c>
      <c r="D142" s="9"/>
      <c r="E142" s="10" t="s">
        <v>568</v>
      </c>
      <c r="F142" s="11">
        <v>7973800.0</v>
      </c>
      <c r="G142" s="12">
        <v>1196070.0</v>
      </c>
      <c r="H142" s="14" t="s">
        <v>569</v>
      </c>
      <c r="I142" s="14" t="s">
        <v>570</v>
      </c>
      <c r="J142" s="15" t="s">
        <v>16</v>
      </c>
      <c r="K142" s="12"/>
    </row>
    <row r="143" ht="12.75" customHeight="1">
      <c r="A143" s="6" t="s">
        <v>571</v>
      </c>
      <c r="B143" s="7">
        <v>45695.0</v>
      </c>
      <c r="C143" s="8" t="s">
        <v>572</v>
      </c>
      <c r="D143" s="9"/>
      <c r="E143" s="10" t="s">
        <v>573</v>
      </c>
      <c r="F143" s="11">
        <v>4200000.0</v>
      </c>
      <c r="G143" s="12">
        <v>504000.0</v>
      </c>
      <c r="H143" s="14">
        <v>517.44</v>
      </c>
      <c r="I143" s="14" t="s">
        <v>574</v>
      </c>
      <c r="J143" s="15" t="e">
        <v>#N/A</v>
      </c>
      <c r="K143" s="12"/>
    </row>
    <row r="144" ht="12.75" customHeight="1">
      <c r="A144" s="6" t="s">
        <v>575</v>
      </c>
      <c r="B144" s="7">
        <v>45695.0</v>
      </c>
      <c r="C144" s="8" t="s">
        <v>572</v>
      </c>
      <c r="D144" s="9"/>
      <c r="E144" s="10" t="s">
        <v>576</v>
      </c>
      <c r="F144" s="11">
        <v>8400000.0</v>
      </c>
      <c r="G144" s="12">
        <v>1008000.0</v>
      </c>
      <c r="H144" s="14" t="s">
        <v>577</v>
      </c>
      <c r="I144" s="14" t="s">
        <v>578</v>
      </c>
      <c r="J144" s="15" t="e">
        <v>#N/A</v>
      </c>
      <c r="K144" s="12"/>
    </row>
    <row r="145" ht="12.75" customHeight="1">
      <c r="A145" s="6" t="s">
        <v>579</v>
      </c>
      <c r="B145" s="7">
        <v>45695.0</v>
      </c>
      <c r="C145" s="8" t="s">
        <v>572</v>
      </c>
      <c r="D145" s="9"/>
      <c r="E145" s="10" t="s">
        <v>580</v>
      </c>
      <c r="F145" s="11">
        <v>1.9751012E7</v>
      </c>
      <c r="G145" s="12">
        <v>2370121.44</v>
      </c>
      <c r="H145" s="14" t="s">
        <v>581</v>
      </c>
      <c r="I145" s="14" t="s">
        <v>582</v>
      </c>
      <c r="J145" s="15" t="e">
        <v>#N/A</v>
      </c>
      <c r="K145" s="12"/>
    </row>
    <row r="146" ht="12.75" customHeight="1">
      <c r="A146" s="6" t="s">
        <v>583</v>
      </c>
      <c r="B146" s="7">
        <v>45695.0</v>
      </c>
      <c r="C146" s="8" t="s">
        <v>572</v>
      </c>
      <c r="D146" s="9"/>
      <c r="E146" s="10" t="s">
        <v>584</v>
      </c>
      <c r="F146" s="11">
        <v>9900000.0</v>
      </c>
      <c r="G146" s="12">
        <v>1188000.0</v>
      </c>
      <c r="H146" s="14" t="s">
        <v>585</v>
      </c>
      <c r="I146" s="14" t="s">
        <v>586</v>
      </c>
      <c r="J146" s="15" t="e">
        <v>#N/A</v>
      </c>
      <c r="K146" s="12"/>
    </row>
    <row r="147" ht="12.75" customHeight="1">
      <c r="A147" s="6" t="s">
        <v>587</v>
      </c>
      <c r="B147" s="7">
        <v>45695.0</v>
      </c>
      <c r="C147" s="8" t="s">
        <v>572</v>
      </c>
      <c r="D147" s="9"/>
      <c r="E147" s="10" t="s">
        <v>588</v>
      </c>
      <c r="F147" s="11">
        <v>1.03E7</v>
      </c>
      <c r="G147" s="12">
        <v>1236000.0</v>
      </c>
      <c r="H147" s="14" t="s">
        <v>589</v>
      </c>
      <c r="I147" s="14" t="s">
        <v>590</v>
      </c>
      <c r="J147" s="15" t="e">
        <v>#N/A</v>
      </c>
      <c r="K147" s="12"/>
    </row>
    <row r="148" ht="12.75" customHeight="1">
      <c r="A148" s="6" t="s">
        <v>591</v>
      </c>
      <c r="B148" s="7">
        <v>45695.0</v>
      </c>
      <c r="C148" s="8" t="s">
        <v>592</v>
      </c>
      <c r="D148" s="9"/>
      <c r="E148" s="10" t="s">
        <v>593</v>
      </c>
      <c r="F148" s="11">
        <v>2.735E7</v>
      </c>
      <c r="G148" s="12"/>
      <c r="H148" s="14" t="s">
        <v>594</v>
      </c>
      <c r="I148" s="14" t="s">
        <v>595</v>
      </c>
      <c r="J148" s="15" t="e">
        <v>#N/A</v>
      </c>
      <c r="K148" s="12"/>
    </row>
    <row r="149" ht="12.75" customHeight="1">
      <c r="A149" s="6" t="s">
        <v>596</v>
      </c>
      <c r="B149" s="7">
        <v>45695.0</v>
      </c>
      <c r="C149" s="8" t="s">
        <v>597</v>
      </c>
      <c r="D149" s="9"/>
      <c r="E149" s="10" t="s">
        <v>598</v>
      </c>
      <c r="F149" s="11">
        <v>4.19E7</v>
      </c>
      <c r="G149" s="12"/>
      <c r="H149" s="14" t="s">
        <v>599</v>
      </c>
      <c r="I149" s="14" t="s">
        <v>600</v>
      </c>
      <c r="J149" s="15" t="e">
        <v>#N/A</v>
      </c>
      <c r="K149" s="12"/>
    </row>
    <row r="150" ht="12.75" customHeight="1">
      <c r="A150" s="6" t="s">
        <v>601</v>
      </c>
      <c r="B150" s="7">
        <v>45723.0</v>
      </c>
      <c r="C150" s="17" t="s">
        <v>99</v>
      </c>
      <c r="D150" s="9"/>
      <c r="E150" s="10" t="s">
        <v>602</v>
      </c>
      <c r="F150" s="11">
        <v>2.7744577E7</v>
      </c>
      <c r="G150" s="12">
        <v>2635734.815</v>
      </c>
      <c r="H150" s="14" t="s">
        <v>603</v>
      </c>
      <c r="I150" s="14" t="s">
        <v>604</v>
      </c>
      <c r="J150" s="15" t="s">
        <v>16</v>
      </c>
      <c r="K150" s="12"/>
    </row>
    <row r="151" ht="12.75" customHeight="1">
      <c r="A151" s="6" t="s">
        <v>605</v>
      </c>
      <c r="B151" s="7">
        <v>45754.0</v>
      </c>
      <c r="C151" s="17" t="s">
        <v>99</v>
      </c>
      <c r="D151" s="9"/>
      <c r="E151" s="10" t="s">
        <v>606</v>
      </c>
      <c r="F151" s="11">
        <v>7370000.0</v>
      </c>
      <c r="G151" s="12"/>
      <c r="H151" s="14">
        <v>810.7</v>
      </c>
      <c r="I151" s="14" t="s">
        <v>194</v>
      </c>
      <c r="J151" s="15" t="s">
        <v>16</v>
      </c>
      <c r="K151" s="12"/>
    </row>
    <row r="152" ht="12.75" customHeight="1">
      <c r="A152" s="6" t="s">
        <v>607</v>
      </c>
      <c r="B152" s="7">
        <v>45754.0</v>
      </c>
      <c r="C152" s="17" t="s">
        <v>99</v>
      </c>
      <c r="D152" s="9"/>
      <c r="E152" s="10" t="s">
        <v>608</v>
      </c>
      <c r="F152" s="11">
        <v>4.125E7</v>
      </c>
      <c r="G152" s="12"/>
      <c r="H152" s="14" t="s">
        <v>609</v>
      </c>
      <c r="I152" s="14" t="s">
        <v>610</v>
      </c>
      <c r="J152" s="15" t="s">
        <v>16</v>
      </c>
      <c r="K152" s="12"/>
    </row>
    <row r="153" ht="12.75" customHeight="1">
      <c r="A153" s="6" t="s">
        <v>611</v>
      </c>
      <c r="B153" s="7">
        <v>45754.0</v>
      </c>
      <c r="C153" s="17" t="s">
        <v>99</v>
      </c>
      <c r="D153" s="9"/>
      <c r="E153" s="10" t="s">
        <v>612</v>
      </c>
      <c r="F153" s="11">
        <v>7392000.0</v>
      </c>
      <c r="G153" s="12"/>
      <c r="H153" s="14">
        <v>813.12</v>
      </c>
      <c r="I153" s="14" t="s">
        <v>113</v>
      </c>
      <c r="J153" s="15" t="s">
        <v>16</v>
      </c>
      <c r="K153" s="12"/>
    </row>
    <row r="154" ht="12.75" customHeight="1">
      <c r="A154" s="6" t="s">
        <v>613</v>
      </c>
      <c r="B154" s="7">
        <v>45754.0</v>
      </c>
      <c r="C154" s="8" t="s">
        <v>614</v>
      </c>
      <c r="D154" s="9"/>
      <c r="E154" s="10" t="s">
        <v>615</v>
      </c>
      <c r="F154" s="11">
        <v>6.11514E7</v>
      </c>
      <c r="G154" s="12">
        <v>5503626.0</v>
      </c>
      <c r="H154" s="14" t="s">
        <v>616</v>
      </c>
      <c r="I154" s="14" t="s">
        <v>617</v>
      </c>
      <c r="J154" s="15" t="s">
        <v>16</v>
      </c>
      <c r="K154" s="12"/>
    </row>
    <row r="155" ht="12.75" customHeight="1">
      <c r="A155" s="6" t="s">
        <v>618</v>
      </c>
      <c r="B155" s="7">
        <v>45876.0</v>
      </c>
      <c r="C155" s="8" t="s">
        <v>619</v>
      </c>
      <c r="D155" s="9"/>
      <c r="E155" s="10" t="s">
        <v>620</v>
      </c>
      <c r="F155" s="11">
        <v>7.3248E7</v>
      </c>
      <c r="G155" s="12"/>
      <c r="H155" s="14" t="s">
        <v>621</v>
      </c>
      <c r="I155" s="14" t="s">
        <v>622</v>
      </c>
      <c r="J155" s="15" t="e">
        <v>#N/A</v>
      </c>
      <c r="K155" s="12"/>
    </row>
    <row r="156" ht="12.75" customHeight="1">
      <c r="A156" s="6" t="s">
        <v>623</v>
      </c>
      <c r="B156" s="7">
        <v>45937.0</v>
      </c>
      <c r="C156" s="8" t="s">
        <v>217</v>
      </c>
      <c r="D156" s="9"/>
      <c r="E156" s="10" t="s">
        <v>624</v>
      </c>
      <c r="F156" s="11">
        <v>5.0E7</v>
      </c>
      <c r="G156" s="12">
        <v>3750000.0</v>
      </c>
      <c r="H156" s="14" t="s">
        <v>219</v>
      </c>
      <c r="I156" s="14" t="s">
        <v>220</v>
      </c>
      <c r="J156" s="15" t="s">
        <v>16</v>
      </c>
      <c r="K156" s="12"/>
    </row>
    <row r="157" ht="12.75" customHeight="1">
      <c r="A157" s="6" t="s">
        <v>625</v>
      </c>
      <c r="B157" s="7">
        <v>45937.0</v>
      </c>
      <c r="C157" s="8" t="s">
        <v>626</v>
      </c>
      <c r="D157" s="9"/>
      <c r="E157" s="10" t="s">
        <v>627</v>
      </c>
      <c r="F157" s="11">
        <v>7.906976E7</v>
      </c>
      <c r="G157" s="12"/>
      <c r="H157" s="14" t="s">
        <v>628</v>
      </c>
      <c r="I157" s="14" t="s">
        <v>629</v>
      </c>
      <c r="J157" s="15" t="s">
        <v>16</v>
      </c>
      <c r="K157" s="12"/>
    </row>
    <row r="158" ht="12.75" customHeight="1">
      <c r="A158" s="6" t="s">
        <v>630</v>
      </c>
      <c r="B158" s="7">
        <v>45937.0</v>
      </c>
      <c r="C158" s="8" t="s">
        <v>94</v>
      </c>
      <c r="D158" s="9"/>
      <c r="E158" s="10" t="s">
        <v>631</v>
      </c>
      <c r="F158" s="11">
        <v>5.086275E7</v>
      </c>
      <c r="G158" s="12"/>
      <c r="H158" s="14" t="s">
        <v>283</v>
      </c>
      <c r="I158" s="14" t="s">
        <v>284</v>
      </c>
      <c r="J158" s="15" t="s">
        <v>16</v>
      </c>
      <c r="K158" s="12"/>
    </row>
    <row r="159" ht="12.75" customHeight="1">
      <c r="A159" s="6" t="s">
        <v>632</v>
      </c>
      <c r="B159" s="17" t="s">
        <v>633</v>
      </c>
      <c r="C159" s="18" t="s">
        <v>634</v>
      </c>
      <c r="D159" s="9"/>
      <c r="E159" s="10" t="s">
        <v>635</v>
      </c>
      <c r="F159" s="11">
        <v>1.2959181E7</v>
      </c>
      <c r="G159" s="12">
        <v>1555101.72</v>
      </c>
      <c r="H159" s="14" t="s">
        <v>636</v>
      </c>
      <c r="I159" s="14" t="s">
        <v>637</v>
      </c>
      <c r="J159" s="15" t="s">
        <v>16</v>
      </c>
      <c r="K159" s="12"/>
    </row>
    <row r="160" ht="12.75" customHeight="1">
      <c r="A160" s="6" t="s">
        <v>638</v>
      </c>
      <c r="B160" s="17" t="s">
        <v>639</v>
      </c>
      <c r="C160" s="8" t="s">
        <v>418</v>
      </c>
      <c r="D160" s="9"/>
      <c r="E160" s="10" t="s">
        <v>640</v>
      </c>
      <c r="F160" s="11">
        <v>6.9603266E7</v>
      </c>
      <c r="G160" s="12">
        <v>5916277.61</v>
      </c>
      <c r="H160" s="14" t="s">
        <v>641</v>
      </c>
      <c r="I160" s="14" t="s">
        <v>642</v>
      </c>
      <c r="J160" s="15" t="s">
        <v>16</v>
      </c>
      <c r="K160" s="12"/>
    </row>
    <row r="161" ht="12.75" customHeight="1">
      <c r="A161" s="6" t="s">
        <v>643</v>
      </c>
      <c r="B161" s="17" t="s">
        <v>639</v>
      </c>
      <c r="C161" s="8" t="s">
        <v>418</v>
      </c>
      <c r="D161" s="9"/>
      <c r="E161" s="10" t="s">
        <v>644</v>
      </c>
      <c r="F161" s="11">
        <v>3.8686383E7</v>
      </c>
      <c r="G161" s="12">
        <v>3288342.555</v>
      </c>
      <c r="H161" s="14" t="s">
        <v>645</v>
      </c>
      <c r="I161" s="14" t="s">
        <v>646</v>
      </c>
      <c r="J161" s="15" t="s">
        <v>16</v>
      </c>
      <c r="K161" s="12"/>
    </row>
    <row r="162" ht="12.75" customHeight="1">
      <c r="A162" s="6" t="s">
        <v>647</v>
      </c>
      <c r="B162" s="17" t="s">
        <v>639</v>
      </c>
      <c r="C162" s="8" t="s">
        <v>418</v>
      </c>
      <c r="D162" s="9"/>
      <c r="E162" s="10" t="s">
        <v>648</v>
      </c>
      <c r="F162" s="11">
        <v>6.0897136E7</v>
      </c>
      <c r="G162" s="12">
        <v>5176256.5600000005</v>
      </c>
      <c r="H162" s="14" t="s">
        <v>649</v>
      </c>
      <c r="I162" s="14" t="s">
        <v>650</v>
      </c>
      <c r="J162" s="15" t="s">
        <v>16</v>
      </c>
      <c r="K162" s="12"/>
    </row>
    <row r="163" ht="12.75" customHeight="1">
      <c r="A163" s="6" t="s">
        <v>651</v>
      </c>
      <c r="B163" s="17" t="s">
        <v>639</v>
      </c>
      <c r="C163" s="8" t="s">
        <v>418</v>
      </c>
      <c r="D163" s="9"/>
      <c r="E163" s="10" t="s">
        <v>652</v>
      </c>
      <c r="F163" s="11">
        <v>8.8018955E7</v>
      </c>
      <c r="G163" s="12">
        <v>7481611.175000001</v>
      </c>
      <c r="H163" s="14" t="s">
        <v>653</v>
      </c>
      <c r="I163" s="14" t="s">
        <v>654</v>
      </c>
      <c r="J163" s="15" t="s">
        <v>16</v>
      </c>
      <c r="K163" s="12"/>
    </row>
    <row r="164" ht="12.75" customHeight="1">
      <c r="A164" s="6" t="s">
        <v>655</v>
      </c>
      <c r="B164" s="17" t="s">
        <v>639</v>
      </c>
      <c r="C164" s="8" t="s">
        <v>418</v>
      </c>
      <c r="D164" s="9"/>
      <c r="E164" s="10" t="s">
        <v>656</v>
      </c>
      <c r="F164" s="11">
        <v>5.1878883E7</v>
      </c>
      <c r="G164" s="12">
        <v>4409705.055000001</v>
      </c>
      <c r="H164" s="14" t="s">
        <v>657</v>
      </c>
      <c r="I164" s="14" t="s">
        <v>658</v>
      </c>
      <c r="J164" s="15" t="s">
        <v>16</v>
      </c>
      <c r="K164" s="12"/>
    </row>
    <row r="165" ht="12.75" customHeight="1">
      <c r="A165" s="6" t="s">
        <v>659</v>
      </c>
      <c r="B165" s="17" t="s">
        <v>660</v>
      </c>
      <c r="C165" s="8" t="s">
        <v>661</v>
      </c>
      <c r="D165" s="9"/>
      <c r="E165" s="10" t="s">
        <v>662</v>
      </c>
      <c r="F165" s="11">
        <v>2.408E7</v>
      </c>
      <c r="G165" s="12"/>
      <c r="H165" s="14" t="s">
        <v>663</v>
      </c>
      <c r="I165" s="14" t="s">
        <v>664</v>
      </c>
      <c r="J165" s="15" t="s">
        <v>16</v>
      </c>
      <c r="K165" s="12"/>
    </row>
    <row r="166" ht="12.75" customHeight="1">
      <c r="A166" s="6" t="s">
        <v>665</v>
      </c>
      <c r="B166" s="17" t="s">
        <v>660</v>
      </c>
      <c r="C166" s="8" t="s">
        <v>666</v>
      </c>
      <c r="D166" s="9"/>
      <c r="E166" s="10" t="s">
        <v>667</v>
      </c>
      <c r="F166" s="11">
        <v>4.368E7</v>
      </c>
      <c r="G166" s="12"/>
      <c r="H166" s="14" t="s">
        <v>668</v>
      </c>
      <c r="I166" s="14" t="s">
        <v>669</v>
      </c>
      <c r="J166" s="15" t="s">
        <v>16</v>
      </c>
      <c r="K166" s="12"/>
    </row>
    <row r="167" ht="12.75" customHeight="1">
      <c r="A167" s="6" t="s">
        <v>670</v>
      </c>
      <c r="B167" s="17" t="s">
        <v>660</v>
      </c>
      <c r="C167" s="8" t="s">
        <v>671</v>
      </c>
      <c r="D167" s="9"/>
      <c r="E167" s="10" t="s">
        <v>672</v>
      </c>
      <c r="F167" s="11">
        <v>4.984E7</v>
      </c>
      <c r="G167" s="12"/>
      <c r="H167" s="14" t="s">
        <v>673</v>
      </c>
      <c r="I167" s="14" t="s">
        <v>674</v>
      </c>
      <c r="J167" s="15" t="e">
        <v>#N/A</v>
      </c>
      <c r="K167" s="12"/>
    </row>
    <row r="168" ht="12.75" customHeight="1">
      <c r="A168" s="6" t="s">
        <v>675</v>
      </c>
      <c r="B168" s="17" t="s">
        <v>660</v>
      </c>
      <c r="C168" s="8" t="s">
        <v>676</v>
      </c>
      <c r="D168" s="9"/>
      <c r="E168" s="10" t="s">
        <v>677</v>
      </c>
      <c r="F168" s="11">
        <v>1.7986E7</v>
      </c>
      <c r="G168" s="12"/>
      <c r="H168" s="14" t="s">
        <v>678</v>
      </c>
      <c r="I168" s="14" t="s">
        <v>679</v>
      </c>
      <c r="J168" s="15" t="s">
        <v>16</v>
      </c>
      <c r="K168" s="12"/>
    </row>
    <row r="169" ht="12.75" customHeight="1">
      <c r="A169" s="6" t="s">
        <v>680</v>
      </c>
      <c r="B169" s="17" t="s">
        <v>660</v>
      </c>
      <c r="C169" s="8" t="s">
        <v>681</v>
      </c>
      <c r="D169" s="9"/>
      <c r="E169" s="10" t="s">
        <v>682</v>
      </c>
      <c r="F169" s="11">
        <v>4.99968E7</v>
      </c>
      <c r="G169" s="12"/>
      <c r="H169" s="14" t="s">
        <v>683</v>
      </c>
      <c r="I169" s="14" t="s">
        <v>684</v>
      </c>
      <c r="J169" s="15" t="s">
        <v>16</v>
      </c>
      <c r="K169" s="12"/>
    </row>
    <row r="170" ht="12.75" customHeight="1">
      <c r="A170" s="6" t="s">
        <v>685</v>
      </c>
      <c r="B170" s="17" t="s">
        <v>660</v>
      </c>
      <c r="C170" s="8" t="s">
        <v>686</v>
      </c>
      <c r="D170" s="9"/>
      <c r="E170" s="10" t="s">
        <v>687</v>
      </c>
      <c r="F170" s="11">
        <v>8261600.0</v>
      </c>
      <c r="G170" s="12"/>
      <c r="H170" s="14">
        <v>908.776</v>
      </c>
      <c r="I170" s="14" t="s">
        <v>688</v>
      </c>
      <c r="J170" s="15" t="s">
        <v>16</v>
      </c>
      <c r="K170" s="12"/>
    </row>
    <row r="171" ht="12.75" customHeight="1">
      <c r="A171" s="6" t="s">
        <v>689</v>
      </c>
      <c r="B171" s="17" t="s">
        <v>660</v>
      </c>
      <c r="C171" s="8" t="s">
        <v>690</v>
      </c>
      <c r="D171" s="9"/>
      <c r="E171" s="10" t="s">
        <v>691</v>
      </c>
      <c r="F171" s="11">
        <v>2.6096E7</v>
      </c>
      <c r="G171" s="12"/>
      <c r="H171" s="14" t="s">
        <v>692</v>
      </c>
      <c r="I171" s="14" t="s">
        <v>693</v>
      </c>
      <c r="J171" s="15" t="s">
        <v>16</v>
      </c>
      <c r="K171" s="12"/>
    </row>
    <row r="172" ht="12.75" customHeight="1">
      <c r="A172" s="6" t="s">
        <v>694</v>
      </c>
      <c r="B172" s="17" t="s">
        <v>660</v>
      </c>
      <c r="C172" s="8" t="s">
        <v>695</v>
      </c>
      <c r="D172" s="9"/>
      <c r="E172" s="10" t="s">
        <v>696</v>
      </c>
      <c r="F172" s="11">
        <v>2.2904E7</v>
      </c>
      <c r="G172" s="12"/>
      <c r="H172" s="14" t="s">
        <v>697</v>
      </c>
      <c r="I172" s="14" t="s">
        <v>698</v>
      </c>
      <c r="J172" s="15" t="s">
        <v>16</v>
      </c>
      <c r="K172" s="12"/>
    </row>
    <row r="173" ht="12.75" customHeight="1">
      <c r="A173" s="6" t="s">
        <v>699</v>
      </c>
      <c r="B173" s="17" t="s">
        <v>660</v>
      </c>
      <c r="C173" s="8" t="s">
        <v>700</v>
      </c>
      <c r="D173" s="9"/>
      <c r="E173" s="10" t="s">
        <v>701</v>
      </c>
      <c r="F173" s="11">
        <v>1.725E7</v>
      </c>
      <c r="G173" s="12"/>
      <c r="H173" s="14" t="s">
        <v>390</v>
      </c>
      <c r="I173" s="14" t="s">
        <v>391</v>
      </c>
      <c r="J173" s="15" t="s">
        <v>16</v>
      </c>
      <c r="K173" s="12"/>
    </row>
    <row r="174" ht="12.75" customHeight="1">
      <c r="A174" s="6" t="s">
        <v>702</v>
      </c>
      <c r="B174" s="17" t="s">
        <v>660</v>
      </c>
      <c r="C174" s="8" t="s">
        <v>329</v>
      </c>
      <c r="D174" s="9"/>
      <c r="E174" s="10" t="s">
        <v>703</v>
      </c>
      <c r="F174" s="11">
        <v>1.56315941E8</v>
      </c>
      <c r="G174" s="12"/>
      <c r="H174" s="14" t="s">
        <v>704</v>
      </c>
      <c r="I174" s="14" t="s">
        <v>705</v>
      </c>
      <c r="J174" s="15" t="s">
        <v>16</v>
      </c>
      <c r="K174" s="12"/>
    </row>
    <row r="175" ht="12.75" customHeight="1">
      <c r="A175" s="6" t="s">
        <v>706</v>
      </c>
      <c r="B175" s="17" t="s">
        <v>707</v>
      </c>
      <c r="C175" s="8" t="s">
        <v>708</v>
      </c>
      <c r="D175" s="9"/>
      <c r="E175" s="10" t="s">
        <v>709</v>
      </c>
      <c r="F175" s="11">
        <v>1.56819256E8</v>
      </c>
      <c r="G175" s="12"/>
      <c r="H175" s="14" t="s">
        <v>710</v>
      </c>
      <c r="I175" s="14" t="s">
        <v>711</v>
      </c>
      <c r="J175" s="15" t="s">
        <v>16</v>
      </c>
      <c r="K175" s="12"/>
    </row>
    <row r="176" ht="12.75" customHeight="1">
      <c r="A176" s="6" t="s">
        <v>712</v>
      </c>
      <c r="B176" s="17" t="s">
        <v>713</v>
      </c>
      <c r="C176" s="8" t="s">
        <v>329</v>
      </c>
      <c r="D176" s="9"/>
      <c r="E176" s="10" t="s">
        <v>714</v>
      </c>
      <c r="F176" s="11">
        <v>1.15574963E8</v>
      </c>
      <c r="G176" s="12"/>
      <c r="H176" s="14" t="s">
        <v>715</v>
      </c>
      <c r="I176" s="14" t="s">
        <v>716</v>
      </c>
      <c r="J176" s="15" t="s">
        <v>16</v>
      </c>
      <c r="K176" s="12"/>
    </row>
    <row r="177" ht="12.75" customHeight="1">
      <c r="A177" s="6" t="s">
        <v>717</v>
      </c>
      <c r="B177" s="7">
        <v>45665.0</v>
      </c>
      <c r="C177" s="8" t="s">
        <v>718</v>
      </c>
      <c r="D177" s="9"/>
      <c r="E177" s="10" t="s">
        <v>719</v>
      </c>
      <c r="F177" s="11">
        <v>4.9868E7</v>
      </c>
      <c r="G177" s="12"/>
      <c r="H177" s="14" t="s">
        <v>720</v>
      </c>
      <c r="I177" s="14" t="s">
        <v>721</v>
      </c>
      <c r="J177" s="15" t="s">
        <v>16</v>
      </c>
      <c r="K177" s="12"/>
    </row>
    <row r="178" ht="12.75" customHeight="1">
      <c r="A178" s="6" t="s">
        <v>722</v>
      </c>
      <c r="B178" s="7">
        <v>45665.0</v>
      </c>
      <c r="C178" s="17" t="s">
        <v>99</v>
      </c>
      <c r="D178" s="9"/>
      <c r="E178" s="10" t="s">
        <v>723</v>
      </c>
      <c r="F178" s="11">
        <v>2.5369141E7</v>
      </c>
      <c r="G178" s="12">
        <v>1572886.742</v>
      </c>
      <c r="H178" s="14" t="s">
        <v>724</v>
      </c>
      <c r="I178" s="14" t="s">
        <v>725</v>
      </c>
      <c r="J178" s="15" t="s">
        <v>16</v>
      </c>
      <c r="K178" s="12"/>
    </row>
    <row r="179" ht="12.75" customHeight="1">
      <c r="A179" s="6" t="s">
        <v>726</v>
      </c>
      <c r="B179" s="7">
        <v>45665.0</v>
      </c>
      <c r="C179" s="17" t="s">
        <v>99</v>
      </c>
      <c r="D179" s="9"/>
      <c r="E179" s="10" t="s">
        <v>727</v>
      </c>
      <c r="F179" s="11">
        <v>1.0884071E7</v>
      </c>
      <c r="G179" s="12">
        <v>816305.325</v>
      </c>
      <c r="H179" s="14" t="s">
        <v>311</v>
      </c>
      <c r="I179" s="14" t="s">
        <v>312</v>
      </c>
      <c r="J179" s="15" t="s">
        <v>16</v>
      </c>
      <c r="K179" s="12"/>
    </row>
    <row r="180" ht="12.75" customHeight="1">
      <c r="A180" s="6" t="s">
        <v>728</v>
      </c>
      <c r="B180" s="7">
        <v>45665.0</v>
      </c>
      <c r="C180" s="17" t="s">
        <v>99</v>
      </c>
      <c r="D180" s="9"/>
      <c r="E180" s="10" t="s">
        <v>729</v>
      </c>
      <c r="F180" s="11">
        <v>8550000.0</v>
      </c>
      <c r="G180" s="12"/>
      <c r="H180" s="14">
        <v>940.5</v>
      </c>
      <c r="I180" s="14" t="s">
        <v>335</v>
      </c>
      <c r="J180" s="15" t="s">
        <v>16</v>
      </c>
      <c r="K180" s="12"/>
    </row>
    <row r="181" ht="12.75" customHeight="1">
      <c r="A181" s="6" t="s">
        <v>730</v>
      </c>
      <c r="B181" s="7">
        <v>45665.0</v>
      </c>
      <c r="C181" s="17" t="s">
        <v>99</v>
      </c>
      <c r="D181" s="9"/>
      <c r="E181" s="10" t="s">
        <v>731</v>
      </c>
      <c r="F181" s="11">
        <v>2.1171884E7</v>
      </c>
      <c r="G181" s="12">
        <v>2117188.4</v>
      </c>
      <c r="H181" s="14" t="s">
        <v>732</v>
      </c>
      <c r="I181" s="14" t="s">
        <v>733</v>
      </c>
      <c r="J181" s="15" t="s">
        <v>16</v>
      </c>
      <c r="K181" s="12"/>
    </row>
    <row r="182" ht="12.75" customHeight="1">
      <c r="A182" s="6" t="s">
        <v>734</v>
      </c>
      <c r="B182" s="7">
        <v>45755.0</v>
      </c>
      <c r="C182" s="8" t="s">
        <v>735</v>
      </c>
      <c r="D182" s="9"/>
      <c r="E182" s="10" t="s">
        <v>736</v>
      </c>
      <c r="F182" s="11">
        <v>8.2546111E7</v>
      </c>
      <c r="G182" s="12"/>
      <c r="H182" s="14" t="s">
        <v>737</v>
      </c>
      <c r="I182" s="14" t="s">
        <v>738</v>
      </c>
      <c r="J182" s="15" t="s">
        <v>16</v>
      </c>
      <c r="K182" s="12"/>
    </row>
    <row r="183" ht="12.75" customHeight="1">
      <c r="A183" s="6" t="s">
        <v>739</v>
      </c>
      <c r="B183" s="7">
        <v>45755.0</v>
      </c>
      <c r="C183" s="8" t="s">
        <v>740</v>
      </c>
      <c r="D183" s="9"/>
      <c r="E183" s="10" t="s">
        <v>741</v>
      </c>
      <c r="F183" s="11">
        <v>3.002454E7</v>
      </c>
      <c r="G183" s="12"/>
      <c r="H183" s="14" t="s">
        <v>742</v>
      </c>
      <c r="I183" s="14" t="s">
        <v>743</v>
      </c>
      <c r="J183" s="15" t="s">
        <v>16</v>
      </c>
      <c r="K183" s="12"/>
    </row>
    <row r="184" ht="12.75" customHeight="1">
      <c r="A184" s="6" t="s">
        <v>744</v>
      </c>
      <c r="B184" s="7">
        <v>45665.0</v>
      </c>
      <c r="C184" s="8" t="s">
        <v>244</v>
      </c>
      <c r="D184" s="9"/>
      <c r="E184" s="10" t="s">
        <v>745</v>
      </c>
      <c r="F184" s="11">
        <v>9830016.0</v>
      </c>
      <c r="G184" s="12"/>
      <c r="H184" s="14" t="s">
        <v>746</v>
      </c>
      <c r="I184" s="14" t="s">
        <v>747</v>
      </c>
      <c r="J184" s="15" t="s">
        <v>16</v>
      </c>
      <c r="K184" s="12"/>
    </row>
    <row r="185" ht="12.75" customHeight="1">
      <c r="A185" s="6" t="s">
        <v>748</v>
      </c>
      <c r="B185" s="7">
        <v>45665.0</v>
      </c>
      <c r="C185" s="8" t="s">
        <v>239</v>
      </c>
      <c r="D185" s="9"/>
      <c r="E185" s="10" t="s">
        <v>749</v>
      </c>
      <c r="F185" s="11">
        <v>9830016.0</v>
      </c>
      <c r="G185" s="12"/>
      <c r="H185" s="14" t="s">
        <v>746</v>
      </c>
      <c r="I185" s="14" t="s">
        <v>747</v>
      </c>
      <c r="J185" s="15" t="s">
        <v>16</v>
      </c>
      <c r="K185" s="12"/>
    </row>
    <row r="186" ht="12.75" customHeight="1">
      <c r="A186" s="6" t="s">
        <v>750</v>
      </c>
      <c r="B186" s="7">
        <v>45665.0</v>
      </c>
      <c r="C186" s="8" t="s">
        <v>244</v>
      </c>
      <c r="D186" s="9"/>
      <c r="E186" s="10" t="s">
        <v>751</v>
      </c>
      <c r="F186" s="11">
        <v>3.9320064E7</v>
      </c>
      <c r="G186" s="12"/>
      <c r="H186" s="14" t="s">
        <v>246</v>
      </c>
      <c r="I186" s="14" t="s">
        <v>247</v>
      </c>
      <c r="J186" s="15" t="s">
        <v>16</v>
      </c>
      <c r="K186" s="12"/>
    </row>
    <row r="187" ht="12.75" customHeight="1">
      <c r="A187" s="6" t="s">
        <v>752</v>
      </c>
      <c r="B187" s="7">
        <v>45665.0</v>
      </c>
      <c r="C187" s="8" t="s">
        <v>443</v>
      </c>
      <c r="D187" s="9"/>
      <c r="E187" s="10" t="s">
        <v>753</v>
      </c>
      <c r="F187" s="11">
        <v>2.5348534E7</v>
      </c>
      <c r="G187" s="12"/>
      <c r="H187" s="14" t="s">
        <v>754</v>
      </c>
      <c r="I187" s="14" t="s">
        <v>755</v>
      </c>
      <c r="J187" s="15" t="s">
        <v>16</v>
      </c>
      <c r="K187" s="12"/>
    </row>
    <row r="188" ht="12.75" customHeight="1">
      <c r="A188" s="6" t="s">
        <v>756</v>
      </c>
      <c r="B188" s="7">
        <v>45665.0</v>
      </c>
      <c r="C188" s="8" t="s">
        <v>757</v>
      </c>
      <c r="D188" s="9"/>
      <c r="E188" s="10" t="s">
        <v>758</v>
      </c>
      <c r="F188" s="11">
        <v>3.6769703E7</v>
      </c>
      <c r="G188" s="12"/>
      <c r="H188" s="14" t="s">
        <v>759</v>
      </c>
      <c r="I188" s="14" t="s">
        <v>760</v>
      </c>
      <c r="J188" s="15" t="s">
        <v>16</v>
      </c>
      <c r="K188" s="12"/>
    </row>
    <row r="189" ht="12.75" customHeight="1">
      <c r="A189" s="6" t="s">
        <v>761</v>
      </c>
      <c r="B189" s="7">
        <v>45846.0</v>
      </c>
      <c r="C189" s="8" t="s">
        <v>762</v>
      </c>
      <c r="D189" s="9"/>
      <c r="E189" s="10" t="s">
        <v>763</v>
      </c>
      <c r="F189" s="11">
        <v>2.8E7</v>
      </c>
      <c r="G189" s="12"/>
      <c r="H189" s="14" t="s">
        <v>764</v>
      </c>
      <c r="I189" s="14" t="s">
        <v>765</v>
      </c>
      <c r="J189" s="15" t="s">
        <v>16</v>
      </c>
      <c r="K189" s="12"/>
    </row>
    <row r="190" ht="12.75" customHeight="1">
      <c r="A190" s="6" t="s">
        <v>766</v>
      </c>
      <c r="B190" s="7">
        <v>45969.0</v>
      </c>
      <c r="C190" s="8" t="s">
        <v>94</v>
      </c>
      <c r="D190" s="9"/>
      <c r="E190" s="10" t="s">
        <v>767</v>
      </c>
      <c r="F190" s="11">
        <v>4.645E7</v>
      </c>
      <c r="G190" s="12">
        <v>4412750.0</v>
      </c>
      <c r="H190" s="14" t="s">
        <v>283</v>
      </c>
      <c r="I190" s="14" t="s">
        <v>284</v>
      </c>
      <c r="J190" s="15" t="s">
        <v>16</v>
      </c>
      <c r="K190" s="12"/>
    </row>
    <row r="191" ht="12.75" customHeight="1">
      <c r="A191" s="6" t="s">
        <v>768</v>
      </c>
      <c r="B191" s="7">
        <v>45969.0</v>
      </c>
      <c r="C191" s="8" t="s">
        <v>217</v>
      </c>
      <c r="D191" s="9"/>
      <c r="E191" s="10" t="s">
        <v>769</v>
      </c>
      <c r="F191" s="11">
        <v>6.0E7</v>
      </c>
      <c r="G191" s="12">
        <v>4500000.0</v>
      </c>
      <c r="H191" s="14" t="s">
        <v>205</v>
      </c>
      <c r="I191" s="14" t="s">
        <v>206</v>
      </c>
      <c r="J191" s="15" t="s">
        <v>16</v>
      </c>
      <c r="K191" s="12"/>
    </row>
    <row r="192" ht="12.75" customHeight="1">
      <c r="A192" s="6" t="s">
        <v>770</v>
      </c>
      <c r="B192" s="7">
        <v>45999.0</v>
      </c>
      <c r="C192" s="8" t="s">
        <v>597</v>
      </c>
      <c r="D192" s="9"/>
      <c r="E192" s="10" t="s">
        <v>771</v>
      </c>
      <c r="F192" s="11">
        <v>4.9562013E7</v>
      </c>
      <c r="G192" s="12"/>
      <c r="H192" s="14" t="s">
        <v>772</v>
      </c>
      <c r="I192" s="14" t="s">
        <v>773</v>
      </c>
      <c r="J192" s="15" t="s">
        <v>16</v>
      </c>
      <c r="K192" s="12"/>
    </row>
    <row r="193" ht="12.75" customHeight="1">
      <c r="A193" s="6" t="s">
        <v>774</v>
      </c>
      <c r="B193" s="7">
        <v>45999.0</v>
      </c>
      <c r="C193" s="8" t="s">
        <v>597</v>
      </c>
      <c r="D193" s="9"/>
      <c r="E193" s="10" t="s">
        <v>775</v>
      </c>
      <c r="F193" s="11">
        <v>4.2556501E7</v>
      </c>
      <c r="G193" s="12"/>
      <c r="H193" s="14" t="s">
        <v>776</v>
      </c>
      <c r="I193" s="14" t="s">
        <v>777</v>
      </c>
      <c r="J193" s="15" t="s">
        <v>16</v>
      </c>
      <c r="K193" s="12"/>
    </row>
    <row r="194" ht="12.75" customHeight="1">
      <c r="A194" s="6" t="s">
        <v>778</v>
      </c>
      <c r="B194" s="7">
        <v>45999.0</v>
      </c>
      <c r="C194" s="8" t="s">
        <v>779</v>
      </c>
      <c r="D194" s="9"/>
      <c r="E194" s="10" t="s">
        <v>780</v>
      </c>
      <c r="F194" s="11">
        <v>2.8E7</v>
      </c>
      <c r="G194" s="12"/>
      <c r="H194" s="14" t="s">
        <v>764</v>
      </c>
      <c r="I194" s="14" t="s">
        <v>765</v>
      </c>
      <c r="J194" s="15" t="s">
        <v>16</v>
      </c>
      <c r="K194" s="12"/>
    </row>
    <row r="195" ht="12.75" customHeight="1">
      <c r="A195" s="6" t="s">
        <v>781</v>
      </c>
      <c r="B195" s="7">
        <v>45999.0</v>
      </c>
      <c r="C195" s="8" t="s">
        <v>782</v>
      </c>
      <c r="D195" s="9"/>
      <c r="E195" s="10" t="s">
        <v>783</v>
      </c>
      <c r="F195" s="11">
        <v>8.76512E7</v>
      </c>
      <c r="G195" s="12"/>
      <c r="H195" s="14" t="s">
        <v>784</v>
      </c>
      <c r="I195" s="14" t="s">
        <v>785</v>
      </c>
      <c r="J195" s="15" t="s">
        <v>16</v>
      </c>
      <c r="K195" s="12"/>
    </row>
    <row r="196" ht="12.75" customHeight="1">
      <c r="A196" s="6" t="s">
        <v>786</v>
      </c>
      <c r="B196" s="17" t="s">
        <v>787</v>
      </c>
      <c r="C196" s="8" t="s">
        <v>33</v>
      </c>
      <c r="D196" s="9"/>
      <c r="E196" s="10" t="s">
        <v>788</v>
      </c>
      <c r="F196" s="11">
        <v>2857142.0</v>
      </c>
      <c r="G196" s="12">
        <v>342857.04</v>
      </c>
      <c r="H196" s="14">
        <v>352.0</v>
      </c>
      <c r="I196" s="14" t="s">
        <v>142</v>
      </c>
      <c r="J196" s="15" t="s">
        <v>16</v>
      </c>
      <c r="K196" s="12"/>
    </row>
    <row r="197" ht="12.75" customHeight="1">
      <c r="A197" s="6" t="s">
        <v>789</v>
      </c>
      <c r="B197" s="17" t="s">
        <v>787</v>
      </c>
      <c r="C197" s="8" t="s">
        <v>33</v>
      </c>
      <c r="D197" s="9"/>
      <c r="E197" s="10" t="s">
        <v>790</v>
      </c>
      <c r="F197" s="11">
        <v>1.2244898E7</v>
      </c>
      <c r="G197" s="12">
        <v>1469387.76</v>
      </c>
      <c r="H197" s="14" t="s">
        <v>791</v>
      </c>
      <c r="I197" s="14" t="s">
        <v>792</v>
      </c>
      <c r="J197" s="15" t="e">
        <v>#N/A</v>
      </c>
      <c r="K197" s="12"/>
    </row>
    <row r="198" ht="12.75" customHeight="1">
      <c r="A198" s="6" t="s">
        <v>793</v>
      </c>
      <c r="B198" s="17" t="s">
        <v>787</v>
      </c>
      <c r="C198" s="8" t="s">
        <v>33</v>
      </c>
      <c r="D198" s="9"/>
      <c r="E198" s="10" t="s">
        <v>794</v>
      </c>
      <c r="F198" s="11">
        <v>7653060.0</v>
      </c>
      <c r="G198" s="12">
        <v>918367.2</v>
      </c>
      <c r="H198" s="14">
        <v>942.857</v>
      </c>
      <c r="I198" s="14" t="s">
        <v>795</v>
      </c>
      <c r="J198" s="15" t="e">
        <v>#N/A</v>
      </c>
      <c r="K198" s="12"/>
    </row>
    <row r="199" ht="12.75" customHeight="1">
      <c r="A199" s="6" t="s">
        <v>796</v>
      </c>
      <c r="B199" s="17" t="s">
        <v>787</v>
      </c>
      <c r="C199" s="8" t="s">
        <v>33</v>
      </c>
      <c r="D199" s="9"/>
      <c r="E199" s="10" t="s">
        <v>797</v>
      </c>
      <c r="F199" s="11">
        <v>1.4683673E7</v>
      </c>
      <c r="G199" s="12">
        <v>1762040.76</v>
      </c>
      <c r="H199" s="14" t="s">
        <v>798</v>
      </c>
      <c r="I199" s="14" t="s">
        <v>799</v>
      </c>
      <c r="J199" s="15" t="s">
        <v>16</v>
      </c>
      <c r="K199" s="12"/>
    </row>
    <row r="200" ht="12.75" customHeight="1">
      <c r="A200" s="6" t="s">
        <v>800</v>
      </c>
      <c r="B200" s="17" t="s">
        <v>801</v>
      </c>
      <c r="C200" s="8" t="s">
        <v>33</v>
      </c>
      <c r="D200" s="9"/>
      <c r="E200" s="10" t="s">
        <v>802</v>
      </c>
      <c r="F200" s="11">
        <v>6122448.0</v>
      </c>
      <c r="G200" s="12">
        <v>734693.76</v>
      </c>
      <c r="H200" s="14">
        <v>754.286</v>
      </c>
      <c r="I200" s="14" t="s">
        <v>280</v>
      </c>
      <c r="J200" s="15" t="e">
        <v>#N/A</v>
      </c>
      <c r="K200" s="12"/>
    </row>
    <row r="201" ht="12.75" customHeight="1">
      <c r="A201" s="6" t="s">
        <v>803</v>
      </c>
      <c r="B201" s="17" t="s">
        <v>801</v>
      </c>
      <c r="C201" s="8" t="s">
        <v>33</v>
      </c>
      <c r="D201" s="9"/>
      <c r="E201" s="10" t="s">
        <v>804</v>
      </c>
      <c r="F201" s="11">
        <v>1.2244896E7</v>
      </c>
      <c r="G201" s="12">
        <v>1469387.52</v>
      </c>
      <c r="H201" s="14" t="s">
        <v>791</v>
      </c>
      <c r="I201" s="14" t="s">
        <v>805</v>
      </c>
      <c r="J201" s="15" t="e">
        <v>#N/A</v>
      </c>
      <c r="K201" s="12"/>
    </row>
    <row r="202" ht="12.75" customHeight="1">
      <c r="A202" s="6" t="s">
        <v>806</v>
      </c>
      <c r="B202" s="17" t="s">
        <v>801</v>
      </c>
      <c r="C202" s="8" t="s">
        <v>33</v>
      </c>
      <c r="D202" s="9"/>
      <c r="E202" s="10" t="s">
        <v>807</v>
      </c>
      <c r="F202" s="11">
        <v>3265306.0</v>
      </c>
      <c r="G202" s="12">
        <v>391836.72</v>
      </c>
      <c r="H202" s="14">
        <v>402.286</v>
      </c>
      <c r="I202" s="14" t="s">
        <v>808</v>
      </c>
      <c r="J202" s="15" t="s">
        <v>16</v>
      </c>
      <c r="K202" s="12"/>
    </row>
    <row r="203" ht="12.75" customHeight="1">
      <c r="A203" s="6" t="s">
        <v>809</v>
      </c>
      <c r="B203" s="17" t="s">
        <v>801</v>
      </c>
      <c r="C203" s="8" t="s">
        <v>33</v>
      </c>
      <c r="D203" s="9"/>
      <c r="E203" s="10" t="s">
        <v>810</v>
      </c>
      <c r="F203" s="11">
        <v>1.4285712E7</v>
      </c>
      <c r="G203" s="12">
        <v>1714285.44</v>
      </c>
      <c r="H203" s="14" t="s">
        <v>811</v>
      </c>
      <c r="I203" s="14" t="s">
        <v>812</v>
      </c>
      <c r="J203" s="15" t="e">
        <v>#N/A</v>
      </c>
      <c r="K203" s="12"/>
    </row>
    <row r="204" ht="12.75" customHeight="1">
      <c r="A204" s="6" t="s">
        <v>813</v>
      </c>
      <c r="B204" s="17" t="s">
        <v>801</v>
      </c>
      <c r="C204" s="8" t="s">
        <v>33</v>
      </c>
      <c r="D204" s="9"/>
      <c r="E204" s="10" t="s">
        <v>814</v>
      </c>
      <c r="F204" s="11">
        <v>1.4285712E7</v>
      </c>
      <c r="G204" s="12">
        <v>1714285.44</v>
      </c>
      <c r="H204" s="14" t="s">
        <v>811</v>
      </c>
      <c r="I204" s="14" t="s">
        <v>812</v>
      </c>
      <c r="J204" s="15" t="e">
        <v>#N/A</v>
      </c>
      <c r="K204" s="12"/>
    </row>
    <row r="205" ht="12.75" customHeight="1">
      <c r="A205" s="6" t="s">
        <v>815</v>
      </c>
      <c r="B205" s="17" t="s">
        <v>801</v>
      </c>
      <c r="C205" s="8" t="s">
        <v>443</v>
      </c>
      <c r="D205" s="9"/>
      <c r="E205" s="10" t="s">
        <v>816</v>
      </c>
      <c r="F205" s="11">
        <v>4.9999185E7</v>
      </c>
      <c r="G205" s="12"/>
      <c r="H205" s="14" t="s">
        <v>817</v>
      </c>
      <c r="I205" s="14" t="s">
        <v>818</v>
      </c>
      <c r="J205" s="15" t="s">
        <v>16</v>
      </c>
      <c r="K205" s="12"/>
    </row>
    <row r="206" ht="12.75" customHeight="1">
      <c r="A206" s="6" t="s">
        <v>819</v>
      </c>
      <c r="B206" s="17" t="s">
        <v>801</v>
      </c>
      <c r="C206" s="8" t="s">
        <v>634</v>
      </c>
      <c r="D206" s="9"/>
      <c r="E206" s="10" t="s">
        <v>820</v>
      </c>
      <c r="F206" s="11">
        <v>6122447.0</v>
      </c>
      <c r="G206" s="12">
        <v>734693.64</v>
      </c>
      <c r="H206" s="14">
        <v>754.285</v>
      </c>
      <c r="I206" s="14" t="s">
        <v>821</v>
      </c>
      <c r="J206" s="15" t="s">
        <v>16</v>
      </c>
      <c r="K206" s="12"/>
    </row>
    <row r="207" ht="12.75" customHeight="1">
      <c r="A207" s="6" t="s">
        <v>822</v>
      </c>
      <c r="B207" s="17" t="s">
        <v>801</v>
      </c>
      <c r="C207" s="8" t="s">
        <v>634</v>
      </c>
      <c r="D207" s="9"/>
      <c r="E207" s="10" t="s">
        <v>823</v>
      </c>
      <c r="F207" s="11">
        <v>3.0816319E7</v>
      </c>
      <c r="G207" s="12">
        <v>3697958.28</v>
      </c>
      <c r="H207" s="14" t="s">
        <v>824</v>
      </c>
      <c r="I207" s="14" t="s">
        <v>825</v>
      </c>
      <c r="J207" s="15" t="s">
        <v>16</v>
      </c>
      <c r="K207" s="12"/>
    </row>
    <row r="208" ht="12.75" customHeight="1">
      <c r="A208" s="6" t="s">
        <v>826</v>
      </c>
      <c r="B208" s="17" t="s">
        <v>827</v>
      </c>
      <c r="C208" s="8" t="s">
        <v>828</v>
      </c>
      <c r="D208" s="9"/>
      <c r="E208" s="10" t="s">
        <v>829</v>
      </c>
      <c r="F208" s="11">
        <v>2.1434476E7</v>
      </c>
      <c r="G208" s="12">
        <v>1821930.4600000002</v>
      </c>
      <c r="H208" s="14" t="s">
        <v>830</v>
      </c>
      <c r="I208" s="14" t="s">
        <v>831</v>
      </c>
      <c r="J208" s="15" t="s">
        <v>16</v>
      </c>
      <c r="K208" s="12"/>
    </row>
    <row r="209" ht="12.75" customHeight="1">
      <c r="A209" s="6" t="s">
        <v>832</v>
      </c>
      <c r="B209" s="17" t="s">
        <v>833</v>
      </c>
      <c r="C209" s="8" t="s">
        <v>834</v>
      </c>
      <c r="D209" s="9"/>
      <c r="E209" s="10" t="s">
        <v>835</v>
      </c>
      <c r="F209" s="11">
        <v>3.047232E7</v>
      </c>
      <c r="G209" s="12"/>
      <c r="H209" s="14" t="s">
        <v>836</v>
      </c>
      <c r="I209" s="14" t="s">
        <v>837</v>
      </c>
      <c r="J209" s="15" t="e">
        <v>#N/A</v>
      </c>
      <c r="K209" s="12"/>
    </row>
    <row r="210" ht="12.75" customHeight="1">
      <c r="A210" s="6" t="s">
        <v>838</v>
      </c>
      <c r="B210" s="17" t="s">
        <v>839</v>
      </c>
      <c r="C210" s="8" t="s">
        <v>840</v>
      </c>
      <c r="D210" s="9"/>
      <c r="E210" s="10" t="s">
        <v>841</v>
      </c>
      <c r="F210" s="11">
        <v>9.8624808E7</v>
      </c>
      <c r="G210" s="12">
        <v>8383108.680000001</v>
      </c>
      <c r="H210" s="14" t="s">
        <v>842</v>
      </c>
      <c r="I210" s="14" t="s">
        <v>843</v>
      </c>
      <c r="J210" s="15" t="s">
        <v>16</v>
      </c>
      <c r="K210" s="12"/>
    </row>
    <row r="211" ht="12.75" customHeight="1">
      <c r="A211" s="6" t="s">
        <v>844</v>
      </c>
      <c r="B211" s="7">
        <v>45666.0</v>
      </c>
      <c r="C211" s="8" t="s">
        <v>217</v>
      </c>
      <c r="D211" s="9"/>
      <c r="E211" s="10" t="s">
        <v>845</v>
      </c>
      <c r="F211" s="11">
        <v>4.5E7</v>
      </c>
      <c r="G211" s="12">
        <v>3375000.0</v>
      </c>
      <c r="H211" s="14" t="s">
        <v>846</v>
      </c>
      <c r="I211" s="14" t="s">
        <v>847</v>
      </c>
      <c r="J211" s="15" t="s">
        <v>16</v>
      </c>
      <c r="K211" s="12"/>
    </row>
    <row r="212" ht="12.75" customHeight="1">
      <c r="A212" s="6" t="s">
        <v>848</v>
      </c>
      <c r="B212" s="7">
        <v>45666.0</v>
      </c>
      <c r="C212" s="8" t="s">
        <v>94</v>
      </c>
      <c r="D212" s="9"/>
      <c r="E212" s="10" t="s">
        <v>849</v>
      </c>
      <c r="F212" s="11">
        <v>5.086275E7</v>
      </c>
      <c r="G212" s="12"/>
      <c r="H212" s="14" t="s">
        <v>283</v>
      </c>
      <c r="I212" s="14" t="s">
        <v>284</v>
      </c>
      <c r="J212" s="15" t="s">
        <v>16</v>
      </c>
      <c r="K212" s="12"/>
    </row>
    <row r="213" ht="12.75" customHeight="1">
      <c r="A213" s="6" t="s">
        <v>850</v>
      </c>
      <c r="B213" s="7">
        <v>45666.0</v>
      </c>
      <c r="C213" s="8" t="s">
        <v>543</v>
      </c>
      <c r="D213" s="9"/>
      <c r="E213" s="10" t="s">
        <v>851</v>
      </c>
      <c r="F213" s="11">
        <v>4.84E8</v>
      </c>
      <c r="G213" s="12"/>
      <c r="H213" s="14" t="s">
        <v>852</v>
      </c>
      <c r="I213" s="14" t="s">
        <v>853</v>
      </c>
      <c r="J213" s="15" t="s">
        <v>16</v>
      </c>
      <c r="K213" s="12"/>
    </row>
    <row r="214" ht="12.75" customHeight="1">
      <c r="A214" s="6" t="s">
        <v>854</v>
      </c>
      <c r="B214" s="7">
        <v>45666.0</v>
      </c>
      <c r="C214" s="8" t="s">
        <v>855</v>
      </c>
      <c r="D214" s="9"/>
      <c r="E214" s="10" t="s">
        <v>856</v>
      </c>
      <c r="F214" s="11">
        <v>4.48E7</v>
      </c>
      <c r="G214" s="12"/>
      <c r="H214" s="14" t="s">
        <v>857</v>
      </c>
      <c r="I214" s="14" t="s">
        <v>858</v>
      </c>
      <c r="J214" s="15" t="s">
        <v>16</v>
      </c>
      <c r="K214" s="12"/>
    </row>
    <row r="215" ht="12.75" customHeight="1">
      <c r="A215" s="6" t="s">
        <v>859</v>
      </c>
      <c r="B215" s="7">
        <v>45666.0</v>
      </c>
      <c r="C215" s="8" t="s">
        <v>860</v>
      </c>
      <c r="D215" s="9"/>
      <c r="E215" s="10" t="s">
        <v>861</v>
      </c>
      <c r="F215" s="11">
        <v>2.9831202E8</v>
      </c>
      <c r="G215" s="12"/>
      <c r="H215" s="14" t="s">
        <v>862</v>
      </c>
      <c r="I215" s="14" t="s">
        <v>863</v>
      </c>
      <c r="J215" s="15" t="s">
        <v>16</v>
      </c>
      <c r="K215" s="12"/>
    </row>
    <row r="216" ht="12.75" customHeight="1">
      <c r="A216" s="6" t="s">
        <v>864</v>
      </c>
      <c r="B216" s="7">
        <v>45666.0</v>
      </c>
      <c r="C216" s="8" t="s">
        <v>865</v>
      </c>
      <c r="D216" s="9"/>
      <c r="E216" s="10" t="s">
        <v>866</v>
      </c>
      <c r="F216" s="11">
        <v>4.928E7</v>
      </c>
      <c r="G216" s="12"/>
      <c r="H216" s="14" t="s">
        <v>867</v>
      </c>
      <c r="I216" s="14" t="s">
        <v>868</v>
      </c>
      <c r="J216" s="15" t="s">
        <v>16</v>
      </c>
      <c r="K216" s="12"/>
    </row>
    <row r="217" ht="12.75" customHeight="1">
      <c r="A217" s="6" t="s">
        <v>869</v>
      </c>
      <c r="B217" s="7">
        <v>45666.0</v>
      </c>
      <c r="C217" s="8" t="s">
        <v>870</v>
      </c>
      <c r="D217" s="9"/>
      <c r="E217" s="10" t="s">
        <v>871</v>
      </c>
      <c r="F217" s="11">
        <v>1.725E7</v>
      </c>
      <c r="G217" s="12"/>
      <c r="H217" s="14" t="s">
        <v>390</v>
      </c>
      <c r="I217" s="14" t="s">
        <v>391</v>
      </c>
      <c r="J217" s="15" t="s">
        <v>16</v>
      </c>
      <c r="K217" s="12"/>
    </row>
    <row r="218" ht="12.75" customHeight="1">
      <c r="A218" s="6" t="s">
        <v>872</v>
      </c>
      <c r="B218" s="7">
        <v>45666.0</v>
      </c>
      <c r="C218" s="8" t="s">
        <v>873</v>
      </c>
      <c r="D218" s="9"/>
      <c r="E218" s="10" t="s">
        <v>874</v>
      </c>
      <c r="F218" s="11">
        <v>4.7127226E7</v>
      </c>
      <c r="G218" s="12"/>
      <c r="H218" s="14" t="s">
        <v>875</v>
      </c>
      <c r="I218" s="14" t="s">
        <v>876</v>
      </c>
      <c r="J218" s="15" t="s">
        <v>16</v>
      </c>
      <c r="K218" s="12"/>
    </row>
    <row r="219" ht="12.75" customHeight="1">
      <c r="A219" s="6" t="s">
        <v>877</v>
      </c>
      <c r="B219" s="7">
        <v>45666.0</v>
      </c>
      <c r="C219" s="8" t="s">
        <v>878</v>
      </c>
      <c r="D219" s="9"/>
      <c r="E219" s="10" t="s">
        <v>879</v>
      </c>
      <c r="F219" s="11">
        <v>4.95E7</v>
      </c>
      <c r="G219" s="12"/>
      <c r="H219" s="14" t="s">
        <v>45</v>
      </c>
      <c r="I219" s="14" t="s">
        <v>46</v>
      </c>
      <c r="J219" s="15" t="s">
        <v>16</v>
      </c>
      <c r="K219" s="12"/>
    </row>
    <row r="220" ht="12.75" customHeight="1">
      <c r="A220" s="6" t="s">
        <v>880</v>
      </c>
      <c r="B220" s="7">
        <v>45697.0</v>
      </c>
      <c r="C220" s="17" t="s">
        <v>99</v>
      </c>
      <c r="D220" s="9"/>
      <c r="E220" s="10" t="s">
        <v>881</v>
      </c>
      <c r="F220" s="11">
        <v>2.5262819E7</v>
      </c>
      <c r="G220" s="12">
        <v>1566294.778</v>
      </c>
      <c r="H220" s="14" t="s">
        <v>882</v>
      </c>
      <c r="I220" s="14" t="s">
        <v>883</v>
      </c>
      <c r="J220" s="15" t="s">
        <v>16</v>
      </c>
      <c r="K220" s="12"/>
    </row>
    <row r="221" ht="12.75" customHeight="1">
      <c r="A221" s="6" t="s">
        <v>884</v>
      </c>
      <c r="B221" s="7">
        <v>45697.0</v>
      </c>
      <c r="C221" s="17" t="s">
        <v>99</v>
      </c>
      <c r="D221" s="9"/>
      <c r="E221" s="10" t="s">
        <v>885</v>
      </c>
      <c r="F221" s="11">
        <v>1.0884071E7</v>
      </c>
      <c r="G221" s="12">
        <v>816305.325</v>
      </c>
      <c r="H221" s="14" t="s">
        <v>311</v>
      </c>
      <c r="I221" s="14" t="s">
        <v>312</v>
      </c>
      <c r="J221" s="15" t="s">
        <v>16</v>
      </c>
      <c r="K221" s="12"/>
    </row>
    <row r="222" ht="12.75" customHeight="1">
      <c r="A222" s="6" t="s">
        <v>886</v>
      </c>
      <c r="B222" s="7">
        <v>45697.0</v>
      </c>
      <c r="C222" s="17" t="s">
        <v>99</v>
      </c>
      <c r="D222" s="9"/>
      <c r="E222" s="10" t="s">
        <v>887</v>
      </c>
      <c r="F222" s="11">
        <v>8550000.0</v>
      </c>
      <c r="G222" s="12"/>
      <c r="H222" s="14">
        <v>940.5</v>
      </c>
      <c r="I222" s="14" t="s">
        <v>335</v>
      </c>
      <c r="J222" s="15" t="s">
        <v>16</v>
      </c>
      <c r="K222" s="12"/>
    </row>
    <row r="223" ht="12.75" customHeight="1">
      <c r="A223" s="6" t="s">
        <v>888</v>
      </c>
      <c r="B223" s="7">
        <v>45697.0</v>
      </c>
      <c r="C223" s="17" t="s">
        <v>99</v>
      </c>
      <c r="D223" s="9"/>
      <c r="E223" s="10" t="s">
        <v>889</v>
      </c>
      <c r="F223" s="11">
        <v>7392000.0</v>
      </c>
      <c r="G223" s="12"/>
      <c r="H223" s="14">
        <v>813.12</v>
      </c>
      <c r="I223" s="14" t="s">
        <v>113</v>
      </c>
      <c r="J223" s="15" t="s">
        <v>16</v>
      </c>
      <c r="K223" s="12"/>
    </row>
    <row r="224" ht="12.75" customHeight="1">
      <c r="A224" s="6" t="s">
        <v>890</v>
      </c>
      <c r="B224" s="7">
        <v>45756.0</v>
      </c>
      <c r="C224" s="17" t="s">
        <v>99</v>
      </c>
      <c r="D224" s="9"/>
      <c r="E224" s="10" t="s">
        <v>891</v>
      </c>
      <c r="F224" s="11">
        <v>2.1300108E7</v>
      </c>
      <c r="G224" s="12">
        <v>2023510.26</v>
      </c>
      <c r="H224" s="14" t="s">
        <v>892</v>
      </c>
      <c r="I224" s="14" t="s">
        <v>893</v>
      </c>
      <c r="J224" s="15" t="s">
        <v>16</v>
      </c>
      <c r="K224" s="12"/>
    </row>
    <row r="225" ht="12.75" customHeight="1">
      <c r="A225" s="6" t="s">
        <v>894</v>
      </c>
      <c r="B225" s="7">
        <v>45725.0</v>
      </c>
      <c r="C225" s="8" t="s">
        <v>895</v>
      </c>
      <c r="D225" s="9"/>
      <c r="E225" s="10" t="s">
        <v>896</v>
      </c>
      <c r="F225" s="11">
        <v>1428571.0</v>
      </c>
      <c r="G225" s="12">
        <v>171428.52</v>
      </c>
      <c r="H225" s="14">
        <v>176.0</v>
      </c>
      <c r="I225" s="14" t="s">
        <v>897</v>
      </c>
      <c r="J225" s="15" t="s">
        <v>16</v>
      </c>
      <c r="K225" s="12"/>
    </row>
    <row r="226" ht="12.75" customHeight="1">
      <c r="A226" s="6" t="s">
        <v>898</v>
      </c>
      <c r="B226" s="7">
        <v>45725.0</v>
      </c>
      <c r="C226" s="8" t="s">
        <v>895</v>
      </c>
      <c r="D226" s="9"/>
      <c r="E226" s="10" t="s">
        <v>899</v>
      </c>
      <c r="F226" s="11">
        <v>2857142.0</v>
      </c>
      <c r="G226" s="12">
        <v>342857.04</v>
      </c>
      <c r="H226" s="14">
        <v>352.0</v>
      </c>
      <c r="I226" s="14" t="s">
        <v>142</v>
      </c>
      <c r="J226" s="15" t="s">
        <v>16</v>
      </c>
      <c r="K226" s="12"/>
    </row>
    <row r="227" ht="12.75" customHeight="1">
      <c r="A227" s="6" t="s">
        <v>900</v>
      </c>
      <c r="B227" s="7">
        <v>45725.0</v>
      </c>
      <c r="C227" s="17" t="s">
        <v>99</v>
      </c>
      <c r="D227" s="9"/>
      <c r="E227" s="10" t="s">
        <v>901</v>
      </c>
      <c r="F227" s="11">
        <v>1.2395345E7</v>
      </c>
      <c r="G227" s="12"/>
      <c r="H227" s="14" t="s">
        <v>902</v>
      </c>
      <c r="I227" s="14" t="s">
        <v>903</v>
      </c>
      <c r="J227" s="15" t="s">
        <v>16</v>
      </c>
      <c r="K227" s="12"/>
    </row>
    <row r="228" ht="12.75" customHeight="1">
      <c r="A228" s="6" t="s">
        <v>904</v>
      </c>
      <c r="B228" s="7">
        <v>45909.0</v>
      </c>
      <c r="C228" s="8" t="s">
        <v>418</v>
      </c>
      <c r="D228" s="9"/>
      <c r="E228" s="10" t="s">
        <v>905</v>
      </c>
      <c r="F228" s="11">
        <v>8.3377134E7</v>
      </c>
      <c r="G228" s="12">
        <v>7087056.390000001</v>
      </c>
      <c r="H228" s="14" t="s">
        <v>906</v>
      </c>
      <c r="I228" s="14" t="s">
        <v>907</v>
      </c>
      <c r="J228" s="15" t="s">
        <v>16</v>
      </c>
      <c r="K228" s="12"/>
    </row>
    <row r="229" ht="12.75" customHeight="1">
      <c r="A229" s="6" t="s">
        <v>908</v>
      </c>
      <c r="B229" s="7">
        <v>45909.0</v>
      </c>
      <c r="C229" s="8" t="s">
        <v>418</v>
      </c>
      <c r="D229" s="9"/>
      <c r="E229" s="10" t="s">
        <v>909</v>
      </c>
      <c r="F229" s="11">
        <v>3.6650053E7</v>
      </c>
      <c r="G229" s="12">
        <v>3115254.5050000004</v>
      </c>
      <c r="H229" s="14" t="s">
        <v>910</v>
      </c>
      <c r="I229" s="14" t="s">
        <v>911</v>
      </c>
      <c r="J229" s="15" t="s">
        <v>16</v>
      </c>
      <c r="K229" s="12"/>
    </row>
    <row r="230" ht="12.75" customHeight="1">
      <c r="A230" s="6" t="s">
        <v>912</v>
      </c>
      <c r="B230" s="7">
        <v>45909.0</v>
      </c>
      <c r="C230" s="8" t="s">
        <v>418</v>
      </c>
      <c r="D230" s="9"/>
      <c r="E230" s="10" t="s">
        <v>913</v>
      </c>
      <c r="F230" s="11">
        <v>5.8307553E7</v>
      </c>
      <c r="G230" s="12">
        <v>4956142.005000001</v>
      </c>
      <c r="H230" s="14" t="s">
        <v>914</v>
      </c>
      <c r="I230" s="14" t="s">
        <v>915</v>
      </c>
      <c r="J230" s="15" t="s">
        <v>16</v>
      </c>
      <c r="K230" s="12"/>
    </row>
    <row r="231" ht="12.75" customHeight="1">
      <c r="A231" s="6" t="s">
        <v>916</v>
      </c>
      <c r="B231" s="7">
        <v>45909.0</v>
      </c>
      <c r="C231" s="8" t="s">
        <v>418</v>
      </c>
      <c r="D231" s="9"/>
      <c r="E231" s="10" t="s">
        <v>917</v>
      </c>
      <c r="F231" s="11">
        <v>8.0785245E7</v>
      </c>
      <c r="G231" s="12">
        <v>6866745.825</v>
      </c>
      <c r="H231" s="14" t="s">
        <v>918</v>
      </c>
      <c r="I231" s="14" t="s">
        <v>919</v>
      </c>
      <c r="J231" s="15" t="e">
        <v>#N/A</v>
      </c>
      <c r="K231" s="12"/>
    </row>
    <row r="232" ht="12.75" customHeight="1">
      <c r="A232" s="6" t="s">
        <v>920</v>
      </c>
      <c r="B232" s="7">
        <v>45909.0</v>
      </c>
      <c r="C232" s="8" t="s">
        <v>418</v>
      </c>
      <c r="D232" s="9"/>
      <c r="E232" s="10" t="s">
        <v>921</v>
      </c>
      <c r="F232" s="11">
        <v>5.1747553E7</v>
      </c>
      <c r="G232" s="12">
        <v>4398542.005</v>
      </c>
      <c r="H232" s="14" t="s">
        <v>922</v>
      </c>
      <c r="I232" s="14" t="s">
        <v>923</v>
      </c>
      <c r="J232" s="15" t="s">
        <v>16</v>
      </c>
      <c r="K232" s="12"/>
    </row>
    <row r="233" ht="12.75" customHeight="1">
      <c r="A233" s="6" t="s">
        <v>924</v>
      </c>
      <c r="B233" s="7">
        <v>45970.0</v>
      </c>
      <c r="C233" s="8" t="s">
        <v>33</v>
      </c>
      <c r="D233" s="9"/>
      <c r="E233" s="10" t="s">
        <v>925</v>
      </c>
      <c r="F233" s="11">
        <v>1.6326525E7</v>
      </c>
      <c r="G233" s="12">
        <v>1959183.0</v>
      </c>
      <c r="H233" s="14" t="s">
        <v>926</v>
      </c>
      <c r="I233" s="14" t="s">
        <v>927</v>
      </c>
      <c r="J233" s="15" t="e">
        <v>#N/A</v>
      </c>
      <c r="K233" s="12"/>
    </row>
    <row r="234" ht="12.75" customHeight="1">
      <c r="A234" s="6" t="s">
        <v>928</v>
      </c>
      <c r="B234" s="7">
        <v>45970.0</v>
      </c>
      <c r="C234" s="8" t="s">
        <v>33</v>
      </c>
      <c r="D234" s="9"/>
      <c r="E234" s="10" t="s">
        <v>929</v>
      </c>
      <c r="F234" s="11">
        <v>2857142.0</v>
      </c>
      <c r="G234" s="12">
        <v>342857.04</v>
      </c>
      <c r="H234" s="14">
        <v>352.0</v>
      </c>
      <c r="I234" s="14" t="s">
        <v>142</v>
      </c>
      <c r="J234" s="15" t="s">
        <v>16</v>
      </c>
      <c r="K234" s="12"/>
    </row>
    <row r="235" ht="12.75" customHeight="1">
      <c r="A235" s="6" t="s">
        <v>930</v>
      </c>
      <c r="B235" s="7">
        <v>45970.0</v>
      </c>
      <c r="C235" s="8" t="s">
        <v>33</v>
      </c>
      <c r="D235" s="9"/>
      <c r="E235" s="10" t="s">
        <v>931</v>
      </c>
      <c r="F235" s="11">
        <v>7755102.0</v>
      </c>
      <c r="G235" s="12">
        <v>930612.24</v>
      </c>
      <c r="H235" s="14">
        <v>955.429</v>
      </c>
      <c r="I235" s="14" t="s">
        <v>932</v>
      </c>
      <c r="J235" s="15" t="e">
        <v>#N/A</v>
      </c>
      <c r="K235" s="12"/>
    </row>
    <row r="236" ht="12.75" customHeight="1">
      <c r="A236" s="6" t="s">
        <v>933</v>
      </c>
      <c r="B236" s="7">
        <v>45970.0</v>
      </c>
      <c r="C236" s="8" t="s">
        <v>33</v>
      </c>
      <c r="D236" s="9"/>
      <c r="E236" s="10" t="s">
        <v>934</v>
      </c>
      <c r="F236" s="11">
        <v>2857142.0</v>
      </c>
      <c r="G236" s="12">
        <v>342857.04</v>
      </c>
      <c r="H236" s="14">
        <v>352.0</v>
      </c>
      <c r="I236" s="14" t="s">
        <v>142</v>
      </c>
      <c r="J236" s="15" t="s">
        <v>16</v>
      </c>
      <c r="K236" s="12"/>
    </row>
    <row r="237" ht="12.75" customHeight="1">
      <c r="A237" s="6" t="s">
        <v>935</v>
      </c>
      <c r="B237" s="7">
        <v>46000.0</v>
      </c>
      <c r="C237" s="8" t="s">
        <v>936</v>
      </c>
      <c r="D237" s="9"/>
      <c r="E237" s="10" t="s">
        <v>937</v>
      </c>
      <c r="F237" s="11">
        <v>1.426E7</v>
      </c>
      <c r="G237" s="12"/>
      <c r="H237" s="14" t="s">
        <v>938</v>
      </c>
      <c r="I237" s="14" t="s">
        <v>939</v>
      </c>
      <c r="J237" s="15" t="s">
        <v>16</v>
      </c>
      <c r="K237" s="12"/>
    </row>
    <row r="238" ht="12.75" customHeight="1">
      <c r="A238" s="6" t="s">
        <v>940</v>
      </c>
      <c r="B238" s="7">
        <v>46000.0</v>
      </c>
      <c r="C238" s="8" t="s">
        <v>941</v>
      </c>
      <c r="D238" s="9"/>
      <c r="E238" s="10" t="s">
        <v>942</v>
      </c>
      <c r="F238" s="11">
        <v>1.7136E7</v>
      </c>
      <c r="G238" s="12"/>
      <c r="H238" s="14" t="s">
        <v>943</v>
      </c>
      <c r="I238" s="14" t="s">
        <v>944</v>
      </c>
      <c r="J238" s="15" t="s">
        <v>16</v>
      </c>
      <c r="K238" s="12"/>
    </row>
    <row r="239" ht="12.75" customHeight="1">
      <c r="A239" s="6" t="s">
        <v>945</v>
      </c>
      <c r="B239" s="7">
        <v>46000.0</v>
      </c>
      <c r="C239" s="8" t="s">
        <v>946</v>
      </c>
      <c r="D239" s="9"/>
      <c r="E239" s="10" t="s">
        <v>947</v>
      </c>
      <c r="F239" s="11">
        <v>4.48E7</v>
      </c>
      <c r="G239" s="12"/>
      <c r="H239" s="14" t="s">
        <v>857</v>
      </c>
      <c r="I239" s="14" t="s">
        <v>858</v>
      </c>
      <c r="J239" s="15" t="s">
        <v>16</v>
      </c>
      <c r="K239" s="12"/>
    </row>
    <row r="240" ht="12.75" customHeight="1">
      <c r="A240" s="6" t="s">
        <v>948</v>
      </c>
      <c r="B240" s="7">
        <v>46000.0</v>
      </c>
      <c r="C240" s="8" t="s">
        <v>949</v>
      </c>
      <c r="D240" s="9"/>
      <c r="E240" s="10" t="s">
        <v>950</v>
      </c>
      <c r="F240" s="11">
        <v>3.64E7</v>
      </c>
      <c r="G240" s="12"/>
      <c r="H240" s="14" t="s">
        <v>951</v>
      </c>
      <c r="I240" s="14" t="s">
        <v>952</v>
      </c>
      <c r="J240" s="15" t="s">
        <v>16</v>
      </c>
      <c r="K240" s="12"/>
    </row>
    <row r="241" ht="12.75" customHeight="1">
      <c r="A241" s="6" t="s">
        <v>953</v>
      </c>
      <c r="B241" s="7">
        <v>46000.0</v>
      </c>
      <c r="C241" s="8" t="s">
        <v>954</v>
      </c>
      <c r="D241" s="9"/>
      <c r="E241" s="10" t="s">
        <v>955</v>
      </c>
      <c r="F241" s="11">
        <v>1.32199034E8</v>
      </c>
      <c r="G241" s="12"/>
      <c r="H241" s="14" t="s">
        <v>956</v>
      </c>
      <c r="I241" s="14" t="s">
        <v>957</v>
      </c>
      <c r="J241" s="15" t="s">
        <v>16</v>
      </c>
      <c r="K241" s="12"/>
    </row>
    <row r="242" ht="12.75" customHeight="1">
      <c r="A242" s="6" t="s">
        <v>958</v>
      </c>
      <c r="B242" s="7">
        <v>46000.0</v>
      </c>
      <c r="C242" s="17" t="s">
        <v>99</v>
      </c>
      <c r="D242" s="9"/>
      <c r="E242" s="10" t="s">
        <v>959</v>
      </c>
      <c r="F242" s="11">
        <v>8303750.0</v>
      </c>
      <c r="G242" s="12"/>
      <c r="H242" s="14">
        <v>913.413</v>
      </c>
      <c r="I242" s="14" t="s">
        <v>960</v>
      </c>
      <c r="J242" s="15" t="s">
        <v>16</v>
      </c>
      <c r="K242" s="12"/>
    </row>
    <row r="243" ht="12.75" customHeight="1">
      <c r="A243" s="6" t="s">
        <v>961</v>
      </c>
      <c r="B243" s="17" t="s">
        <v>962</v>
      </c>
      <c r="C243" s="8" t="s">
        <v>963</v>
      </c>
      <c r="D243" s="9"/>
      <c r="E243" s="10" t="s">
        <v>964</v>
      </c>
      <c r="F243" s="11">
        <v>1.0863429E9</v>
      </c>
      <c r="G243" s="12">
        <v>1.0863429E8</v>
      </c>
      <c r="H243" s="14" t="s">
        <v>965</v>
      </c>
      <c r="I243" s="14" t="s">
        <v>966</v>
      </c>
      <c r="J243" s="15" t="s">
        <v>16</v>
      </c>
      <c r="K243" s="12"/>
    </row>
    <row r="244" ht="12.75" customHeight="1">
      <c r="A244" s="6" t="s">
        <v>967</v>
      </c>
      <c r="B244" s="17" t="s">
        <v>968</v>
      </c>
      <c r="C244" s="8" t="s">
        <v>597</v>
      </c>
      <c r="D244" s="9"/>
      <c r="E244" s="10" t="s">
        <v>969</v>
      </c>
      <c r="F244" s="11">
        <v>4.9607E7</v>
      </c>
      <c r="G244" s="12"/>
      <c r="H244" s="14" t="s">
        <v>970</v>
      </c>
      <c r="I244" s="14" t="s">
        <v>971</v>
      </c>
      <c r="J244" s="15" t="s">
        <v>16</v>
      </c>
      <c r="K244" s="12"/>
    </row>
    <row r="245" ht="12.75" customHeight="1">
      <c r="A245" s="6" t="s">
        <v>972</v>
      </c>
      <c r="B245" s="17" t="s">
        <v>973</v>
      </c>
      <c r="C245" s="8" t="s">
        <v>418</v>
      </c>
      <c r="D245" s="9"/>
      <c r="E245" s="10" t="s">
        <v>974</v>
      </c>
      <c r="F245" s="11">
        <v>1.77650713E8</v>
      </c>
      <c r="G245" s="12">
        <v>1.5100310605E7</v>
      </c>
      <c r="H245" s="14" t="s">
        <v>975</v>
      </c>
      <c r="I245" s="14" t="s">
        <v>976</v>
      </c>
      <c r="J245" s="15" t="s">
        <v>16</v>
      </c>
      <c r="K245" s="12"/>
    </row>
    <row r="246" ht="12.75" customHeight="1">
      <c r="A246" s="6" t="s">
        <v>977</v>
      </c>
      <c r="B246" s="17" t="s">
        <v>973</v>
      </c>
      <c r="C246" s="8" t="s">
        <v>978</v>
      </c>
      <c r="D246" s="9"/>
      <c r="E246" s="10" t="s">
        <v>979</v>
      </c>
      <c r="F246" s="11">
        <v>1.82901671E8</v>
      </c>
      <c r="G246" s="12">
        <v>1.280311697E7</v>
      </c>
      <c r="H246" s="14" t="s">
        <v>980</v>
      </c>
      <c r="I246" s="14" t="s">
        <v>981</v>
      </c>
      <c r="J246" s="15" t="s">
        <v>16</v>
      </c>
      <c r="K246" s="12"/>
    </row>
    <row r="247" ht="12.75" customHeight="1">
      <c r="A247" s="6" t="s">
        <v>982</v>
      </c>
      <c r="B247" s="17" t="s">
        <v>973</v>
      </c>
      <c r="C247" s="17" t="s">
        <v>99</v>
      </c>
      <c r="D247" s="9"/>
      <c r="E247" s="10" t="s">
        <v>983</v>
      </c>
      <c r="F247" s="11">
        <v>4500000.0</v>
      </c>
      <c r="G247" s="12">
        <v>342000.0</v>
      </c>
      <c r="H247" s="14">
        <v>532.62</v>
      </c>
      <c r="I247" s="14" t="s">
        <v>984</v>
      </c>
      <c r="J247" s="15" t="s">
        <v>16</v>
      </c>
      <c r="K247" s="12"/>
    </row>
    <row r="248" ht="12.75" customHeight="1">
      <c r="A248" s="6" t="s">
        <v>985</v>
      </c>
      <c r="B248" s="17" t="s">
        <v>986</v>
      </c>
      <c r="C248" s="8" t="s">
        <v>184</v>
      </c>
      <c r="D248" s="9"/>
      <c r="E248" s="10" t="s">
        <v>987</v>
      </c>
      <c r="F248" s="11">
        <v>3.562E7</v>
      </c>
      <c r="G248" s="12"/>
      <c r="H248" s="14" t="s">
        <v>988</v>
      </c>
      <c r="I248" s="14" t="s">
        <v>989</v>
      </c>
      <c r="J248" s="15" t="s">
        <v>16</v>
      </c>
      <c r="K248" s="12"/>
    </row>
    <row r="249" ht="12.75" customHeight="1">
      <c r="A249" s="6" t="s">
        <v>990</v>
      </c>
      <c r="B249" s="17" t="s">
        <v>991</v>
      </c>
      <c r="C249" s="17" t="s">
        <v>99</v>
      </c>
      <c r="D249" s="9"/>
      <c r="E249" s="10" t="s">
        <v>992</v>
      </c>
      <c r="F249" s="11">
        <v>1.0884071E7</v>
      </c>
      <c r="G249" s="12">
        <v>816305.325</v>
      </c>
      <c r="H249" s="14" t="s">
        <v>311</v>
      </c>
      <c r="I249" s="14" t="s">
        <v>312</v>
      </c>
      <c r="J249" s="15" t="s">
        <v>16</v>
      </c>
      <c r="K249" s="12"/>
    </row>
    <row r="250" ht="12.75" customHeight="1">
      <c r="A250" s="6" t="s">
        <v>993</v>
      </c>
      <c r="B250" s="17" t="s">
        <v>991</v>
      </c>
      <c r="C250" s="17" t="s">
        <v>99</v>
      </c>
      <c r="D250" s="9"/>
      <c r="E250" s="10" t="s">
        <v>994</v>
      </c>
      <c r="F250" s="11">
        <v>8550000.0</v>
      </c>
      <c r="G250" s="12"/>
      <c r="H250" s="14">
        <v>940.5</v>
      </c>
      <c r="I250" s="14" t="s">
        <v>335</v>
      </c>
      <c r="J250" s="15" t="s">
        <v>16</v>
      </c>
      <c r="K250" s="12"/>
    </row>
    <row r="251" ht="12.75" customHeight="1">
      <c r="A251" s="6" t="s">
        <v>995</v>
      </c>
      <c r="B251" s="7">
        <v>45667.0</v>
      </c>
      <c r="C251" s="8" t="s">
        <v>996</v>
      </c>
      <c r="D251" s="9"/>
      <c r="E251" s="10" t="s">
        <v>997</v>
      </c>
      <c r="F251" s="11">
        <v>8163264.0</v>
      </c>
      <c r="G251" s="12">
        <v>979591.6799999999</v>
      </c>
      <c r="H251" s="14" t="s">
        <v>998</v>
      </c>
      <c r="I251" s="14" t="s">
        <v>999</v>
      </c>
      <c r="J251" s="15" t="s">
        <v>16</v>
      </c>
      <c r="K251" s="12"/>
    </row>
    <row r="252" ht="12.75" customHeight="1">
      <c r="A252" s="6" t="s">
        <v>1000</v>
      </c>
      <c r="B252" s="7">
        <v>45667.0</v>
      </c>
      <c r="C252" s="8" t="s">
        <v>996</v>
      </c>
      <c r="D252" s="9"/>
      <c r="E252" s="10" t="s">
        <v>1001</v>
      </c>
      <c r="F252" s="11">
        <v>3469386.0</v>
      </c>
      <c r="G252" s="12">
        <v>416326.32</v>
      </c>
      <c r="H252" s="14">
        <v>427.428</v>
      </c>
      <c r="I252" s="14" t="s">
        <v>1002</v>
      </c>
      <c r="J252" s="15" t="s">
        <v>16</v>
      </c>
      <c r="K252" s="12"/>
    </row>
    <row r="253" ht="12.75" customHeight="1">
      <c r="A253" s="6" t="s">
        <v>1003</v>
      </c>
      <c r="B253" s="7">
        <v>45667.0</v>
      </c>
      <c r="C253" s="17" t="s">
        <v>99</v>
      </c>
      <c r="D253" s="9"/>
      <c r="E253" s="10" t="s">
        <v>1004</v>
      </c>
      <c r="F253" s="11">
        <v>2.3696996E7</v>
      </c>
      <c r="G253" s="12">
        <v>1469213.752</v>
      </c>
      <c r="H253" s="14" t="s">
        <v>1005</v>
      </c>
      <c r="I253" s="14" t="s">
        <v>1006</v>
      </c>
      <c r="J253" s="15" t="s">
        <v>16</v>
      </c>
      <c r="K253" s="12"/>
    </row>
    <row r="254" ht="12.75" customHeight="1">
      <c r="A254" s="6" t="s">
        <v>1007</v>
      </c>
      <c r="B254" s="7">
        <v>45667.0</v>
      </c>
      <c r="C254" s="8" t="s">
        <v>217</v>
      </c>
      <c r="D254" s="9"/>
      <c r="E254" s="10" t="s">
        <v>1008</v>
      </c>
      <c r="F254" s="11">
        <v>6.0E7</v>
      </c>
      <c r="G254" s="12">
        <v>4500000.0</v>
      </c>
      <c r="H254" s="14" t="s">
        <v>205</v>
      </c>
      <c r="I254" s="14" t="s">
        <v>206</v>
      </c>
      <c r="J254" s="15" t="s">
        <v>16</v>
      </c>
      <c r="K254" s="12"/>
    </row>
    <row r="255" ht="12.75" customHeight="1">
      <c r="A255" s="6" t="s">
        <v>1009</v>
      </c>
      <c r="B255" s="7">
        <v>45667.0</v>
      </c>
      <c r="C255" s="8" t="s">
        <v>1010</v>
      </c>
      <c r="D255" s="9"/>
      <c r="E255" s="10" t="s">
        <v>1011</v>
      </c>
      <c r="F255" s="11">
        <v>2.18296467E8</v>
      </c>
      <c r="G255" s="12">
        <v>1.8555199695E7</v>
      </c>
      <c r="H255" s="14" t="s">
        <v>1012</v>
      </c>
      <c r="I255" s="14" t="s">
        <v>1013</v>
      </c>
      <c r="J255" s="15" t="s">
        <v>16</v>
      </c>
      <c r="K255" s="12"/>
    </row>
    <row r="256" ht="12.75" customHeight="1">
      <c r="A256" s="6" t="s">
        <v>1014</v>
      </c>
      <c r="B256" s="7">
        <v>45698.0</v>
      </c>
      <c r="C256" s="17" t="s">
        <v>99</v>
      </c>
      <c r="D256" s="9"/>
      <c r="E256" s="10" t="s">
        <v>1015</v>
      </c>
      <c r="F256" s="11">
        <v>8303750.0</v>
      </c>
      <c r="G256" s="12"/>
      <c r="H256" s="14">
        <v>913.413</v>
      </c>
      <c r="I256" s="14" t="s">
        <v>960</v>
      </c>
      <c r="J256" s="15" t="s">
        <v>16</v>
      </c>
      <c r="K256" s="12"/>
    </row>
    <row r="257" ht="12.75" customHeight="1">
      <c r="A257" s="6" t="s">
        <v>1016</v>
      </c>
      <c r="B257" s="7">
        <v>45698.0</v>
      </c>
      <c r="C257" s="8" t="s">
        <v>94</v>
      </c>
      <c r="D257" s="9"/>
      <c r="E257" s="10" t="s">
        <v>1017</v>
      </c>
      <c r="F257" s="11">
        <v>4.62E7</v>
      </c>
      <c r="G257" s="12">
        <v>4389000.0</v>
      </c>
      <c r="H257" s="14" t="s">
        <v>1018</v>
      </c>
      <c r="I257" s="14" t="s">
        <v>1019</v>
      </c>
      <c r="J257" s="15" t="s">
        <v>16</v>
      </c>
      <c r="K257" s="12"/>
    </row>
    <row r="258" ht="12.75" customHeight="1">
      <c r="A258" s="6" t="s">
        <v>1020</v>
      </c>
      <c r="B258" s="7">
        <v>45698.0</v>
      </c>
      <c r="C258" s="8" t="s">
        <v>33</v>
      </c>
      <c r="D258" s="9"/>
      <c r="E258" s="10" t="s">
        <v>1021</v>
      </c>
      <c r="F258" s="11">
        <v>5204079.0</v>
      </c>
      <c r="G258" s="12">
        <v>624489.48</v>
      </c>
      <c r="H258" s="14">
        <v>641.143</v>
      </c>
      <c r="I258" s="14" t="s">
        <v>1022</v>
      </c>
      <c r="J258" s="15" t="e">
        <v>#N/A</v>
      </c>
      <c r="K258" s="12"/>
    </row>
    <row r="259" ht="12.75" customHeight="1">
      <c r="A259" s="6" t="s">
        <v>1023</v>
      </c>
      <c r="B259" s="7">
        <v>45698.0</v>
      </c>
      <c r="C259" s="17" t="s">
        <v>99</v>
      </c>
      <c r="D259" s="9"/>
      <c r="E259" s="10" t="s">
        <v>1024</v>
      </c>
      <c r="F259" s="11">
        <v>7392000.0</v>
      </c>
      <c r="G259" s="12"/>
      <c r="H259" s="14">
        <v>813.12</v>
      </c>
      <c r="I259" s="14" t="s">
        <v>113</v>
      </c>
      <c r="J259" s="15" t="s">
        <v>16</v>
      </c>
      <c r="K259" s="12"/>
    </row>
    <row r="260" ht="12.75" customHeight="1">
      <c r="A260" s="6" t="s">
        <v>1025</v>
      </c>
      <c r="B260" s="7">
        <v>45698.0</v>
      </c>
      <c r="C260" s="8" t="s">
        <v>708</v>
      </c>
      <c r="D260" s="9"/>
      <c r="E260" s="10" t="s">
        <v>1026</v>
      </c>
      <c r="F260" s="11">
        <v>4.66854E7</v>
      </c>
      <c r="G260" s="12"/>
      <c r="H260" s="14" t="s">
        <v>1027</v>
      </c>
      <c r="I260" s="14" t="s">
        <v>1028</v>
      </c>
      <c r="J260" s="15" t="s">
        <v>16</v>
      </c>
      <c r="K260" s="12"/>
    </row>
    <row r="261" ht="12.75" customHeight="1">
      <c r="A261" s="6" t="s">
        <v>1029</v>
      </c>
      <c r="B261" s="7">
        <v>45698.0</v>
      </c>
      <c r="C261" s="8" t="s">
        <v>1030</v>
      </c>
      <c r="D261" s="9"/>
      <c r="E261" s="10" t="s">
        <v>1031</v>
      </c>
      <c r="F261" s="11">
        <v>8.8962159E7</v>
      </c>
      <c r="G261" s="12">
        <v>7561783.515000001</v>
      </c>
      <c r="H261" s="14" t="s">
        <v>1032</v>
      </c>
      <c r="I261" s="14" t="s">
        <v>1033</v>
      </c>
      <c r="J261" s="15" t="s">
        <v>16</v>
      </c>
      <c r="K261" s="12"/>
    </row>
    <row r="262" ht="12.75" customHeight="1">
      <c r="A262" s="6" t="s">
        <v>1034</v>
      </c>
      <c r="B262" s="7">
        <v>45818.0</v>
      </c>
      <c r="C262" s="17" t="s">
        <v>99</v>
      </c>
      <c r="D262" s="9"/>
      <c r="E262" s="10" t="s">
        <v>1035</v>
      </c>
      <c r="F262" s="11">
        <v>9599856.0</v>
      </c>
      <c r="G262" s="12"/>
      <c r="H262" s="14" t="s">
        <v>1036</v>
      </c>
      <c r="I262" s="14" t="s">
        <v>1037</v>
      </c>
      <c r="J262" s="15" t="s">
        <v>16</v>
      </c>
      <c r="K262" s="12"/>
    </row>
    <row r="263" ht="12.75" customHeight="1">
      <c r="A263" s="6" t="s">
        <v>1038</v>
      </c>
      <c r="B263" s="7">
        <v>45848.0</v>
      </c>
      <c r="C263" s="8" t="s">
        <v>614</v>
      </c>
      <c r="D263" s="9"/>
      <c r="E263" s="10" t="s">
        <v>1039</v>
      </c>
      <c r="F263" s="11">
        <v>1.83296037E8</v>
      </c>
      <c r="G263" s="12">
        <v>1.649664333E7</v>
      </c>
      <c r="H263" s="14" t="s">
        <v>1040</v>
      </c>
      <c r="I263" s="14" t="s">
        <v>1041</v>
      </c>
      <c r="J263" s="15" t="s">
        <v>16</v>
      </c>
      <c r="K263" s="12"/>
    </row>
    <row r="264" ht="12.75" customHeight="1">
      <c r="A264" s="6" t="s">
        <v>1042</v>
      </c>
      <c r="B264" s="7">
        <v>45848.0</v>
      </c>
      <c r="C264" s="8" t="s">
        <v>614</v>
      </c>
      <c r="D264" s="9"/>
      <c r="E264" s="10" t="s">
        <v>1043</v>
      </c>
      <c r="F264" s="11">
        <v>9.87328E7</v>
      </c>
      <c r="G264" s="12">
        <v>8885952.0</v>
      </c>
      <c r="H264" s="14" t="s">
        <v>1044</v>
      </c>
      <c r="I264" s="14" t="s">
        <v>1045</v>
      </c>
      <c r="J264" s="15" t="s">
        <v>16</v>
      </c>
      <c r="K264" s="12"/>
    </row>
    <row r="265" ht="12.75" customHeight="1">
      <c r="A265" s="6" t="s">
        <v>1046</v>
      </c>
      <c r="B265" s="7">
        <v>45879.0</v>
      </c>
      <c r="C265" s="8" t="s">
        <v>443</v>
      </c>
      <c r="D265" s="9"/>
      <c r="E265" s="10" t="s">
        <v>1047</v>
      </c>
      <c r="F265" s="11">
        <v>4.995E7</v>
      </c>
      <c r="G265" s="12"/>
      <c r="H265" s="14" t="s">
        <v>1048</v>
      </c>
      <c r="I265" s="14" t="s">
        <v>1049</v>
      </c>
      <c r="J265" s="15" t="s">
        <v>16</v>
      </c>
      <c r="K265" s="12"/>
    </row>
    <row r="266" ht="12.75" customHeight="1">
      <c r="A266" s="6" t="s">
        <v>1050</v>
      </c>
      <c r="B266" s="7">
        <v>45879.0</v>
      </c>
      <c r="C266" s="17" t="s">
        <v>1051</v>
      </c>
      <c r="D266" s="9"/>
      <c r="E266" s="10" t="s">
        <v>1052</v>
      </c>
      <c r="F266" s="11">
        <v>4086145.0</v>
      </c>
      <c r="G266" s="12"/>
      <c r="H266" s="14" t="s">
        <v>1053</v>
      </c>
      <c r="I266" s="14" t="s">
        <v>1054</v>
      </c>
      <c r="J266" s="15" t="s">
        <v>16</v>
      </c>
      <c r="K266" s="12"/>
    </row>
    <row r="267" ht="12.75" customHeight="1">
      <c r="A267" s="6" t="s">
        <v>1055</v>
      </c>
      <c r="B267" s="7">
        <v>45879.0</v>
      </c>
      <c r="C267" s="17" t="s">
        <v>1051</v>
      </c>
      <c r="D267" s="9"/>
      <c r="E267" s="10" t="s">
        <v>1056</v>
      </c>
      <c r="F267" s="11">
        <v>388184.0</v>
      </c>
      <c r="G267" s="12"/>
      <c r="H267" s="14" t="s">
        <v>1053</v>
      </c>
      <c r="I267" s="14">
        <v>388.184</v>
      </c>
      <c r="J267" s="15" t="s">
        <v>16</v>
      </c>
      <c r="K267" s="12"/>
    </row>
    <row r="268" ht="12.75" customHeight="1">
      <c r="A268" s="6" t="s">
        <v>1057</v>
      </c>
      <c r="B268" s="19" t="s">
        <v>1058</v>
      </c>
      <c r="C268" s="20" t="s">
        <v>1059</v>
      </c>
      <c r="D268" s="12"/>
      <c r="E268" s="21" t="s">
        <v>1060</v>
      </c>
      <c r="F268" s="22" t="s">
        <v>1061</v>
      </c>
      <c r="G268" s="9"/>
      <c r="H268" s="14" t="s">
        <v>1062</v>
      </c>
      <c r="I268" s="14" t="s">
        <v>1063</v>
      </c>
      <c r="J268" s="23" t="s">
        <v>16</v>
      </c>
      <c r="K268" s="9"/>
    </row>
    <row r="269" ht="12.75" customHeight="1">
      <c r="A269" s="24" t="s">
        <v>1064</v>
      </c>
      <c r="B269" s="19" t="s">
        <v>1065</v>
      </c>
      <c r="C269" s="20" t="s">
        <v>99</v>
      </c>
      <c r="D269" s="12"/>
      <c r="E269" s="21" t="s">
        <v>1066</v>
      </c>
      <c r="F269" s="25" t="s">
        <v>1067</v>
      </c>
      <c r="G269" s="26"/>
      <c r="H269" s="14">
        <v>812.152</v>
      </c>
      <c r="I269" s="14" t="s">
        <v>1068</v>
      </c>
      <c r="J269" s="23" t="s">
        <v>16</v>
      </c>
      <c r="K269" s="9"/>
    </row>
    <row r="270" ht="12.75" customHeight="1">
      <c r="A270" s="24" t="s">
        <v>1069</v>
      </c>
      <c r="B270" s="19" t="s">
        <v>1065</v>
      </c>
      <c r="C270" s="20" t="s">
        <v>1070</v>
      </c>
      <c r="D270" s="12"/>
      <c r="E270" s="21" t="s">
        <v>1071</v>
      </c>
      <c r="F270" s="25" t="s">
        <v>1072</v>
      </c>
      <c r="G270" s="26"/>
      <c r="H270" s="14" t="s">
        <v>1073</v>
      </c>
      <c r="I270" s="14" t="s">
        <v>1074</v>
      </c>
      <c r="J270" s="23" t="s">
        <v>16</v>
      </c>
      <c r="K270" s="9"/>
    </row>
    <row r="271" ht="12.75" customHeight="1">
      <c r="A271" s="24" t="s">
        <v>1075</v>
      </c>
      <c r="B271" s="27">
        <v>45726.0</v>
      </c>
      <c r="C271" s="20" t="s">
        <v>757</v>
      </c>
      <c r="D271" s="12"/>
      <c r="E271" s="21" t="s">
        <v>1076</v>
      </c>
      <c r="F271" s="25" t="s">
        <v>1077</v>
      </c>
      <c r="G271" s="26"/>
      <c r="H271" s="14" t="s">
        <v>45</v>
      </c>
      <c r="I271" s="14" t="s">
        <v>46</v>
      </c>
      <c r="J271" s="23" t="s">
        <v>16</v>
      </c>
      <c r="K271" s="9"/>
    </row>
    <row r="272" ht="12.75" customHeight="1">
      <c r="A272" s="24" t="s">
        <v>1078</v>
      </c>
      <c r="B272" s="19" t="s">
        <v>1079</v>
      </c>
      <c r="C272" s="20" t="s">
        <v>978</v>
      </c>
      <c r="D272" s="12"/>
      <c r="E272" s="21" t="s">
        <v>1080</v>
      </c>
      <c r="F272" s="25" t="s">
        <v>1081</v>
      </c>
      <c r="G272" s="26"/>
      <c r="H272" s="28" t="s">
        <v>1082</v>
      </c>
      <c r="I272" s="14" t="s">
        <v>1083</v>
      </c>
      <c r="J272" s="23" t="s">
        <v>16</v>
      </c>
      <c r="K272" s="9"/>
    </row>
    <row r="273" ht="12.75" customHeight="1">
      <c r="A273" s="24" t="s">
        <v>1084</v>
      </c>
      <c r="B273" s="19" t="s">
        <v>1085</v>
      </c>
      <c r="C273" s="20" t="s">
        <v>99</v>
      </c>
      <c r="D273" s="12"/>
      <c r="E273" s="21" t="s">
        <v>1086</v>
      </c>
      <c r="F273" s="29" t="s">
        <v>1087</v>
      </c>
      <c r="G273" s="26"/>
      <c r="H273" s="28" t="s">
        <v>1088</v>
      </c>
      <c r="I273" s="14" t="s">
        <v>1089</v>
      </c>
      <c r="J273" s="23" t="e">
        <v>#N/A</v>
      </c>
      <c r="K273" s="9"/>
    </row>
    <row r="274" ht="12.75" customHeight="1">
      <c r="A274" s="24" t="s">
        <v>1090</v>
      </c>
      <c r="B274" s="19" t="s">
        <v>1091</v>
      </c>
      <c r="C274" s="20" t="s">
        <v>1092</v>
      </c>
      <c r="D274" s="12"/>
      <c r="E274" s="21" t="s">
        <v>1093</v>
      </c>
      <c r="F274" s="25" t="s">
        <v>1094</v>
      </c>
      <c r="G274" s="26"/>
      <c r="H274" s="28" t="s">
        <v>1095</v>
      </c>
      <c r="I274" s="14" t="s">
        <v>1096</v>
      </c>
      <c r="J274" s="23" t="s">
        <v>16</v>
      </c>
      <c r="K274" s="9"/>
    </row>
    <row r="275" ht="12.75" customHeight="1">
      <c r="A275" s="24" t="s">
        <v>1097</v>
      </c>
      <c r="B275" s="19" t="s">
        <v>1098</v>
      </c>
      <c r="C275" s="20" t="s">
        <v>1099</v>
      </c>
      <c r="D275" s="12"/>
      <c r="E275" s="21" t="s">
        <v>1100</v>
      </c>
      <c r="F275" s="25" t="s">
        <v>1101</v>
      </c>
      <c r="G275" s="26"/>
      <c r="H275" s="28" t="s">
        <v>1102</v>
      </c>
      <c r="I275" s="14" t="s">
        <v>1103</v>
      </c>
      <c r="J275" s="23" t="s">
        <v>16</v>
      </c>
      <c r="K275" s="9"/>
    </row>
    <row r="276" ht="12.75" customHeight="1">
      <c r="A276" s="24" t="s">
        <v>1104</v>
      </c>
      <c r="B276" s="19" t="s">
        <v>1105</v>
      </c>
      <c r="C276" s="20" t="s">
        <v>1106</v>
      </c>
      <c r="D276" s="12"/>
      <c r="E276" s="21" t="s">
        <v>1107</v>
      </c>
      <c r="F276" s="25" t="s">
        <v>1108</v>
      </c>
      <c r="G276" s="26"/>
      <c r="H276" s="28" t="s">
        <v>1109</v>
      </c>
      <c r="I276" s="14" t="s">
        <v>1110</v>
      </c>
      <c r="J276" s="23" t="s">
        <v>16</v>
      </c>
      <c r="K276" s="9"/>
    </row>
    <row r="277" ht="12.75" customHeight="1">
      <c r="A277" s="24" t="s">
        <v>1111</v>
      </c>
      <c r="B277" s="19" t="s">
        <v>1105</v>
      </c>
      <c r="C277" s="20" t="s">
        <v>1112</v>
      </c>
      <c r="D277" s="12"/>
      <c r="E277" s="21" t="s">
        <v>783</v>
      </c>
      <c r="F277" s="25" t="s">
        <v>1113</v>
      </c>
      <c r="G277" s="26"/>
      <c r="H277" s="28" t="s">
        <v>1114</v>
      </c>
      <c r="I277" s="14" t="s">
        <v>1115</v>
      </c>
      <c r="J277" s="23" t="s">
        <v>16</v>
      </c>
      <c r="K277" s="9"/>
    </row>
    <row r="278" ht="12.75" customHeight="1">
      <c r="A278" s="24" t="s">
        <v>1116</v>
      </c>
      <c r="B278" s="19" t="s">
        <v>1105</v>
      </c>
      <c r="C278" s="20" t="s">
        <v>1117</v>
      </c>
      <c r="D278" s="12"/>
      <c r="E278" s="21" t="s">
        <v>1118</v>
      </c>
      <c r="F278" s="25" t="s">
        <v>1119</v>
      </c>
      <c r="G278" s="26"/>
      <c r="H278" s="28" t="s">
        <v>390</v>
      </c>
      <c r="I278" s="14" t="s">
        <v>391</v>
      </c>
      <c r="J278" s="23" t="s">
        <v>16</v>
      </c>
      <c r="K278" s="9"/>
    </row>
    <row r="279" ht="12.75" customHeight="1">
      <c r="A279" s="24" t="s">
        <v>1120</v>
      </c>
      <c r="B279" s="19" t="s">
        <v>1105</v>
      </c>
      <c r="C279" s="20" t="s">
        <v>1121</v>
      </c>
      <c r="D279" s="12"/>
      <c r="E279" s="21" t="s">
        <v>1122</v>
      </c>
      <c r="F279" s="25" t="s">
        <v>1123</v>
      </c>
      <c r="G279" s="26"/>
      <c r="H279" s="28" t="s">
        <v>1036</v>
      </c>
      <c r="I279" s="14" t="s">
        <v>1037</v>
      </c>
      <c r="J279" s="23" t="s">
        <v>16</v>
      </c>
      <c r="K279" s="9"/>
    </row>
    <row r="280" ht="12.75" customHeight="1">
      <c r="A280" s="24" t="s">
        <v>1124</v>
      </c>
      <c r="B280" s="19" t="s">
        <v>1125</v>
      </c>
      <c r="C280" s="20" t="s">
        <v>99</v>
      </c>
      <c r="D280" s="12"/>
      <c r="E280" s="21" t="s">
        <v>1126</v>
      </c>
      <c r="F280" s="25" t="s">
        <v>1127</v>
      </c>
      <c r="G280" s="26"/>
      <c r="H280" s="28" t="s">
        <v>1128</v>
      </c>
      <c r="I280" s="14" t="s">
        <v>1129</v>
      </c>
      <c r="J280" s="23" t="s">
        <v>16</v>
      </c>
      <c r="K280" s="9"/>
    </row>
    <row r="281" ht="12.75" customHeight="1">
      <c r="A281" s="24" t="s">
        <v>1130</v>
      </c>
      <c r="B281" s="19" t="s">
        <v>1131</v>
      </c>
      <c r="C281" s="20" t="s">
        <v>614</v>
      </c>
      <c r="D281" s="12"/>
      <c r="E281" s="21" t="s">
        <v>1132</v>
      </c>
      <c r="F281" s="25" t="s">
        <v>1133</v>
      </c>
      <c r="G281" s="26"/>
      <c r="H281" s="28" t="s">
        <v>1134</v>
      </c>
      <c r="I281" s="14" t="s">
        <v>1135</v>
      </c>
      <c r="J281" s="23" t="s">
        <v>16</v>
      </c>
      <c r="K281" s="9"/>
    </row>
    <row r="282" ht="12.75" customHeight="1">
      <c r="A282" s="24" t="s">
        <v>1136</v>
      </c>
      <c r="B282" s="19" t="s">
        <v>1137</v>
      </c>
      <c r="C282" s="20" t="s">
        <v>1138</v>
      </c>
      <c r="D282" s="12"/>
      <c r="E282" s="21" t="s">
        <v>1139</v>
      </c>
      <c r="F282" s="25" t="s">
        <v>1140</v>
      </c>
      <c r="G282" s="26"/>
      <c r="H282" s="28" t="s">
        <v>1141</v>
      </c>
      <c r="I282" s="14" t="s">
        <v>1142</v>
      </c>
      <c r="J282" s="23" t="e">
        <v>#N/A</v>
      </c>
      <c r="K282" s="9"/>
    </row>
    <row r="283" ht="12.75" customHeight="1">
      <c r="A283" s="24" t="s">
        <v>1143</v>
      </c>
      <c r="B283" s="27">
        <v>45727.0</v>
      </c>
      <c r="C283" s="20" t="s">
        <v>99</v>
      </c>
      <c r="D283" s="12"/>
      <c r="E283" s="21" t="s">
        <v>1144</v>
      </c>
      <c r="F283" s="25" t="s">
        <v>1145</v>
      </c>
      <c r="G283" s="26"/>
      <c r="H283" s="28" t="s">
        <v>1146</v>
      </c>
      <c r="I283" s="14" t="s">
        <v>1147</v>
      </c>
      <c r="J283" s="23" t="s">
        <v>16</v>
      </c>
      <c r="K283" s="9"/>
    </row>
    <row r="284" ht="12.75" customHeight="1">
      <c r="A284" s="24" t="s">
        <v>1148</v>
      </c>
      <c r="B284" s="27">
        <v>45727.0</v>
      </c>
      <c r="C284" s="20" t="s">
        <v>99</v>
      </c>
      <c r="D284" s="12"/>
      <c r="E284" s="21" t="s">
        <v>1149</v>
      </c>
      <c r="F284" s="25" t="s">
        <v>1150</v>
      </c>
      <c r="G284" s="26"/>
      <c r="H284" s="28">
        <v>813.12</v>
      </c>
      <c r="I284" s="14" t="s">
        <v>113</v>
      </c>
      <c r="J284" s="23" t="s">
        <v>16</v>
      </c>
      <c r="K284" s="9"/>
    </row>
    <row r="285" ht="12.75" customHeight="1">
      <c r="A285" s="24" t="s">
        <v>1151</v>
      </c>
      <c r="B285" s="27">
        <v>45727.0</v>
      </c>
      <c r="C285" s="20" t="s">
        <v>99</v>
      </c>
      <c r="D285" s="12"/>
      <c r="E285" s="21" t="s">
        <v>1152</v>
      </c>
      <c r="F285" s="25" t="s">
        <v>1153</v>
      </c>
      <c r="G285" s="26"/>
      <c r="H285" s="28" t="s">
        <v>1154</v>
      </c>
      <c r="I285" s="14" t="s">
        <v>1155</v>
      </c>
      <c r="J285" s="23" t="s">
        <v>16</v>
      </c>
      <c r="K285" s="9"/>
    </row>
    <row r="286" ht="12.75" customHeight="1">
      <c r="A286" s="24" t="s">
        <v>1156</v>
      </c>
      <c r="B286" s="27">
        <v>45727.0</v>
      </c>
      <c r="C286" s="20" t="s">
        <v>99</v>
      </c>
      <c r="D286" s="12"/>
      <c r="E286" s="21" t="s">
        <v>1157</v>
      </c>
      <c r="F286" s="25" t="s">
        <v>1158</v>
      </c>
      <c r="G286" s="26"/>
      <c r="H286" s="28">
        <v>940.5</v>
      </c>
      <c r="I286" s="14" t="s">
        <v>335</v>
      </c>
      <c r="J286" s="23" t="s">
        <v>16</v>
      </c>
      <c r="K286" s="9"/>
    </row>
    <row r="287" ht="12.75" customHeight="1">
      <c r="A287" s="24" t="s">
        <v>1159</v>
      </c>
      <c r="B287" s="27">
        <v>45758.0</v>
      </c>
      <c r="C287" s="20" t="s">
        <v>94</v>
      </c>
      <c r="D287" s="12"/>
      <c r="E287" s="21" t="s">
        <v>1160</v>
      </c>
      <c r="F287" s="25" t="s">
        <v>1161</v>
      </c>
      <c r="G287" s="26"/>
      <c r="H287" s="28" t="s">
        <v>1018</v>
      </c>
      <c r="I287" s="14" t="s">
        <v>1019</v>
      </c>
      <c r="J287" s="23" t="s">
        <v>16</v>
      </c>
      <c r="K287" s="9"/>
    </row>
    <row r="288" ht="12.75" customHeight="1">
      <c r="A288" s="24" t="s">
        <v>1162</v>
      </c>
      <c r="B288" s="27">
        <v>45758.0</v>
      </c>
      <c r="C288" s="20" t="s">
        <v>217</v>
      </c>
      <c r="D288" s="12"/>
      <c r="E288" s="21" t="s">
        <v>1163</v>
      </c>
      <c r="F288" s="25" t="s">
        <v>1164</v>
      </c>
      <c r="G288" s="26"/>
      <c r="H288" s="28" t="s">
        <v>205</v>
      </c>
      <c r="I288" s="14" t="s">
        <v>206</v>
      </c>
      <c r="J288" s="23" t="s">
        <v>16</v>
      </c>
      <c r="K288" s="9"/>
    </row>
    <row r="289" ht="12.75" customHeight="1">
      <c r="A289" s="24" t="s">
        <v>1165</v>
      </c>
      <c r="B289" s="27">
        <v>45758.0</v>
      </c>
      <c r="C289" s="20" t="s">
        <v>99</v>
      </c>
      <c r="D289" s="12"/>
      <c r="E289" s="21" t="s">
        <v>1166</v>
      </c>
      <c r="F289" s="25" t="s">
        <v>1067</v>
      </c>
      <c r="G289" s="26"/>
      <c r="H289" s="28">
        <v>812.152</v>
      </c>
      <c r="I289" s="14" t="s">
        <v>1068</v>
      </c>
      <c r="J289" s="23" t="s">
        <v>16</v>
      </c>
      <c r="K289" s="9"/>
    </row>
    <row r="290" ht="12.75" customHeight="1">
      <c r="A290" s="24" t="s">
        <v>1167</v>
      </c>
      <c r="B290" s="27">
        <v>45758.0</v>
      </c>
      <c r="C290" s="20" t="s">
        <v>99</v>
      </c>
      <c r="D290" s="12"/>
      <c r="E290" s="21" t="s">
        <v>1168</v>
      </c>
      <c r="F290" s="25" t="s">
        <v>1169</v>
      </c>
      <c r="G290" s="26"/>
      <c r="H290" s="28">
        <v>913.413</v>
      </c>
      <c r="I290" s="14" t="s">
        <v>960</v>
      </c>
      <c r="J290" s="23" t="s">
        <v>16</v>
      </c>
      <c r="K290" s="9"/>
    </row>
    <row r="291" ht="12.75" customHeight="1">
      <c r="A291" s="24" t="s">
        <v>1170</v>
      </c>
      <c r="B291" s="27">
        <v>45819.0</v>
      </c>
      <c r="C291" s="20" t="s">
        <v>1171</v>
      </c>
      <c r="D291" s="12"/>
      <c r="E291" s="21" t="s">
        <v>1172</v>
      </c>
      <c r="F291" s="25" t="s">
        <v>1173</v>
      </c>
      <c r="G291" s="26"/>
      <c r="H291" s="28" t="s">
        <v>867</v>
      </c>
      <c r="I291" s="14" t="s">
        <v>868</v>
      </c>
      <c r="J291" s="23" t="s">
        <v>16</v>
      </c>
      <c r="K291" s="9"/>
    </row>
    <row r="292" ht="12.75" customHeight="1">
      <c r="A292" s="24" t="s">
        <v>1174</v>
      </c>
      <c r="B292" s="27">
        <v>45849.0</v>
      </c>
      <c r="C292" s="20" t="s">
        <v>1175</v>
      </c>
      <c r="D292" s="12"/>
      <c r="E292" s="21" t="s">
        <v>1176</v>
      </c>
      <c r="F292" s="25" t="s">
        <v>1177</v>
      </c>
      <c r="G292" s="26"/>
      <c r="H292" s="28">
        <v>565.714</v>
      </c>
      <c r="I292" s="14" t="s">
        <v>1178</v>
      </c>
      <c r="J292" s="23" t="s">
        <v>16</v>
      </c>
      <c r="K292" s="9"/>
    </row>
    <row r="293" ht="12.75" customHeight="1">
      <c r="A293" s="24" t="s">
        <v>1179</v>
      </c>
      <c r="B293" s="27">
        <v>45849.0</v>
      </c>
      <c r="C293" s="20" t="s">
        <v>1175</v>
      </c>
      <c r="D293" s="12"/>
      <c r="E293" s="21" t="s">
        <v>1180</v>
      </c>
      <c r="F293" s="25" t="s">
        <v>1181</v>
      </c>
      <c r="G293" s="26"/>
      <c r="H293" s="28">
        <v>502.857</v>
      </c>
      <c r="I293" s="14" t="s">
        <v>139</v>
      </c>
      <c r="J293" s="23" t="s">
        <v>16</v>
      </c>
      <c r="K293" s="9"/>
    </row>
    <row r="294" ht="12.75" customHeight="1">
      <c r="A294" s="24" t="s">
        <v>1182</v>
      </c>
      <c r="B294" s="27">
        <v>45849.0</v>
      </c>
      <c r="C294" s="20" t="s">
        <v>1175</v>
      </c>
      <c r="D294" s="12"/>
      <c r="E294" s="21" t="s">
        <v>1183</v>
      </c>
      <c r="F294" s="25" t="s">
        <v>1184</v>
      </c>
      <c r="G294" s="26"/>
      <c r="H294" s="28">
        <v>754.286</v>
      </c>
      <c r="I294" s="14" t="s">
        <v>280</v>
      </c>
      <c r="J294" s="23" t="s">
        <v>16</v>
      </c>
      <c r="K294" s="9"/>
    </row>
    <row r="295" ht="12.75" customHeight="1">
      <c r="A295" s="24" t="s">
        <v>1185</v>
      </c>
      <c r="B295" s="27">
        <v>45849.0</v>
      </c>
      <c r="C295" s="20" t="s">
        <v>1175</v>
      </c>
      <c r="D295" s="12"/>
      <c r="E295" s="21" t="s">
        <v>1186</v>
      </c>
      <c r="F295" s="25" t="s">
        <v>1187</v>
      </c>
      <c r="G295" s="26"/>
      <c r="H295" s="28">
        <v>201.143</v>
      </c>
      <c r="I295" s="14" t="s">
        <v>1188</v>
      </c>
      <c r="J295" s="23" t="e">
        <v>#N/A</v>
      </c>
      <c r="K295" s="9"/>
    </row>
    <row r="296" ht="12.75" customHeight="1">
      <c r="A296" s="24" t="s">
        <v>1189</v>
      </c>
      <c r="B296" s="27">
        <v>45849.0</v>
      </c>
      <c r="C296" s="20" t="s">
        <v>1190</v>
      </c>
      <c r="D296" s="12"/>
      <c r="E296" s="21" t="s">
        <v>1191</v>
      </c>
      <c r="F296" s="25" t="s">
        <v>1192</v>
      </c>
      <c r="G296" s="26"/>
      <c r="H296" s="28" t="s">
        <v>1193</v>
      </c>
      <c r="I296" s="14" t="s">
        <v>1194</v>
      </c>
      <c r="J296" s="23" t="s">
        <v>16</v>
      </c>
      <c r="K296" s="9"/>
    </row>
    <row r="297" ht="12.75" customHeight="1">
      <c r="A297" s="24" t="s">
        <v>1195</v>
      </c>
      <c r="B297" s="27">
        <v>45941.0</v>
      </c>
      <c r="C297" s="20" t="s">
        <v>1196</v>
      </c>
      <c r="D297" s="12"/>
      <c r="E297" s="21" t="s">
        <v>1197</v>
      </c>
      <c r="F297" s="25" t="s">
        <v>1198</v>
      </c>
      <c r="G297" s="26"/>
      <c r="H297" s="28" t="s">
        <v>1199</v>
      </c>
      <c r="I297" s="14" t="s">
        <v>1200</v>
      </c>
      <c r="J297" s="23" t="e">
        <v>#N/A</v>
      </c>
      <c r="K297" s="9"/>
    </row>
    <row r="298" ht="12.75" customHeight="1">
      <c r="A298" s="24" t="s">
        <v>1201</v>
      </c>
      <c r="B298" s="19" t="s">
        <v>1202</v>
      </c>
      <c r="C298" s="20" t="s">
        <v>33</v>
      </c>
      <c r="D298" s="12"/>
      <c r="E298" s="21" t="s">
        <v>1203</v>
      </c>
      <c r="F298" s="25" t="s">
        <v>1204</v>
      </c>
      <c r="G298" s="26"/>
      <c r="H298" s="28">
        <v>804.571</v>
      </c>
      <c r="I298" s="14" t="s">
        <v>1205</v>
      </c>
      <c r="J298" s="23" t="e">
        <v>#N/A</v>
      </c>
      <c r="K298" s="9"/>
    </row>
    <row r="299" ht="12.75" customHeight="1">
      <c r="A299" s="24" t="s">
        <v>1206</v>
      </c>
      <c r="B299" s="19" t="s">
        <v>1202</v>
      </c>
      <c r="C299" s="20" t="s">
        <v>33</v>
      </c>
      <c r="D299" s="12"/>
      <c r="E299" s="21" t="s">
        <v>1207</v>
      </c>
      <c r="F299" s="25" t="s">
        <v>1208</v>
      </c>
      <c r="G299" s="26"/>
      <c r="H299" s="28" t="s">
        <v>1209</v>
      </c>
      <c r="I299" s="14" t="s">
        <v>1210</v>
      </c>
      <c r="J299" s="23" t="e">
        <v>#N/A</v>
      </c>
      <c r="K299" s="9"/>
    </row>
    <row r="300" ht="12.75" customHeight="1">
      <c r="A300" s="24" t="s">
        <v>1211</v>
      </c>
      <c r="B300" s="19" t="s">
        <v>1202</v>
      </c>
      <c r="C300" s="20" t="s">
        <v>33</v>
      </c>
      <c r="D300" s="12"/>
      <c r="E300" s="21" t="s">
        <v>1212</v>
      </c>
      <c r="F300" s="25" t="s">
        <v>1213</v>
      </c>
      <c r="G300" s="26"/>
      <c r="H300" s="28">
        <v>352.0</v>
      </c>
      <c r="I300" s="14" t="s">
        <v>142</v>
      </c>
      <c r="J300" s="23" t="e">
        <v>#N/A</v>
      </c>
      <c r="K300" s="9"/>
    </row>
    <row r="301" ht="12.75" customHeight="1">
      <c r="A301" s="24" t="s">
        <v>1214</v>
      </c>
      <c r="B301" s="19" t="s">
        <v>1202</v>
      </c>
      <c r="C301" s="20" t="s">
        <v>33</v>
      </c>
      <c r="D301" s="12"/>
      <c r="E301" s="21" t="s">
        <v>1215</v>
      </c>
      <c r="F301" s="25" t="s">
        <v>1181</v>
      </c>
      <c r="G301" s="26"/>
      <c r="H301" s="28">
        <v>502.857</v>
      </c>
      <c r="I301" s="14" t="s">
        <v>139</v>
      </c>
      <c r="J301" s="23" t="e">
        <v>#N/A</v>
      </c>
      <c r="K301" s="9"/>
    </row>
    <row r="302" ht="12.75" customHeight="1">
      <c r="A302" s="24" t="s">
        <v>1216</v>
      </c>
      <c r="B302" s="19" t="s">
        <v>1202</v>
      </c>
      <c r="C302" s="20" t="s">
        <v>1217</v>
      </c>
      <c r="D302" s="12"/>
      <c r="E302" s="21" t="s">
        <v>1218</v>
      </c>
      <c r="F302" s="25" t="s">
        <v>1219</v>
      </c>
      <c r="G302" s="26"/>
      <c r="H302" s="28" t="s">
        <v>1220</v>
      </c>
      <c r="I302" s="14" t="s">
        <v>1221</v>
      </c>
      <c r="J302" s="23" t="s">
        <v>16</v>
      </c>
      <c r="K302" s="9"/>
    </row>
    <row r="303" ht="12.75" customHeight="1">
      <c r="A303" s="24" t="s">
        <v>1222</v>
      </c>
      <c r="B303" s="19" t="s">
        <v>1202</v>
      </c>
      <c r="C303" s="20" t="s">
        <v>99</v>
      </c>
      <c r="D303" s="12"/>
      <c r="E303" s="21" t="s">
        <v>1223</v>
      </c>
      <c r="F303" s="25" t="s">
        <v>1224</v>
      </c>
      <c r="G303" s="26"/>
      <c r="H303" s="28">
        <v>434.237</v>
      </c>
      <c r="I303" s="14" t="s">
        <v>1225</v>
      </c>
      <c r="J303" s="23" t="s">
        <v>16</v>
      </c>
      <c r="K303" s="9"/>
    </row>
    <row r="304" ht="12.75" customHeight="1">
      <c r="A304" s="24" t="s">
        <v>1226</v>
      </c>
      <c r="B304" s="19" t="s">
        <v>1202</v>
      </c>
      <c r="C304" s="20" t="s">
        <v>99</v>
      </c>
      <c r="D304" s="12"/>
      <c r="E304" s="21" t="s">
        <v>1227</v>
      </c>
      <c r="F304" s="25" t="s">
        <v>1228</v>
      </c>
      <c r="G304" s="26"/>
      <c r="H304" s="28" t="s">
        <v>1053</v>
      </c>
      <c r="I304" s="14" t="s">
        <v>1228</v>
      </c>
      <c r="J304" s="23" t="s">
        <v>16</v>
      </c>
      <c r="K304" s="9"/>
    </row>
    <row r="305" ht="12.75" customHeight="1">
      <c r="A305" s="24" t="s">
        <v>1229</v>
      </c>
      <c r="B305" s="19" t="s">
        <v>1202</v>
      </c>
      <c r="C305" s="20" t="s">
        <v>99</v>
      </c>
      <c r="D305" s="12"/>
      <c r="E305" s="21" t="s">
        <v>1230</v>
      </c>
      <c r="F305" s="25" t="s">
        <v>1231</v>
      </c>
      <c r="G305" s="26"/>
      <c r="H305" s="28">
        <v>203.572</v>
      </c>
      <c r="I305" s="14" t="s">
        <v>1232</v>
      </c>
      <c r="J305" s="23" t="s">
        <v>16</v>
      </c>
      <c r="K305" s="9"/>
    </row>
    <row r="306" ht="12.75" customHeight="1">
      <c r="A306" s="24" t="s">
        <v>1233</v>
      </c>
      <c r="B306" s="19" t="s">
        <v>1234</v>
      </c>
      <c r="C306" s="20" t="s">
        <v>418</v>
      </c>
      <c r="D306" s="12"/>
      <c r="E306" s="21" t="s">
        <v>1235</v>
      </c>
      <c r="F306" s="25" t="s">
        <v>1236</v>
      </c>
      <c r="G306" s="26"/>
      <c r="H306" s="28" t="s">
        <v>1237</v>
      </c>
      <c r="I306" s="14" t="s">
        <v>1238</v>
      </c>
      <c r="J306" s="23" t="s">
        <v>16</v>
      </c>
      <c r="K306" s="9"/>
    </row>
    <row r="307" ht="12.75" customHeight="1">
      <c r="A307" s="24" t="s">
        <v>1239</v>
      </c>
      <c r="B307" s="19" t="s">
        <v>1234</v>
      </c>
      <c r="C307" s="20" t="s">
        <v>418</v>
      </c>
      <c r="D307" s="12"/>
      <c r="E307" s="21" t="s">
        <v>1240</v>
      </c>
      <c r="F307" s="25" t="s">
        <v>1241</v>
      </c>
      <c r="G307" s="26"/>
      <c r="H307" s="28" t="s">
        <v>1242</v>
      </c>
      <c r="I307" s="14" t="s">
        <v>1243</v>
      </c>
      <c r="J307" s="23" t="s">
        <v>16</v>
      </c>
      <c r="K307" s="9"/>
    </row>
    <row r="308" ht="12.75" customHeight="1">
      <c r="A308" s="24" t="s">
        <v>1244</v>
      </c>
      <c r="B308" s="19" t="s">
        <v>1234</v>
      </c>
      <c r="C308" s="20" t="s">
        <v>418</v>
      </c>
      <c r="D308" s="12"/>
      <c r="E308" s="21" t="s">
        <v>1245</v>
      </c>
      <c r="F308" s="25" t="s">
        <v>1246</v>
      </c>
      <c r="G308" s="26"/>
      <c r="H308" s="28" t="s">
        <v>1247</v>
      </c>
      <c r="I308" s="14" t="s">
        <v>1248</v>
      </c>
      <c r="J308" s="23" t="s">
        <v>16</v>
      </c>
      <c r="K308" s="9"/>
    </row>
    <row r="309" ht="12.75" customHeight="1">
      <c r="A309" s="24" t="s">
        <v>1249</v>
      </c>
      <c r="B309" s="19" t="s">
        <v>1234</v>
      </c>
      <c r="C309" s="20" t="s">
        <v>418</v>
      </c>
      <c r="D309" s="12"/>
      <c r="E309" s="21" t="s">
        <v>1250</v>
      </c>
      <c r="F309" s="25" t="s">
        <v>1251</v>
      </c>
      <c r="G309" s="26"/>
      <c r="H309" s="28" t="s">
        <v>1252</v>
      </c>
      <c r="I309" s="14" t="s">
        <v>1253</v>
      </c>
      <c r="J309" s="23" t="e">
        <v>#N/A</v>
      </c>
      <c r="K309" s="9"/>
    </row>
    <row r="310" ht="12.75" customHeight="1">
      <c r="A310" s="24" t="s">
        <v>1254</v>
      </c>
      <c r="B310" s="19" t="s">
        <v>1234</v>
      </c>
      <c r="C310" s="20" t="s">
        <v>418</v>
      </c>
      <c r="D310" s="12"/>
      <c r="E310" s="21" t="s">
        <v>1255</v>
      </c>
      <c r="F310" s="25" t="s">
        <v>1256</v>
      </c>
      <c r="G310" s="26"/>
      <c r="H310" s="28" t="s">
        <v>1257</v>
      </c>
      <c r="I310" s="14" t="s">
        <v>1258</v>
      </c>
      <c r="J310" s="23" t="e">
        <v>#N/A</v>
      </c>
      <c r="K310" s="9"/>
    </row>
    <row r="311" ht="12.75" customHeight="1">
      <c r="A311" s="24" t="s">
        <v>1259</v>
      </c>
      <c r="B311" s="19" t="s">
        <v>1234</v>
      </c>
      <c r="C311" s="20" t="s">
        <v>1260</v>
      </c>
      <c r="D311" s="12"/>
      <c r="E311" s="21" t="s">
        <v>1261</v>
      </c>
      <c r="F311" s="25" t="s">
        <v>1262</v>
      </c>
      <c r="G311" s="26"/>
      <c r="H311" s="28" t="s">
        <v>1263</v>
      </c>
      <c r="I311" s="14" t="s">
        <v>1264</v>
      </c>
      <c r="J311" s="23" t="e">
        <v>#N/A</v>
      </c>
      <c r="K311" s="9"/>
    </row>
    <row r="312" ht="12.75" customHeight="1">
      <c r="A312" s="24" t="s">
        <v>1265</v>
      </c>
      <c r="B312" s="19" t="s">
        <v>1234</v>
      </c>
      <c r="C312" s="20" t="s">
        <v>1266</v>
      </c>
      <c r="D312" s="12"/>
      <c r="E312" s="21" t="s">
        <v>1267</v>
      </c>
      <c r="F312" s="25" t="s">
        <v>1268</v>
      </c>
      <c r="G312" s="26"/>
      <c r="H312" s="28" t="s">
        <v>1269</v>
      </c>
      <c r="I312" s="14" t="s">
        <v>1270</v>
      </c>
      <c r="J312" s="23" t="s">
        <v>16</v>
      </c>
      <c r="K312" s="9"/>
    </row>
    <row r="313" ht="12.75" customHeight="1">
      <c r="A313" s="24" t="s">
        <v>1271</v>
      </c>
      <c r="B313" s="27">
        <v>45849.0</v>
      </c>
      <c r="C313" s="20" t="s">
        <v>1272</v>
      </c>
      <c r="D313" s="12"/>
      <c r="E313" s="21" t="s">
        <v>1273</v>
      </c>
      <c r="F313" s="25" t="s">
        <v>1119</v>
      </c>
      <c r="G313" s="26"/>
      <c r="H313" s="28" t="s">
        <v>390</v>
      </c>
      <c r="I313" s="14" t="s">
        <v>391</v>
      </c>
      <c r="J313" s="23" t="s">
        <v>16</v>
      </c>
      <c r="K313" s="9"/>
    </row>
    <row r="314" ht="12.75" customHeight="1">
      <c r="A314" s="24" t="s">
        <v>1274</v>
      </c>
      <c r="B314" s="19" t="s">
        <v>1234</v>
      </c>
      <c r="C314" s="20" t="s">
        <v>1275</v>
      </c>
      <c r="D314" s="12"/>
      <c r="E314" s="21" t="s">
        <v>1276</v>
      </c>
      <c r="F314" s="25" t="s">
        <v>1277</v>
      </c>
      <c r="G314" s="26"/>
      <c r="H314" s="28" t="s">
        <v>1278</v>
      </c>
      <c r="I314" s="14" t="s">
        <v>1279</v>
      </c>
      <c r="J314" s="23" t="e">
        <v>#N/A</v>
      </c>
      <c r="K314" s="9"/>
    </row>
    <row r="315" ht="12.75" customHeight="1">
      <c r="A315" s="24" t="s">
        <v>1280</v>
      </c>
      <c r="B315" s="27">
        <v>45941.0</v>
      </c>
      <c r="C315" s="20" t="s">
        <v>1281</v>
      </c>
      <c r="D315" s="12"/>
      <c r="E315" s="21" t="s">
        <v>783</v>
      </c>
      <c r="F315" s="25" t="s">
        <v>1282</v>
      </c>
      <c r="G315" s="26"/>
      <c r="H315" s="28" t="s">
        <v>1283</v>
      </c>
      <c r="I315" s="14" t="s">
        <v>1284</v>
      </c>
      <c r="J315" s="23" t="s">
        <v>16</v>
      </c>
      <c r="K315" s="9"/>
    </row>
    <row r="316" ht="12.75" customHeight="1">
      <c r="A316" s="24" t="s">
        <v>1285</v>
      </c>
      <c r="B316" s="19" t="s">
        <v>1286</v>
      </c>
      <c r="C316" s="20" t="s">
        <v>1287</v>
      </c>
      <c r="D316" s="12"/>
      <c r="E316" s="21" t="s">
        <v>1288</v>
      </c>
      <c r="F316" s="25" t="s">
        <v>1289</v>
      </c>
      <c r="G316" s="26"/>
      <c r="H316" s="28" t="s">
        <v>1290</v>
      </c>
      <c r="I316" s="14" t="s">
        <v>1291</v>
      </c>
      <c r="J316" s="23" t="s">
        <v>16</v>
      </c>
      <c r="K316" s="9"/>
    </row>
    <row r="317" ht="12.75" customHeight="1">
      <c r="A317" s="24" t="s">
        <v>1292</v>
      </c>
      <c r="B317" s="19" t="s">
        <v>1293</v>
      </c>
      <c r="C317" s="20" t="s">
        <v>1294</v>
      </c>
      <c r="D317" s="12"/>
      <c r="E317" s="21" t="s">
        <v>1295</v>
      </c>
      <c r="F317" s="25" t="s">
        <v>1296</v>
      </c>
      <c r="G317" s="26"/>
      <c r="H317" s="28">
        <v>251.429</v>
      </c>
      <c r="I317" s="14" t="s">
        <v>1297</v>
      </c>
      <c r="J317" s="23" t="s">
        <v>16</v>
      </c>
      <c r="K317" s="9"/>
    </row>
    <row r="318" ht="12.75" customHeight="1">
      <c r="A318" s="24" t="s">
        <v>1298</v>
      </c>
      <c r="B318" s="19" t="s">
        <v>1299</v>
      </c>
      <c r="C318" s="20" t="s">
        <v>137</v>
      </c>
      <c r="D318" s="12"/>
      <c r="E318" s="21" t="s">
        <v>1300</v>
      </c>
      <c r="F318" s="25" t="s">
        <v>1301</v>
      </c>
      <c r="G318" s="26"/>
      <c r="H318" s="28" t="s">
        <v>1302</v>
      </c>
      <c r="I318" s="14" t="s">
        <v>1303</v>
      </c>
      <c r="J318" s="23" t="s">
        <v>16</v>
      </c>
      <c r="K318" s="9"/>
    </row>
    <row r="319" ht="12.75" customHeight="1">
      <c r="A319" s="24" t="s">
        <v>1304</v>
      </c>
      <c r="B319" s="19" t="s">
        <v>1305</v>
      </c>
      <c r="C319" s="20" t="s">
        <v>757</v>
      </c>
      <c r="D319" s="12"/>
      <c r="E319" s="21" t="s">
        <v>1306</v>
      </c>
      <c r="F319" s="25" t="s">
        <v>1307</v>
      </c>
      <c r="G319" s="26"/>
      <c r="H319" s="28" t="s">
        <v>1308</v>
      </c>
      <c r="I319" s="14" t="s">
        <v>1309</v>
      </c>
      <c r="J319" s="23" t="s">
        <v>16</v>
      </c>
      <c r="K319" s="9"/>
    </row>
    <row r="320" ht="12.75" customHeight="1">
      <c r="A320" s="24" t="s">
        <v>1310</v>
      </c>
      <c r="B320" s="19" t="s">
        <v>1305</v>
      </c>
      <c r="C320" s="20" t="s">
        <v>597</v>
      </c>
      <c r="D320" s="12"/>
      <c r="E320" s="21" t="s">
        <v>1311</v>
      </c>
      <c r="F320" s="25" t="s">
        <v>1312</v>
      </c>
      <c r="G320" s="26"/>
      <c r="H320" s="28" t="s">
        <v>1313</v>
      </c>
      <c r="I320" s="14" t="s">
        <v>1314</v>
      </c>
      <c r="J320" s="23" t="s">
        <v>16</v>
      </c>
      <c r="K320" s="9"/>
    </row>
    <row r="321" ht="12.75" customHeight="1">
      <c r="A321" s="24" t="s">
        <v>1315</v>
      </c>
      <c r="B321" s="19" t="s">
        <v>1305</v>
      </c>
      <c r="C321" s="20" t="s">
        <v>1190</v>
      </c>
      <c r="D321" s="12"/>
      <c r="E321" s="21" t="s">
        <v>1191</v>
      </c>
      <c r="F321" s="25" t="s">
        <v>1316</v>
      </c>
      <c r="G321" s="26"/>
      <c r="H321" s="28" t="s">
        <v>1317</v>
      </c>
      <c r="I321" s="14" t="s">
        <v>1318</v>
      </c>
      <c r="J321" s="23" t="s">
        <v>16</v>
      </c>
      <c r="K321" s="9"/>
    </row>
    <row r="322" ht="12.75" customHeight="1">
      <c r="A322" s="24" t="s">
        <v>1319</v>
      </c>
      <c r="B322" s="19" t="s">
        <v>1320</v>
      </c>
      <c r="C322" s="20" t="s">
        <v>1196</v>
      </c>
      <c r="D322" s="12"/>
      <c r="E322" s="21" t="s">
        <v>1321</v>
      </c>
      <c r="F322" s="25" t="s">
        <v>1322</v>
      </c>
      <c r="G322" s="26"/>
      <c r="H322" s="28" t="s">
        <v>1323</v>
      </c>
      <c r="I322" s="14" t="s">
        <v>1324</v>
      </c>
      <c r="J322" s="23" t="e">
        <v>#N/A</v>
      </c>
      <c r="K322" s="9"/>
    </row>
    <row r="323" ht="12.75" customHeight="1">
      <c r="A323" s="24" t="s">
        <v>1325</v>
      </c>
      <c r="B323" s="19" t="s">
        <v>1320</v>
      </c>
      <c r="C323" s="20" t="s">
        <v>1196</v>
      </c>
      <c r="D323" s="12"/>
      <c r="E323" s="21" t="s">
        <v>1326</v>
      </c>
      <c r="F323" s="25" t="s">
        <v>1327</v>
      </c>
      <c r="G323" s="26"/>
      <c r="H323" s="28" t="s">
        <v>1328</v>
      </c>
      <c r="I323" s="14" t="s">
        <v>1329</v>
      </c>
      <c r="J323" s="23" t="e">
        <v>#N/A</v>
      </c>
      <c r="K323" s="9"/>
    </row>
    <row r="324" ht="12.75" customHeight="1">
      <c r="A324" s="24" t="s">
        <v>1330</v>
      </c>
      <c r="B324" s="19" t="s">
        <v>1320</v>
      </c>
      <c r="C324" s="20" t="s">
        <v>1196</v>
      </c>
      <c r="D324" s="12"/>
      <c r="E324" s="21" t="s">
        <v>1331</v>
      </c>
      <c r="F324" s="25" t="s">
        <v>1332</v>
      </c>
      <c r="G324" s="26"/>
      <c r="H324" s="28" t="s">
        <v>1333</v>
      </c>
      <c r="I324" s="14" t="s">
        <v>1334</v>
      </c>
      <c r="J324" s="23" t="e">
        <v>#N/A</v>
      </c>
      <c r="K324" s="9"/>
    </row>
    <row r="325" ht="12.75" customHeight="1">
      <c r="A325" s="24" t="s">
        <v>1335</v>
      </c>
      <c r="B325" s="19" t="s">
        <v>1336</v>
      </c>
      <c r="C325" s="20" t="s">
        <v>1337</v>
      </c>
      <c r="D325" s="12"/>
      <c r="E325" s="21" t="s">
        <v>1338</v>
      </c>
      <c r="F325" s="25" t="s">
        <v>1339</v>
      </c>
      <c r="G325" s="26"/>
      <c r="H325" s="28" t="s">
        <v>1340</v>
      </c>
      <c r="I325" s="14" t="s">
        <v>1341</v>
      </c>
      <c r="J325" s="23" t="s">
        <v>16</v>
      </c>
      <c r="K325" s="9"/>
    </row>
    <row r="326" ht="12.75" customHeight="1">
      <c r="A326" s="24" t="s">
        <v>1342</v>
      </c>
      <c r="B326" s="19" t="s">
        <v>1320</v>
      </c>
      <c r="C326" s="30" t="s">
        <v>1343</v>
      </c>
      <c r="D326" s="12"/>
      <c r="E326" s="21" t="s">
        <v>1344</v>
      </c>
      <c r="F326" s="25" t="s">
        <v>1345</v>
      </c>
      <c r="G326" s="26"/>
      <c r="H326" s="28" t="s">
        <v>1346</v>
      </c>
      <c r="I326" s="14" t="s">
        <v>1347</v>
      </c>
      <c r="J326" s="23" t="s">
        <v>16</v>
      </c>
      <c r="K326" s="9"/>
    </row>
    <row r="327" ht="12.75" customHeight="1">
      <c r="A327" s="24" t="s">
        <v>1348</v>
      </c>
      <c r="B327" s="31">
        <v>45669.0</v>
      </c>
      <c r="C327" s="30" t="s">
        <v>99</v>
      </c>
      <c r="D327" s="12"/>
      <c r="E327" s="21" t="s">
        <v>1349</v>
      </c>
      <c r="F327" s="25" t="s">
        <v>1350</v>
      </c>
      <c r="G327" s="26"/>
      <c r="H327" s="28" t="s">
        <v>1351</v>
      </c>
      <c r="I327" s="14" t="s">
        <v>1352</v>
      </c>
      <c r="J327" s="23" t="s">
        <v>16</v>
      </c>
      <c r="K327" s="9"/>
    </row>
    <row r="328" ht="12.75" customHeight="1">
      <c r="A328" s="24" t="s">
        <v>1353</v>
      </c>
      <c r="B328" s="31">
        <v>45669.0</v>
      </c>
      <c r="C328" s="30" t="s">
        <v>99</v>
      </c>
      <c r="D328" s="12"/>
      <c r="E328" s="21" t="s">
        <v>1354</v>
      </c>
      <c r="F328" s="25" t="s">
        <v>1355</v>
      </c>
      <c r="G328" s="26"/>
      <c r="H328" s="28" t="s">
        <v>311</v>
      </c>
      <c r="I328" s="14" t="s">
        <v>312</v>
      </c>
      <c r="J328" s="23" t="s">
        <v>16</v>
      </c>
      <c r="K328" s="9"/>
    </row>
    <row r="329" ht="12.75" customHeight="1">
      <c r="A329" s="24" t="s">
        <v>1356</v>
      </c>
      <c r="B329" s="31">
        <v>45669.0</v>
      </c>
      <c r="C329" s="30" t="s">
        <v>99</v>
      </c>
      <c r="D329" s="12"/>
      <c r="E329" s="21" t="s">
        <v>1357</v>
      </c>
      <c r="F329" s="25" t="s">
        <v>1158</v>
      </c>
      <c r="G329" s="26"/>
      <c r="H329" s="28">
        <v>940.5</v>
      </c>
      <c r="I329" s="14" t="s">
        <v>335</v>
      </c>
      <c r="J329" s="23" t="e">
        <v>#N/A</v>
      </c>
      <c r="K329" s="9"/>
    </row>
    <row r="330" ht="12.75" customHeight="1">
      <c r="A330" s="24" t="s">
        <v>1358</v>
      </c>
      <c r="B330" s="31">
        <v>45669.0</v>
      </c>
      <c r="C330" s="30" t="s">
        <v>1359</v>
      </c>
      <c r="D330" s="12"/>
      <c r="E330" s="21" t="s">
        <v>1360</v>
      </c>
      <c r="F330" s="25" t="s">
        <v>1361</v>
      </c>
      <c r="G330" s="26"/>
      <c r="H330" s="28" t="s">
        <v>517</v>
      </c>
      <c r="I330" s="14" t="s">
        <v>518</v>
      </c>
      <c r="J330" s="23" t="s">
        <v>16</v>
      </c>
      <c r="K330" s="9"/>
    </row>
    <row r="331" ht="12.75" customHeight="1">
      <c r="A331" s="24" t="s">
        <v>1362</v>
      </c>
      <c r="B331" s="31">
        <v>45728.0</v>
      </c>
      <c r="C331" s="30" t="s">
        <v>99</v>
      </c>
      <c r="D331" s="12"/>
      <c r="E331" s="21" t="s">
        <v>1363</v>
      </c>
      <c r="F331" s="25" t="s">
        <v>1123</v>
      </c>
      <c r="G331" s="26"/>
      <c r="H331" s="28" t="s">
        <v>1036</v>
      </c>
      <c r="I331" s="14" t="s">
        <v>1037</v>
      </c>
      <c r="J331" s="23" t="e">
        <v>#N/A</v>
      </c>
      <c r="K331" s="9"/>
    </row>
    <row r="332" ht="12.75" customHeight="1">
      <c r="A332" s="24" t="s">
        <v>1364</v>
      </c>
      <c r="B332" s="31">
        <v>45728.0</v>
      </c>
      <c r="C332" s="30" t="s">
        <v>1365</v>
      </c>
      <c r="D332" s="12"/>
      <c r="E332" s="21" t="s">
        <v>1366</v>
      </c>
      <c r="F332" s="25" t="s">
        <v>1367</v>
      </c>
      <c r="G332" s="26"/>
      <c r="H332" s="28" t="s">
        <v>1368</v>
      </c>
      <c r="I332" s="14" t="s">
        <v>1369</v>
      </c>
      <c r="J332" s="23" t="s">
        <v>16</v>
      </c>
      <c r="K332" s="9"/>
    </row>
    <row r="333" ht="12.75" customHeight="1">
      <c r="A333" s="24" t="s">
        <v>1370</v>
      </c>
      <c r="B333" s="31">
        <v>45728.0</v>
      </c>
      <c r="C333" s="30" t="s">
        <v>1371</v>
      </c>
      <c r="D333" s="12"/>
      <c r="E333" s="21" t="s">
        <v>1372</v>
      </c>
      <c r="F333" s="25" t="s">
        <v>1169</v>
      </c>
      <c r="G333" s="26"/>
      <c r="H333" s="28">
        <v>913.413</v>
      </c>
      <c r="I333" s="14" t="s">
        <v>960</v>
      </c>
      <c r="J333" s="23" t="s">
        <v>16</v>
      </c>
      <c r="K333" s="9"/>
    </row>
    <row r="334" ht="12.75" customHeight="1">
      <c r="A334" s="24" t="s">
        <v>1373</v>
      </c>
      <c r="B334" s="31">
        <v>45728.0</v>
      </c>
      <c r="C334" s="30" t="s">
        <v>1371</v>
      </c>
      <c r="D334" s="12"/>
      <c r="E334" s="21" t="s">
        <v>1374</v>
      </c>
      <c r="F334" s="25" t="s">
        <v>1067</v>
      </c>
      <c r="G334" s="26"/>
      <c r="H334" s="28">
        <v>812.152</v>
      </c>
      <c r="I334" s="14" t="s">
        <v>1068</v>
      </c>
      <c r="J334" s="23" t="s">
        <v>16</v>
      </c>
      <c r="K334" s="9"/>
    </row>
    <row r="335" ht="12.75" customHeight="1">
      <c r="A335" s="24" t="s">
        <v>1375</v>
      </c>
      <c r="B335" s="31">
        <v>45973.0</v>
      </c>
      <c r="C335" s="30" t="s">
        <v>1376</v>
      </c>
      <c r="D335" s="12"/>
      <c r="E335" s="21" t="s">
        <v>1377</v>
      </c>
      <c r="F335" s="25" t="s">
        <v>1378</v>
      </c>
      <c r="G335" s="26"/>
      <c r="H335" s="28" t="s">
        <v>1379</v>
      </c>
      <c r="I335" s="14" t="s">
        <v>1380</v>
      </c>
      <c r="J335" s="23" t="e">
        <v>#N/A</v>
      </c>
      <c r="K335" s="9"/>
    </row>
    <row r="336" ht="12.75" customHeight="1">
      <c r="A336" s="24" t="s">
        <v>1381</v>
      </c>
      <c r="B336" s="31">
        <v>45728.0</v>
      </c>
      <c r="C336" s="30" t="s">
        <v>1382</v>
      </c>
      <c r="D336" s="12"/>
      <c r="E336" s="21" t="s">
        <v>1383</v>
      </c>
      <c r="F336" s="25" t="s">
        <v>1384</v>
      </c>
      <c r="G336" s="26"/>
      <c r="H336" s="28" t="s">
        <v>1385</v>
      </c>
      <c r="I336" s="14" t="s">
        <v>1386</v>
      </c>
      <c r="J336" s="23" t="s">
        <v>16</v>
      </c>
      <c r="K336" s="9"/>
    </row>
    <row r="337" ht="12.75" customHeight="1">
      <c r="A337" s="24" t="s">
        <v>1387</v>
      </c>
      <c r="B337" s="31">
        <v>45728.0</v>
      </c>
      <c r="C337" s="30" t="s">
        <v>1371</v>
      </c>
      <c r="D337" s="12"/>
      <c r="E337" s="21" t="s">
        <v>1388</v>
      </c>
      <c r="F337" s="25" t="s">
        <v>1067</v>
      </c>
      <c r="G337" s="26"/>
      <c r="H337" s="28">
        <v>812.152</v>
      </c>
      <c r="I337" s="14" t="s">
        <v>1068</v>
      </c>
      <c r="J337" s="23" t="e">
        <v>#N/A</v>
      </c>
      <c r="K337" s="9"/>
    </row>
    <row r="338" ht="12.75" customHeight="1">
      <c r="A338" s="24" t="s">
        <v>1389</v>
      </c>
      <c r="B338" s="31">
        <v>45728.0</v>
      </c>
      <c r="C338" s="30" t="s">
        <v>1371</v>
      </c>
      <c r="D338" s="12"/>
      <c r="E338" s="21" t="s">
        <v>1390</v>
      </c>
      <c r="F338" s="25" t="s">
        <v>1169</v>
      </c>
      <c r="G338" s="26"/>
      <c r="H338" s="28">
        <v>913.413</v>
      </c>
      <c r="I338" s="14" t="s">
        <v>960</v>
      </c>
      <c r="J338" s="23" t="e">
        <v>#N/A</v>
      </c>
      <c r="K338" s="9"/>
    </row>
    <row r="339" ht="12.75" customHeight="1">
      <c r="A339" s="24" t="s">
        <v>1391</v>
      </c>
      <c r="B339" s="31">
        <v>45728.0</v>
      </c>
      <c r="C339" s="30" t="s">
        <v>1392</v>
      </c>
      <c r="D339" s="12"/>
      <c r="E339" s="21" t="s">
        <v>1393</v>
      </c>
      <c r="F339" s="25" t="s">
        <v>1394</v>
      </c>
      <c r="G339" s="26"/>
      <c r="H339" s="28" t="s">
        <v>1395</v>
      </c>
      <c r="I339" s="14" t="s">
        <v>1396</v>
      </c>
      <c r="J339" s="23" t="s">
        <v>16</v>
      </c>
      <c r="K339" s="9"/>
    </row>
    <row r="340" ht="12.75" customHeight="1">
      <c r="A340" s="24" t="s">
        <v>1397</v>
      </c>
      <c r="B340" s="31">
        <v>45789.0</v>
      </c>
      <c r="C340" s="30" t="s">
        <v>1398</v>
      </c>
      <c r="D340" s="12"/>
      <c r="E340" s="21" t="s">
        <v>1399</v>
      </c>
      <c r="F340" s="25" t="s">
        <v>1400</v>
      </c>
      <c r="G340" s="26"/>
      <c r="H340" s="28">
        <v>364.571</v>
      </c>
      <c r="I340" s="14" t="s">
        <v>1401</v>
      </c>
      <c r="J340" s="23" t="s">
        <v>16</v>
      </c>
      <c r="K340" s="9"/>
    </row>
    <row r="341" ht="12.75" customHeight="1">
      <c r="A341" s="24" t="s">
        <v>1402</v>
      </c>
      <c r="B341" s="31">
        <v>45789.0</v>
      </c>
      <c r="C341" s="30" t="s">
        <v>217</v>
      </c>
      <c r="D341" s="12"/>
      <c r="E341" s="21" t="s">
        <v>1403</v>
      </c>
      <c r="F341" s="25" t="s">
        <v>1164</v>
      </c>
      <c r="G341" s="26"/>
      <c r="H341" s="28" t="s">
        <v>205</v>
      </c>
      <c r="I341" s="14" t="s">
        <v>206</v>
      </c>
      <c r="J341" s="23" t="s">
        <v>16</v>
      </c>
      <c r="K341" s="9"/>
    </row>
    <row r="342" ht="12.75" customHeight="1">
      <c r="A342" s="24" t="s">
        <v>1404</v>
      </c>
      <c r="B342" s="31">
        <v>45881.0</v>
      </c>
      <c r="C342" s="30">
        <v>3.90055567E9</v>
      </c>
      <c r="D342" s="12"/>
      <c r="E342" s="21" t="s">
        <v>1405</v>
      </c>
      <c r="F342" s="25" t="s">
        <v>1406</v>
      </c>
      <c r="G342" s="26"/>
      <c r="H342" s="28" t="s">
        <v>1407</v>
      </c>
      <c r="I342" s="14" t="s">
        <v>1408</v>
      </c>
      <c r="J342" s="23" t="e">
        <v>#N/A</v>
      </c>
      <c r="K342" s="9"/>
    </row>
    <row r="343" ht="12.75" customHeight="1">
      <c r="A343" s="24" t="s">
        <v>1409</v>
      </c>
      <c r="B343" s="31">
        <v>45881.0</v>
      </c>
      <c r="C343" s="30">
        <v>3.90055567E9</v>
      </c>
      <c r="D343" s="12"/>
      <c r="E343" s="21" t="s">
        <v>1410</v>
      </c>
      <c r="F343" s="25" t="s">
        <v>1411</v>
      </c>
      <c r="G343" s="26"/>
      <c r="H343" s="28">
        <v>863.627</v>
      </c>
      <c r="I343" s="14" t="s">
        <v>1412</v>
      </c>
      <c r="J343" s="23" t="e">
        <v>#N/A</v>
      </c>
      <c r="K343" s="9"/>
    </row>
    <row r="344" ht="12.75" customHeight="1">
      <c r="A344" s="24" t="s">
        <v>1413</v>
      </c>
      <c r="B344" s="31">
        <v>45942.0</v>
      </c>
      <c r="C344" s="30" t="s">
        <v>1414</v>
      </c>
      <c r="D344" s="12"/>
      <c r="E344" s="21" t="s">
        <v>1415</v>
      </c>
      <c r="F344" s="25" t="s">
        <v>1416</v>
      </c>
      <c r="G344" s="26"/>
      <c r="H344" s="28" t="s">
        <v>1417</v>
      </c>
      <c r="I344" s="14" t="s">
        <v>1418</v>
      </c>
      <c r="J344" s="23" t="e">
        <v>#N/A</v>
      </c>
      <c r="K344" s="9"/>
    </row>
    <row r="345" ht="12.75" customHeight="1">
      <c r="A345" s="24" t="s">
        <v>1419</v>
      </c>
      <c r="B345" s="31">
        <v>45942.0</v>
      </c>
      <c r="C345" s="30" t="s">
        <v>99</v>
      </c>
      <c r="D345" s="12"/>
      <c r="E345" s="21" t="s">
        <v>1420</v>
      </c>
      <c r="F345" s="25" t="s">
        <v>1127</v>
      </c>
      <c r="G345" s="26"/>
      <c r="H345" s="28" t="s">
        <v>1128</v>
      </c>
      <c r="I345" s="14" t="s">
        <v>1129</v>
      </c>
      <c r="J345" s="23" t="s">
        <v>16</v>
      </c>
      <c r="K345" s="9"/>
    </row>
    <row r="346" ht="12.75" customHeight="1">
      <c r="A346" s="24" t="s">
        <v>1421</v>
      </c>
      <c r="B346" s="31">
        <v>45973.0</v>
      </c>
      <c r="C346" s="30" t="s">
        <v>1422</v>
      </c>
      <c r="D346" s="12"/>
      <c r="E346" s="21" t="s">
        <v>1423</v>
      </c>
      <c r="F346" s="25" t="s">
        <v>1424</v>
      </c>
      <c r="G346" s="26"/>
      <c r="H346" s="28" t="s">
        <v>1425</v>
      </c>
      <c r="I346" s="14" t="s">
        <v>1426</v>
      </c>
      <c r="J346" s="23" t="s">
        <v>16</v>
      </c>
      <c r="K346" s="9"/>
    </row>
    <row r="347" ht="12.75" customHeight="1">
      <c r="A347" s="24" t="s">
        <v>1427</v>
      </c>
      <c r="B347" s="31">
        <v>45973.0</v>
      </c>
      <c r="C347" s="30" t="s">
        <v>1428</v>
      </c>
      <c r="D347" s="12"/>
      <c r="E347" s="21" t="s">
        <v>1429</v>
      </c>
      <c r="F347" s="25" t="s">
        <v>1430</v>
      </c>
      <c r="G347" s="26"/>
      <c r="H347" s="28" t="s">
        <v>1431</v>
      </c>
      <c r="I347" s="14" t="s">
        <v>1432</v>
      </c>
      <c r="J347" s="23" t="s">
        <v>16</v>
      </c>
      <c r="K347" s="9"/>
    </row>
    <row r="348" ht="12.75" customHeight="1">
      <c r="A348" s="24" t="s">
        <v>1433</v>
      </c>
      <c r="B348" s="31">
        <v>45973.0</v>
      </c>
      <c r="C348" s="30" t="s">
        <v>1434</v>
      </c>
      <c r="D348" s="12"/>
      <c r="E348" s="21" t="s">
        <v>1435</v>
      </c>
      <c r="F348" s="25" t="s">
        <v>1436</v>
      </c>
      <c r="G348" s="26"/>
      <c r="H348" s="28" t="s">
        <v>1437</v>
      </c>
      <c r="I348" s="14" t="s">
        <v>1438</v>
      </c>
      <c r="J348" s="23" t="s">
        <v>16</v>
      </c>
      <c r="K348" s="9"/>
    </row>
    <row r="349" ht="12.75" customHeight="1">
      <c r="A349" s="24" t="s">
        <v>1439</v>
      </c>
      <c r="B349" s="31">
        <v>45973.0</v>
      </c>
      <c r="C349" s="30" t="s">
        <v>1440</v>
      </c>
      <c r="D349" s="12"/>
      <c r="E349" s="21" t="s">
        <v>1441</v>
      </c>
      <c r="F349" s="25" t="s">
        <v>1442</v>
      </c>
      <c r="G349" s="26"/>
      <c r="H349" s="28" t="s">
        <v>1443</v>
      </c>
      <c r="I349" s="14" t="s">
        <v>1444</v>
      </c>
      <c r="J349" s="23" t="e">
        <v>#N/A</v>
      </c>
      <c r="K349" s="9"/>
    </row>
    <row r="350" ht="12.75" customHeight="1">
      <c r="A350" s="24" t="s">
        <v>1445</v>
      </c>
      <c r="B350" s="31">
        <v>45973.0</v>
      </c>
      <c r="C350" s="30" t="s">
        <v>1446</v>
      </c>
      <c r="D350" s="12"/>
      <c r="E350" s="21" t="s">
        <v>1447</v>
      </c>
      <c r="F350" s="25" t="s">
        <v>1448</v>
      </c>
      <c r="G350" s="26"/>
      <c r="H350" s="28" t="s">
        <v>1449</v>
      </c>
      <c r="I350" s="14" t="s">
        <v>1450</v>
      </c>
      <c r="J350" s="23" t="s">
        <v>16</v>
      </c>
      <c r="K350" s="9"/>
    </row>
    <row r="351" ht="12.75" customHeight="1">
      <c r="A351" s="24" t="s">
        <v>1451</v>
      </c>
      <c r="B351" s="31">
        <v>45973.0</v>
      </c>
      <c r="C351" s="30" t="s">
        <v>1452</v>
      </c>
      <c r="D351" s="12"/>
      <c r="E351" s="21" t="s">
        <v>1453</v>
      </c>
      <c r="F351" s="25" t="s">
        <v>1454</v>
      </c>
      <c r="G351" s="26"/>
      <c r="H351" s="28" t="s">
        <v>1455</v>
      </c>
      <c r="I351" s="14" t="s">
        <v>1456</v>
      </c>
      <c r="J351" s="23" t="s">
        <v>16</v>
      </c>
      <c r="K351" s="9"/>
    </row>
    <row r="352" ht="12.75" customHeight="1">
      <c r="A352" s="24" t="s">
        <v>1457</v>
      </c>
      <c r="B352" s="31">
        <v>45973.0</v>
      </c>
      <c r="C352" s="30" t="s">
        <v>1458</v>
      </c>
      <c r="D352" s="12"/>
      <c r="E352" s="21" t="s">
        <v>1459</v>
      </c>
      <c r="F352" s="25" t="s">
        <v>1460</v>
      </c>
      <c r="G352" s="26"/>
      <c r="H352" s="28" t="s">
        <v>1461</v>
      </c>
      <c r="I352" s="14" t="s">
        <v>1462</v>
      </c>
      <c r="J352" s="23" t="e">
        <v>#N/A</v>
      </c>
      <c r="K352" s="9"/>
    </row>
    <row r="353" ht="12.75" customHeight="1">
      <c r="A353" s="24" t="s">
        <v>1463</v>
      </c>
      <c r="B353" s="31">
        <v>45973.0</v>
      </c>
      <c r="C353" s="30" t="s">
        <v>1464</v>
      </c>
      <c r="D353" s="12"/>
      <c r="E353" s="21" t="s">
        <v>1465</v>
      </c>
      <c r="F353" s="25" t="s">
        <v>1466</v>
      </c>
      <c r="G353" s="26"/>
      <c r="H353" s="28" t="s">
        <v>1467</v>
      </c>
      <c r="I353" s="14" t="s">
        <v>1468</v>
      </c>
      <c r="J353" s="23" t="e">
        <v>#N/A</v>
      </c>
      <c r="K353" s="9"/>
    </row>
    <row r="354" ht="12.75" customHeight="1">
      <c r="A354" s="24" t="s">
        <v>1469</v>
      </c>
      <c r="B354" s="31">
        <v>45973.0</v>
      </c>
      <c r="C354" s="30" t="s">
        <v>1470</v>
      </c>
      <c r="D354" s="12"/>
      <c r="E354" s="21" t="s">
        <v>1471</v>
      </c>
      <c r="F354" s="25" t="s">
        <v>1472</v>
      </c>
      <c r="G354" s="26"/>
      <c r="H354" s="28" t="s">
        <v>1473</v>
      </c>
      <c r="I354" s="14" t="s">
        <v>1474</v>
      </c>
      <c r="J354" s="23" t="e">
        <v>#N/A</v>
      </c>
      <c r="K354" s="9"/>
    </row>
    <row r="355" ht="12.75" customHeight="1">
      <c r="A355" s="24" t="s">
        <v>1475</v>
      </c>
      <c r="B355" s="31">
        <v>45973.0</v>
      </c>
      <c r="C355" s="30" t="s">
        <v>99</v>
      </c>
      <c r="D355" s="12"/>
      <c r="E355" s="21" t="s">
        <v>1476</v>
      </c>
      <c r="F355" s="25" t="s">
        <v>1477</v>
      </c>
      <c r="G355" s="26"/>
      <c r="H355" s="28" t="s">
        <v>1478</v>
      </c>
      <c r="I355" s="14" t="s">
        <v>1479</v>
      </c>
      <c r="J355" s="23" t="e">
        <v>#N/A</v>
      </c>
      <c r="K355" s="9"/>
    </row>
    <row r="356" ht="12.75" customHeight="1">
      <c r="A356" s="24" t="s">
        <v>1480</v>
      </c>
      <c r="B356" s="32" t="s">
        <v>1481</v>
      </c>
      <c r="C356" s="30" t="s">
        <v>99</v>
      </c>
      <c r="D356" s="12"/>
      <c r="E356" s="21" t="s">
        <v>1482</v>
      </c>
      <c r="F356" s="25" t="s">
        <v>1483</v>
      </c>
      <c r="G356" s="26"/>
      <c r="H356" s="28" t="s">
        <v>1484</v>
      </c>
      <c r="I356" s="14" t="s">
        <v>1485</v>
      </c>
      <c r="J356" s="23" t="e">
        <v>#N/A</v>
      </c>
      <c r="K356" s="9"/>
    </row>
    <row r="357" ht="12.75" customHeight="1">
      <c r="A357" s="24" t="s">
        <v>1486</v>
      </c>
      <c r="B357" s="32" t="s">
        <v>1487</v>
      </c>
      <c r="C357" s="30" t="s">
        <v>757</v>
      </c>
      <c r="D357" s="12"/>
      <c r="E357" s="21" t="s">
        <v>1488</v>
      </c>
      <c r="F357" s="25" t="s">
        <v>1489</v>
      </c>
      <c r="G357" s="26"/>
      <c r="H357" s="28" t="s">
        <v>1048</v>
      </c>
      <c r="I357" s="14" t="s">
        <v>1049</v>
      </c>
      <c r="J357" s="23" t="e">
        <v>#N/A</v>
      </c>
      <c r="K357" s="9"/>
    </row>
    <row r="358" ht="12.75" customHeight="1">
      <c r="A358" s="24" t="s">
        <v>1490</v>
      </c>
      <c r="B358" s="32" t="s">
        <v>1487</v>
      </c>
      <c r="C358" s="30" t="s">
        <v>33</v>
      </c>
      <c r="D358" s="12"/>
      <c r="E358" s="21" t="s">
        <v>1491</v>
      </c>
      <c r="F358" s="25" t="s">
        <v>1213</v>
      </c>
      <c r="G358" s="26"/>
      <c r="H358" s="28">
        <v>352.0</v>
      </c>
      <c r="I358" s="14" t="s">
        <v>142</v>
      </c>
      <c r="J358" s="23" t="e">
        <v>#N/A</v>
      </c>
      <c r="K358" s="9"/>
    </row>
    <row r="359" ht="12.75" customHeight="1">
      <c r="A359" s="24" t="s">
        <v>1492</v>
      </c>
      <c r="B359" s="32" t="s">
        <v>1487</v>
      </c>
      <c r="C359" s="30" t="s">
        <v>33</v>
      </c>
      <c r="D359" s="12"/>
      <c r="E359" s="21" t="s">
        <v>1493</v>
      </c>
      <c r="F359" s="25" t="s">
        <v>1494</v>
      </c>
      <c r="G359" s="26"/>
      <c r="H359" s="28">
        <v>779.428</v>
      </c>
      <c r="I359" s="14" t="s">
        <v>1495</v>
      </c>
      <c r="J359" s="23" t="e">
        <v>#N/A</v>
      </c>
      <c r="K359" s="9"/>
    </row>
    <row r="360" ht="12.75" customHeight="1">
      <c r="A360" s="24" t="s">
        <v>1496</v>
      </c>
      <c r="B360" s="32" t="s">
        <v>1487</v>
      </c>
      <c r="C360" s="30" t="s">
        <v>33</v>
      </c>
      <c r="D360" s="12"/>
      <c r="E360" s="21" t="s">
        <v>1497</v>
      </c>
      <c r="F360" s="25" t="s">
        <v>1498</v>
      </c>
      <c r="G360" s="26"/>
      <c r="H360" s="28" t="s">
        <v>1499</v>
      </c>
      <c r="I360" s="14" t="s">
        <v>1500</v>
      </c>
      <c r="J360" s="23" t="e">
        <v>#N/A</v>
      </c>
      <c r="K360" s="9"/>
    </row>
    <row r="361" ht="12.75" customHeight="1">
      <c r="A361" s="24" t="s">
        <v>1501</v>
      </c>
      <c r="B361" s="32" t="s">
        <v>1487</v>
      </c>
      <c r="C361" s="30" t="s">
        <v>33</v>
      </c>
      <c r="D361" s="12"/>
      <c r="E361" s="21" t="s">
        <v>1502</v>
      </c>
      <c r="F361" s="25" t="s">
        <v>1503</v>
      </c>
      <c r="G361" s="26"/>
      <c r="H361" s="28">
        <v>528.0</v>
      </c>
      <c r="I361" s="14" t="s">
        <v>1504</v>
      </c>
      <c r="J361" s="23" t="e">
        <v>#N/A</v>
      </c>
      <c r="K361" s="9"/>
    </row>
    <row r="362" ht="12.75" customHeight="1">
      <c r="A362" s="24" t="s">
        <v>1505</v>
      </c>
      <c r="B362" s="32" t="s">
        <v>1487</v>
      </c>
      <c r="C362" s="30" t="s">
        <v>33</v>
      </c>
      <c r="D362" s="12"/>
      <c r="E362" s="21" t="s">
        <v>1506</v>
      </c>
      <c r="F362" s="25" t="s">
        <v>1507</v>
      </c>
      <c r="G362" s="26"/>
      <c r="H362" s="28">
        <v>452.571</v>
      </c>
      <c r="I362" s="14" t="s">
        <v>1508</v>
      </c>
      <c r="J362" s="23" t="e">
        <v>#N/A</v>
      </c>
      <c r="K362" s="9"/>
    </row>
    <row r="363" ht="12.75" customHeight="1">
      <c r="A363" s="24" t="s">
        <v>1509</v>
      </c>
      <c r="B363" s="32" t="s">
        <v>1487</v>
      </c>
      <c r="C363" s="30" t="s">
        <v>33</v>
      </c>
      <c r="D363" s="12"/>
      <c r="E363" s="21" t="s">
        <v>1510</v>
      </c>
      <c r="F363" s="25" t="s">
        <v>1181</v>
      </c>
      <c r="G363" s="26"/>
      <c r="H363" s="28">
        <v>502.857</v>
      </c>
      <c r="I363" s="14" t="s">
        <v>139</v>
      </c>
      <c r="J363" s="23" t="e">
        <v>#N/A</v>
      </c>
      <c r="K363" s="9"/>
    </row>
    <row r="364" ht="12.75" customHeight="1">
      <c r="A364" s="24" t="s">
        <v>1511</v>
      </c>
      <c r="B364" s="32" t="s">
        <v>1487</v>
      </c>
      <c r="C364" s="30" t="s">
        <v>99</v>
      </c>
      <c r="D364" s="12"/>
      <c r="E364" s="21" t="s">
        <v>1512</v>
      </c>
      <c r="F364" s="25" t="s">
        <v>1355</v>
      </c>
      <c r="G364" s="26"/>
      <c r="H364" s="28" t="s">
        <v>311</v>
      </c>
      <c r="I364" s="14" t="s">
        <v>312</v>
      </c>
      <c r="J364" s="23" t="e">
        <v>#N/A</v>
      </c>
      <c r="K364" s="9"/>
    </row>
    <row r="365" ht="12.75" customHeight="1">
      <c r="A365" s="24" t="s">
        <v>1513</v>
      </c>
      <c r="B365" s="32" t="s">
        <v>1514</v>
      </c>
      <c r="C365" s="30" t="s">
        <v>1070</v>
      </c>
      <c r="D365" s="12"/>
      <c r="E365" s="21" t="s">
        <v>1515</v>
      </c>
      <c r="F365" s="25" t="s">
        <v>1516</v>
      </c>
      <c r="G365" s="26"/>
      <c r="H365" s="28" t="s">
        <v>1517</v>
      </c>
      <c r="I365" s="14" t="s">
        <v>1518</v>
      </c>
      <c r="J365" s="23" t="s">
        <v>16</v>
      </c>
      <c r="K365" s="9"/>
    </row>
    <row r="366" ht="12.75" customHeight="1">
      <c r="A366" s="24" t="s">
        <v>1519</v>
      </c>
      <c r="B366" s="32" t="s">
        <v>1514</v>
      </c>
      <c r="C366" s="30" t="s">
        <v>757</v>
      </c>
      <c r="D366" s="12"/>
      <c r="E366" s="21" t="s">
        <v>1520</v>
      </c>
      <c r="F366" s="25" t="s">
        <v>1521</v>
      </c>
      <c r="G366" s="26"/>
      <c r="H366" s="28" t="s">
        <v>1522</v>
      </c>
      <c r="I366" s="14" t="s">
        <v>1523</v>
      </c>
      <c r="J366" s="23" t="e">
        <v>#N/A</v>
      </c>
      <c r="K366" s="9"/>
    </row>
    <row r="367" ht="12.75" customHeight="1">
      <c r="A367" s="24" t="s">
        <v>1524</v>
      </c>
      <c r="B367" s="32" t="s">
        <v>1514</v>
      </c>
      <c r="C367" s="30" t="s">
        <v>757</v>
      </c>
      <c r="D367" s="12"/>
      <c r="E367" s="21" t="s">
        <v>1525</v>
      </c>
      <c r="F367" s="25" t="s">
        <v>1526</v>
      </c>
      <c r="G367" s="26"/>
      <c r="H367" s="28" t="s">
        <v>1527</v>
      </c>
      <c r="I367" s="14" t="s">
        <v>1528</v>
      </c>
      <c r="J367" s="23" t="e">
        <v>#N/A</v>
      </c>
      <c r="K367" s="9"/>
    </row>
    <row r="368" ht="12.75" customHeight="1">
      <c r="A368" s="24" t="s">
        <v>1529</v>
      </c>
      <c r="B368" s="32" t="s">
        <v>1530</v>
      </c>
      <c r="C368" s="30" t="s">
        <v>184</v>
      </c>
      <c r="D368" s="12"/>
      <c r="E368" s="21" t="s">
        <v>1531</v>
      </c>
      <c r="F368" s="25" t="s">
        <v>1532</v>
      </c>
      <c r="G368" s="26"/>
      <c r="H368" s="28" t="s">
        <v>1533</v>
      </c>
      <c r="I368" s="14" t="s">
        <v>1534</v>
      </c>
      <c r="J368" s="23" t="e">
        <v>#N/A</v>
      </c>
      <c r="K368" s="9"/>
    </row>
    <row r="369" ht="12.75" customHeight="1">
      <c r="A369" s="24" t="s">
        <v>1535</v>
      </c>
      <c r="B369" s="32" t="s">
        <v>1536</v>
      </c>
      <c r="C369" s="30" t="s">
        <v>757</v>
      </c>
      <c r="D369" s="12"/>
      <c r="E369" s="21" t="s">
        <v>1537</v>
      </c>
      <c r="F369" s="25" t="s">
        <v>1538</v>
      </c>
      <c r="G369" s="26"/>
      <c r="H369" s="28">
        <v>752.4</v>
      </c>
      <c r="I369" s="14" t="s">
        <v>1539</v>
      </c>
      <c r="J369" s="23" t="e">
        <v>#N/A</v>
      </c>
      <c r="K369" s="9"/>
    </row>
    <row r="370" ht="12.75" customHeight="1">
      <c r="A370" s="24" t="s">
        <v>1540</v>
      </c>
      <c r="B370" s="32" t="s">
        <v>1541</v>
      </c>
      <c r="C370" s="30" t="s">
        <v>1542</v>
      </c>
      <c r="D370" s="12"/>
      <c r="E370" s="21" t="s">
        <v>1543</v>
      </c>
      <c r="F370" s="25" t="s">
        <v>1544</v>
      </c>
      <c r="G370" s="26"/>
      <c r="H370" s="28" t="s">
        <v>1545</v>
      </c>
      <c r="I370" s="14" t="s">
        <v>1546</v>
      </c>
      <c r="J370" s="23" t="e">
        <v>#N/A</v>
      </c>
      <c r="K370" s="9"/>
    </row>
    <row r="371" ht="12.75" customHeight="1">
      <c r="A371" s="24" t="s">
        <v>1547</v>
      </c>
      <c r="B371" s="32" t="s">
        <v>1541</v>
      </c>
      <c r="C371" s="30" t="s">
        <v>184</v>
      </c>
      <c r="D371" s="12"/>
      <c r="E371" s="21" t="s">
        <v>1548</v>
      </c>
      <c r="F371" s="25" t="s">
        <v>1549</v>
      </c>
      <c r="G371" s="26"/>
      <c r="H371" s="28" t="s">
        <v>1550</v>
      </c>
      <c r="I371" s="14" t="s">
        <v>1551</v>
      </c>
      <c r="J371" s="23" t="e">
        <v>#N/A</v>
      </c>
      <c r="K371" s="9"/>
    </row>
    <row r="372" ht="12.75" customHeight="1">
      <c r="A372" s="24" t="s">
        <v>1552</v>
      </c>
      <c r="B372" s="32" t="s">
        <v>1553</v>
      </c>
      <c r="C372" s="30" t="s">
        <v>978</v>
      </c>
      <c r="D372" s="12"/>
      <c r="E372" s="21" t="s">
        <v>1554</v>
      </c>
      <c r="F372" s="25" t="s">
        <v>1555</v>
      </c>
      <c r="G372" s="26"/>
      <c r="H372" s="28" t="s">
        <v>1556</v>
      </c>
      <c r="I372" s="14" t="s">
        <v>1557</v>
      </c>
      <c r="J372" s="23" t="s">
        <v>16</v>
      </c>
      <c r="K372" s="9"/>
    </row>
    <row r="373" ht="12.75" customHeight="1">
      <c r="A373" s="24" t="s">
        <v>1558</v>
      </c>
      <c r="B373" s="32" t="s">
        <v>1530</v>
      </c>
      <c r="C373" s="30" t="s">
        <v>1559</v>
      </c>
      <c r="D373" s="12"/>
      <c r="E373" s="21" t="s">
        <v>1560</v>
      </c>
      <c r="F373" s="25" t="s">
        <v>1561</v>
      </c>
      <c r="G373" s="26"/>
      <c r="H373" s="28" t="s">
        <v>938</v>
      </c>
      <c r="I373" s="14" t="s">
        <v>939</v>
      </c>
      <c r="J373" s="23" t="e">
        <v>#N/A</v>
      </c>
      <c r="K373" s="9"/>
    </row>
    <row r="374" ht="12.75" customHeight="1">
      <c r="A374" s="24" t="s">
        <v>1562</v>
      </c>
      <c r="B374" s="32" t="s">
        <v>1530</v>
      </c>
      <c r="C374" s="30" t="s">
        <v>1563</v>
      </c>
      <c r="D374" s="12"/>
      <c r="E374" s="21" t="s">
        <v>783</v>
      </c>
      <c r="F374" s="25" t="s">
        <v>1564</v>
      </c>
      <c r="G374" s="26"/>
      <c r="H374" s="28" t="s">
        <v>1565</v>
      </c>
      <c r="I374" s="14" t="s">
        <v>1566</v>
      </c>
      <c r="J374" s="23" t="e">
        <v>#N/A</v>
      </c>
      <c r="K374" s="9"/>
    </row>
    <row r="375" ht="12.75" customHeight="1">
      <c r="A375" s="24" t="s">
        <v>1567</v>
      </c>
      <c r="B375" s="32" t="s">
        <v>1530</v>
      </c>
      <c r="C375" s="30" t="s">
        <v>1563</v>
      </c>
      <c r="D375" s="12"/>
      <c r="E375" s="21" t="s">
        <v>1568</v>
      </c>
      <c r="F375" s="25" t="s">
        <v>1569</v>
      </c>
      <c r="G375" s="26"/>
      <c r="H375" s="28" t="s">
        <v>1570</v>
      </c>
      <c r="I375" s="14" t="s">
        <v>1571</v>
      </c>
      <c r="J375" s="23" t="e">
        <v>#N/A</v>
      </c>
      <c r="K375" s="9"/>
    </row>
    <row r="376" ht="12.75" customHeight="1">
      <c r="A376" s="24" t="s">
        <v>1572</v>
      </c>
      <c r="B376" s="32" t="s">
        <v>1530</v>
      </c>
      <c r="C376" s="30" t="s">
        <v>1573</v>
      </c>
      <c r="D376" s="12"/>
      <c r="E376" s="21" t="s">
        <v>1574</v>
      </c>
      <c r="F376" s="25" t="s">
        <v>1575</v>
      </c>
      <c r="G376" s="26"/>
      <c r="H376" s="28" t="s">
        <v>1576</v>
      </c>
      <c r="I376" s="14" t="s">
        <v>1577</v>
      </c>
      <c r="J376" s="23" t="e">
        <v>#N/A</v>
      </c>
      <c r="K376" s="9"/>
    </row>
    <row r="377" ht="12.75" customHeight="1">
      <c r="A377" s="24" t="s">
        <v>1578</v>
      </c>
      <c r="B377" s="32" t="s">
        <v>1530</v>
      </c>
      <c r="C377" s="30" t="s">
        <v>1579</v>
      </c>
      <c r="D377" s="12"/>
      <c r="E377" s="21" t="s">
        <v>1580</v>
      </c>
      <c r="F377" s="25" t="s">
        <v>1436</v>
      </c>
      <c r="G377" s="26"/>
      <c r="H377" s="28" t="s">
        <v>1437</v>
      </c>
      <c r="I377" s="14" t="s">
        <v>1438</v>
      </c>
      <c r="J377" s="23" t="e">
        <v>#N/A</v>
      </c>
      <c r="K377" s="9"/>
    </row>
    <row r="378" ht="12.75" customHeight="1">
      <c r="A378" s="24" t="s">
        <v>1581</v>
      </c>
      <c r="B378" s="32" t="s">
        <v>1582</v>
      </c>
      <c r="C378" s="30" t="s">
        <v>1583</v>
      </c>
      <c r="D378" s="12"/>
      <c r="E378" s="21" t="s">
        <v>1584</v>
      </c>
      <c r="F378" s="25" t="s">
        <v>1585</v>
      </c>
      <c r="G378" s="26"/>
      <c r="H378" s="28" t="s">
        <v>1586</v>
      </c>
      <c r="I378" s="14" t="s">
        <v>1587</v>
      </c>
      <c r="J378" s="23" t="e">
        <v>#N/A</v>
      </c>
      <c r="K378" s="9"/>
    </row>
    <row r="379" ht="12.75" customHeight="1">
      <c r="A379" s="24" t="s">
        <v>1588</v>
      </c>
      <c r="B379" s="32" t="s">
        <v>1582</v>
      </c>
      <c r="C379" s="30" t="s">
        <v>1337</v>
      </c>
      <c r="D379" s="12"/>
      <c r="E379" s="21" t="s">
        <v>1589</v>
      </c>
      <c r="F379" s="25" t="s">
        <v>1590</v>
      </c>
      <c r="G379" s="26"/>
      <c r="H379" s="28" t="s">
        <v>1591</v>
      </c>
      <c r="I379" s="14" t="s">
        <v>1592</v>
      </c>
      <c r="J379" s="23" t="e">
        <v>#N/A</v>
      </c>
      <c r="K379" s="9"/>
    </row>
    <row r="380" ht="12.75" customHeight="1">
      <c r="A380" s="24" t="s">
        <v>1593</v>
      </c>
      <c r="B380" s="32" t="s">
        <v>1594</v>
      </c>
      <c r="C380" s="30" t="s">
        <v>94</v>
      </c>
      <c r="D380" s="12"/>
      <c r="E380" s="21" t="s">
        <v>1595</v>
      </c>
      <c r="F380" s="25" t="s">
        <v>1596</v>
      </c>
      <c r="G380" s="26"/>
      <c r="H380" s="28" t="s">
        <v>1597</v>
      </c>
      <c r="I380" s="14" t="s">
        <v>1598</v>
      </c>
      <c r="J380" s="23" t="e">
        <v>#N/A</v>
      </c>
      <c r="K380" s="9"/>
    </row>
    <row r="381" ht="12.75" customHeight="1">
      <c r="A381" s="24" t="s">
        <v>1599</v>
      </c>
      <c r="B381" s="32" t="s">
        <v>1594</v>
      </c>
      <c r="C381" s="30" t="s">
        <v>1600</v>
      </c>
      <c r="D381" s="12"/>
      <c r="E381" s="21" t="s">
        <v>1601</v>
      </c>
      <c r="F381" s="25" t="s">
        <v>1602</v>
      </c>
      <c r="G381" s="26"/>
      <c r="H381" s="28" t="s">
        <v>1603</v>
      </c>
      <c r="I381" s="14" t="s">
        <v>1604</v>
      </c>
      <c r="J381" s="23" t="e">
        <v>#N/A</v>
      </c>
      <c r="K381" s="9"/>
    </row>
    <row r="382" ht="12.75" customHeight="1">
      <c r="A382" s="24" t="s">
        <v>1605</v>
      </c>
      <c r="B382" s="32" t="s">
        <v>1594</v>
      </c>
      <c r="C382" s="30" t="s">
        <v>1196</v>
      </c>
      <c r="D382" s="12"/>
      <c r="E382" s="21" t="s">
        <v>1606</v>
      </c>
      <c r="F382" s="25" t="s">
        <v>1607</v>
      </c>
      <c r="G382" s="26"/>
      <c r="H382" s="28" t="s">
        <v>1608</v>
      </c>
      <c r="I382" s="14" t="s">
        <v>1609</v>
      </c>
      <c r="J382" s="23" t="e">
        <v>#N/A</v>
      </c>
      <c r="K382" s="9"/>
    </row>
    <row r="383" ht="12.75" customHeight="1">
      <c r="A383" s="24" t="s">
        <v>1610</v>
      </c>
      <c r="B383" s="32" t="s">
        <v>1594</v>
      </c>
      <c r="C383" s="30" t="s">
        <v>33</v>
      </c>
      <c r="D383" s="12"/>
      <c r="E383" s="21" t="s">
        <v>1611</v>
      </c>
      <c r="F383" s="25" t="s">
        <v>1612</v>
      </c>
      <c r="G383" s="26"/>
      <c r="H383" s="28" t="s">
        <v>1613</v>
      </c>
      <c r="I383" s="14" t="s">
        <v>1614</v>
      </c>
      <c r="J383" s="23" t="e">
        <v>#N/A</v>
      </c>
      <c r="K383" s="9"/>
    </row>
    <row r="384" ht="12.75" customHeight="1">
      <c r="A384" s="24" t="s">
        <v>1615</v>
      </c>
      <c r="B384" s="32" t="s">
        <v>1594</v>
      </c>
      <c r="C384" s="20" t="s">
        <v>33</v>
      </c>
      <c r="D384" s="12"/>
      <c r="E384" s="21" t="s">
        <v>1616</v>
      </c>
      <c r="F384" s="25" t="s">
        <v>1617</v>
      </c>
      <c r="G384" s="26"/>
      <c r="H384" s="28" t="s">
        <v>1618</v>
      </c>
      <c r="I384" s="14" t="s">
        <v>1619</v>
      </c>
      <c r="J384" s="23" t="e">
        <v>#N/A</v>
      </c>
      <c r="K384" s="9"/>
    </row>
    <row r="385" ht="12.75" customHeight="1">
      <c r="A385" s="24" t="s">
        <v>1620</v>
      </c>
      <c r="B385" s="32" t="s">
        <v>1621</v>
      </c>
      <c r="C385" s="20" t="s">
        <v>1337</v>
      </c>
      <c r="D385" s="12"/>
      <c r="E385" s="21" t="s">
        <v>1622</v>
      </c>
      <c r="F385" s="25" t="s">
        <v>1623</v>
      </c>
      <c r="G385" s="26"/>
      <c r="H385" s="28" t="s">
        <v>1624</v>
      </c>
      <c r="I385" s="14" t="s">
        <v>1625</v>
      </c>
      <c r="J385" s="23" t="e">
        <v>#N/A</v>
      </c>
      <c r="K385" s="9"/>
    </row>
    <row r="386" ht="12.75" customHeight="1">
      <c r="A386" s="24" t="s">
        <v>1626</v>
      </c>
      <c r="B386" s="32" t="s">
        <v>1621</v>
      </c>
      <c r="C386" s="20" t="s">
        <v>418</v>
      </c>
      <c r="D386" s="12"/>
      <c r="E386" s="21" t="s">
        <v>1627</v>
      </c>
      <c r="F386" s="25" t="s">
        <v>1628</v>
      </c>
      <c r="G386" s="26"/>
      <c r="H386" s="28" t="s">
        <v>1629</v>
      </c>
      <c r="I386" s="14" t="s">
        <v>1630</v>
      </c>
      <c r="J386" s="23" t="e">
        <v>#N/A</v>
      </c>
      <c r="K386" s="9"/>
    </row>
    <row r="387" ht="12.75" customHeight="1">
      <c r="A387" s="24" t="s">
        <v>1631</v>
      </c>
      <c r="B387" s="32" t="s">
        <v>1621</v>
      </c>
      <c r="C387" s="20" t="s">
        <v>418</v>
      </c>
      <c r="D387" s="12"/>
      <c r="E387" s="21" t="s">
        <v>1632</v>
      </c>
      <c r="F387" s="25" t="s">
        <v>1633</v>
      </c>
      <c r="G387" s="26"/>
      <c r="H387" s="28" t="s">
        <v>1634</v>
      </c>
      <c r="I387" s="14" t="s">
        <v>1635</v>
      </c>
      <c r="J387" s="23" t="e">
        <v>#N/A</v>
      </c>
      <c r="K387" s="9"/>
    </row>
    <row r="388" ht="12.75" customHeight="1">
      <c r="A388" s="24" t="s">
        <v>1636</v>
      </c>
      <c r="B388" s="32" t="s">
        <v>1621</v>
      </c>
      <c r="C388" s="20" t="s">
        <v>418</v>
      </c>
      <c r="D388" s="12"/>
      <c r="E388" s="21" t="s">
        <v>1637</v>
      </c>
      <c r="F388" s="25" t="s">
        <v>1638</v>
      </c>
      <c r="G388" s="26"/>
      <c r="H388" s="28" t="s">
        <v>1639</v>
      </c>
      <c r="I388" s="14" t="s">
        <v>1640</v>
      </c>
      <c r="J388" s="23" t="e">
        <v>#N/A</v>
      </c>
      <c r="K388" s="9"/>
    </row>
    <row r="389" ht="12.75" customHeight="1">
      <c r="A389" s="24" t="s">
        <v>1641</v>
      </c>
      <c r="B389" s="32" t="s">
        <v>1621</v>
      </c>
      <c r="C389" s="20" t="s">
        <v>418</v>
      </c>
      <c r="D389" s="12"/>
      <c r="E389" s="21" t="s">
        <v>1642</v>
      </c>
      <c r="F389" s="25" t="s">
        <v>1643</v>
      </c>
      <c r="G389" s="26"/>
      <c r="H389" s="28" t="s">
        <v>1644</v>
      </c>
      <c r="I389" s="14" t="s">
        <v>1645</v>
      </c>
      <c r="J389" s="23" t="e">
        <v>#N/A</v>
      </c>
      <c r="K389" s="9"/>
    </row>
    <row r="390" ht="12.75" customHeight="1">
      <c r="A390" s="24" t="s">
        <v>1646</v>
      </c>
      <c r="B390" s="32" t="s">
        <v>1621</v>
      </c>
      <c r="C390" s="20" t="s">
        <v>418</v>
      </c>
      <c r="D390" s="12"/>
      <c r="E390" s="21" t="s">
        <v>1647</v>
      </c>
      <c r="F390" s="25" t="s">
        <v>1648</v>
      </c>
      <c r="G390" s="26"/>
      <c r="H390" s="28" t="s">
        <v>1649</v>
      </c>
      <c r="I390" s="14" t="s">
        <v>1650</v>
      </c>
      <c r="J390" s="23" t="e">
        <v>#N/A</v>
      </c>
      <c r="K390" s="9"/>
    </row>
    <row r="391" ht="12.75" customHeight="1">
      <c r="A391" s="24" t="s">
        <v>1651</v>
      </c>
      <c r="B391" s="32" t="s">
        <v>1621</v>
      </c>
      <c r="C391" s="20" t="s">
        <v>1652</v>
      </c>
      <c r="D391" s="12"/>
      <c r="E391" s="21" t="s">
        <v>1653</v>
      </c>
      <c r="F391" s="25" t="s">
        <v>1654</v>
      </c>
      <c r="G391" s="26"/>
      <c r="H391" s="28" t="s">
        <v>1655</v>
      </c>
      <c r="I391" s="14" t="s">
        <v>1656</v>
      </c>
      <c r="J391" s="23" t="e">
        <v>#N/A</v>
      </c>
      <c r="K391" s="9"/>
    </row>
    <row r="392" ht="12.75" customHeight="1">
      <c r="A392" s="24" t="s">
        <v>1657</v>
      </c>
      <c r="B392" s="32" t="s">
        <v>1621</v>
      </c>
      <c r="C392" s="20" t="s">
        <v>1583</v>
      </c>
      <c r="D392" s="12"/>
      <c r="E392" s="21" t="s">
        <v>1658</v>
      </c>
      <c r="F392" s="25" t="s">
        <v>1659</v>
      </c>
      <c r="G392" s="26"/>
      <c r="H392" s="28" t="s">
        <v>1660</v>
      </c>
      <c r="I392" s="14" t="s">
        <v>1661</v>
      </c>
      <c r="J392" s="23" t="e">
        <v>#N/A</v>
      </c>
      <c r="K392" s="9"/>
    </row>
    <row r="393" ht="12.75" customHeight="1">
      <c r="A393" s="24" t="s">
        <v>1662</v>
      </c>
      <c r="B393" s="32" t="s">
        <v>1621</v>
      </c>
      <c r="C393" s="20" t="s">
        <v>834</v>
      </c>
      <c r="D393" s="12"/>
      <c r="E393" s="21" t="s">
        <v>1663</v>
      </c>
      <c r="F393" s="25" t="s">
        <v>1664</v>
      </c>
      <c r="G393" s="26"/>
      <c r="H393" s="28" t="s">
        <v>1665</v>
      </c>
      <c r="I393" s="14" t="s">
        <v>1666</v>
      </c>
      <c r="J393" s="23" t="e">
        <v>#N/A</v>
      </c>
      <c r="K393" s="9"/>
    </row>
    <row r="394" ht="12.75" customHeight="1">
      <c r="A394" s="24" t="s">
        <v>1667</v>
      </c>
      <c r="B394" s="32" t="s">
        <v>1621</v>
      </c>
      <c r="C394" s="20" t="s">
        <v>1668</v>
      </c>
      <c r="D394" s="12"/>
      <c r="E394" s="21" t="s">
        <v>1669</v>
      </c>
      <c r="F394" s="25" t="s">
        <v>1670</v>
      </c>
      <c r="G394" s="26"/>
      <c r="H394" s="28" t="s">
        <v>1671</v>
      </c>
      <c r="I394" s="14" t="s">
        <v>1672</v>
      </c>
      <c r="J394" s="23" t="e">
        <v>#N/A</v>
      </c>
      <c r="K394" s="9"/>
    </row>
    <row r="395" ht="12.75" customHeight="1">
      <c r="A395" s="24" t="s">
        <v>1673</v>
      </c>
      <c r="B395" s="32" t="s">
        <v>1621</v>
      </c>
      <c r="C395" s="20" t="s">
        <v>708</v>
      </c>
      <c r="D395" s="12"/>
      <c r="E395" s="21" t="s">
        <v>1674</v>
      </c>
      <c r="F395" s="25" t="s">
        <v>1675</v>
      </c>
      <c r="G395" s="26"/>
      <c r="H395" s="28" t="s">
        <v>1676</v>
      </c>
      <c r="I395" s="14" t="s">
        <v>1677</v>
      </c>
      <c r="J395" s="23" t="e">
        <v>#N/A</v>
      </c>
      <c r="K395" s="9"/>
    </row>
    <row r="396" ht="12.75" customHeight="1">
      <c r="A396" s="24" t="s">
        <v>1678</v>
      </c>
      <c r="B396" s="32" t="s">
        <v>1621</v>
      </c>
      <c r="C396" s="20" t="s">
        <v>1679</v>
      </c>
      <c r="D396" s="12"/>
      <c r="E396" s="21" t="s">
        <v>1680</v>
      </c>
      <c r="F396" s="25" t="s">
        <v>1681</v>
      </c>
      <c r="G396" s="26"/>
      <c r="H396" s="28" t="s">
        <v>1682</v>
      </c>
      <c r="I396" s="14" t="s">
        <v>1683</v>
      </c>
      <c r="J396" s="23" t="e">
        <v>#N/A</v>
      </c>
      <c r="K396" s="9"/>
    </row>
    <row r="397" ht="12.75" customHeight="1">
      <c r="A397" s="24" t="s">
        <v>1684</v>
      </c>
      <c r="B397" s="32" t="s">
        <v>1621</v>
      </c>
      <c r="C397" s="20" t="s">
        <v>217</v>
      </c>
      <c r="D397" s="12"/>
      <c r="E397" s="21" t="s">
        <v>1685</v>
      </c>
      <c r="F397" s="25" t="s">
        <v>1164</v>
      </c>
      <c r="G397" s="26"/>
      <c r="H397" s="28" t="s">
        <v>205</v>
      </c>
      <c r="I397" s="14" t="s">
        <v>206</v>
      </c>
      <c r="J397" s="23" t="e">
        <v>#N/A</v>
      </c>
      <c r="K397" s="9"/>
    </row>
    <row r="398" ht="12.75" customHeight="1">
      <c r="A398" s="24" t="s">
        <v>1686</v>
      </c>
      <c r="B398" s="32" t="s">
        <v>1621</v>
      </c>
      <c r="C398" s="33"/>
      <c r="D398" s="12"/>
      <c r="E398" s="21" t="s">
        <v>1687</v>
      </c>
      <c r="F398" s="25" t="s">
        <v>1688</v>
      </c>
      <c r="G398" s="26"/>
      <c r="H398" s="28" t="s">
        <v>1689</v>
      </c>
      <c r="I398" s="14" t="s">
        <v>1690</v>
      </c>
      <c r="J398" s="23" t="e">
        <v>#N/A</v>
      </c>
      <c r="K398" s="9"/>
    </row>
    <row r="399" ht="12.75" customHeight="1">
      <c r="A399" s="24" t="s">
        <v>1691</v>
      </c>
      <c r="B399" s="32" t="s">
        <v>1621</v>
      </c>
      <c r="C399" s="33"/>
      <c r="D399" s="12"/>
      <c r="E399" s="21" t="s">
        <v>1692</v>
      </c>
      <c r="F399" s="25" t="s">
        <v>1693</v>
      </c>
      <c r="G399" s="26"/>
      <c r="H399" s="28" t="s">
        <v>1694</v>
      </c>
      <c r="I399" s="14" t="s">
        <v>1695</v>
      </c>
      <c r="J399" s="34"/>
      <c r="K399" s="9"/>
    </row>
    <row r="400" ht="12.75" customHeight="1">
      <c r="A400" s="24" t="s">
        <v>1696</v>
      </c>
      <c r="B400" s="19" t="s">
        <v>1697</v>
      </c>
      <c r="C400" s="33"/>
      <c r="D400" s="12"/>
      <c r="E400" s="21" t="s">
        <v>1698</v>
      </c>
      <c r="F400" s="25" t="s">
        <v>1699</v>
      </c>
      <c r="G400" s="26"/>
      <c r="H400" s="28" t="s">
        <v>1700</v>
      </c>
      <c r="I400" s="14" t="s">
        <v>1701</v>
      </c>
      <c r="J400" s="34"/>
      <c r="K400" s="9"/>
    </row>
    <row r="401" ht="12.75" customHeight="1">
      <c r="A401" s="24" t="s">
        <v>1702</v>
      </c>
      <c r="B401" s="19" t="s">
        <v>1697</v>
      </c>
      <c r="C401" s="33"/>
      <c r="D401" s="12"/>
      <c r="E401" s="21" t="s">
        <v>1703</v>
      </c>
      <c r="F401" s="25" t="s">
        <v>1704</v>
      </c>
      <c r="G401" s="26"/>
      <c r="H401" s="28">
        <v>585.852</v>
      </c>
      <c r="I401" s="14" t="s">
        <v>1705</v>
      </c>
      <c r="J401" s="34"/>
      <c r="K401" s="9"/>
    </row>
    <row r="402" ht="12.75" customHeight="1">
      <c r="A402" s="24" t="s">
        <v>1706</v>
      </c>
      <c r="B402" s="27">
        <v>46054.0</v>
      </c>
      <c r="C402" s="20" t="s">
        <v>614</v>
      </c>
      <c r="D402" s="12"/>
      <c r="E402" s="21" t="s">
        <v>1707</v>
      </c>
      <c r="F402" s="25" t="s">
        <v>1708</v>
      </c>
      <c r="G402" s="26"/>
      <c r="H402" s="28" t="s">
        <v>1709</v>
      </c>
      <c r="I402" s="14" t="s">
        <v>1710</v>
      </c>
      <c r="J402" s="34"/>
      <c r="K402" s="9"/>
    </row>
    <row r="403" ht="12.75" customHeight="1">
      <c r="A403" s="24" t="s">
        <v>1711</v>
      </c>
      <c r="B403" s="27">
        <v>46054.0</v>
      </c>
      <c r="C403" s="20" t="s">
        <v>217</v>
      </c>
      <c r="D403" s="12"/>
      <c r="E403" s="21" t="s">
        <v>1712</v>
      </c>
      <c r="F403" s="25" t="s">
        <v>1713</v>
      </c>
      <c r="G403" s="26"/>
      <c r="H403" s="28" t="s">
        <v>1714</v>
      </c>
      <c r="I403" s="14" t="s">
        <v>1715</v>
      </c>
      <c r="J403" s="34"/>
      <c r="K403" s="9"/>
    </row>
    <row r="404" ht="12.75" customHeight="1">
      <c r="A404" s="24" t="s">
        <v>1716</v>
      </c>
      <c r="B404" s="27">
        <v>46054.0</v>
      </c>
      <c r="C404" s="20" t="s">
        <v>1717</v>
      </c>
      <c r="D404" s="12"/>
      <c r="E404" s="21" t="s">
        <v>1718</v>
      </c>
      <c r="F404" s="25" t="s">
        <v>1719</v>
      </c>
      <c r="G404" s="26"/>
      <c r="H404" s="28" t="s">
        <v>1720</v>
      </c>
      <c r="I404" s="14" t="s">
        <v>1721</v>
      </c>
      <c r="J404" s="34"/>
      <c r="K404" s="9"/>
    </row>
    <row r="405" ht="12.75" customHeight="1">
      <c r="A405" s="24" t="s">
        <v>1722</v>
      </c>
      <c r="B405" s="27">
        <v>46357.0</v>
      </c>
      <c r="C405" s="20" t="s">
        <v>33</v>
      </c>
      <c r="D405" s="12"/>
      <c r="E405" s="21" t="s">
        <v>1723</v>
      </c>
      <c r="F405" s="25" t="s">
        <v>1724</v>
      </c>
      <c r="G405" s="26"/>
      <c r="H405" s="28" t="s">
        <v>1725</v>
      </c>
      <c r="I405" s="14" t="s">
        <v>1726</v>
      </c>
      <c r="J405" s="34"/>
      <c r="K405" s="9"/>
    </row>
    <row r="406" ht="12.75" customHeight="1">
      <c r="A406" s="35"/>
      <c r="B406" s="36"/>
      <c r="C406" s="37"/>
      <c r="D406" s="38"/>
      <c r="E406" s="39"/>
      <c r="F406" s="40"/>
      <c r="G406" s="38"/>
      <c r="H406" s="40"/>
      <c r="I406" s="40"/>
      <c r="J406" s="41"/>
    </row>
    <row r="407" ht="12.75" customHeight="1">
      <c r="A407" s="35"/>
      <c r="B407" s="36"/>
      <c r="C407" s="37"/>
      <c r="D407" s="38"/>
      <c r="E407" s="39"/>
      <c r="F407" s="40"/>
      <c r="G407" s="38"/>
      <c r="H407" s="40"/>
      <c r="I407" s="40"/>
      <c r="J407" s="41"/>
    </row>
    <row r="408" ht="12.75" customHeight="1">
      <c r="A408" s="35"/>
      <c r="B408" s="36"/>
      <c r="C408" s="37"/>
      <c r="D408" s="38"/>
      <c r="E408" s="39"/>
      <c r="F408" s="40"/>
      <c r="G408" s="38"/>
      <c r="H408" s="40"/>
      <c r="I408" s="40"/>
      <c r="J408" s="41"/>
    </row>
    <row r="409" ht="12.75" customHeight="1">
      <c r="A409" s="35"/>
      <c r="B409" s="36"/>
      <c r="C409" s="37"/>
      <c r="D409" s="38"/>
      <c r="E409" s="39"/>
      <c r="F409" s="40"/>
      <c r="G409" s="38"/>
      <c r="H409" s="40"/>
      <c r="I409" s="40"/>
      <c r="J409" s="41"/>
    </row>
    <row r="410" ht="12.75" customHeight="1">
      <c r="A410" s="35"/>
      <c r="B410" s="36"/>
      <c r="C410" s="37"/>
      <c r="D410" s="38"/>
      <c r="E410" s="39"/>
      <c r="F410" s="40"/>
      <c r="G410" s="38"/>
      <c r="H410" s="40"/>
      <c r="I410" s="40"/>
      <c r="J410" s="41"/>
    </row>
    <row r="411" ht="12.75" customHeight="1">
      <c r="A411" s="35"/>
      <c r="B411" s="36"/>
      <c r="C411" s="37"/>
      <c r="D411" s="38"/>
      <c r="E411" s="39"/>
      <c r="F411" s="40"/>
      <c r="G411" s="38"/>
      <c r="H411" s="40"/>
      <c r="I411" s="40"/>
      <c r="J411" s="41"/>
    </row>
    <row r="412" ht="12.75" customHeight="1">
      <c r="A412" s="35"/>
      <c r="B412" s="36"/>
      <c r="C412" s="37"/>
      <c r="D412" s="38"/>
      <c r="E412" s="39"/>
      <c r="F412" s="40"/>
      <c r="G412" s="38"/>
      <c r="H412" s="40"/>
      <c r="I412" s="40"/>
      <c r="J412" s="41"/>
    </row>
    <row r="413" ht="12.75" customHeight="1">
      <c r="A413" s="35"/>
      <c r="B413" s="36"/>
      <c r="C413" s="37"/>
      <c r="D413" s="38"/>
      <c r="E413" s="39"/>
      <c r="F413" s="40"/>
      <c r="G413" s="38"/>
      <c r="H413" s="40"/>
      <c r="I413" s="40"/>
      <c r="J413" s="41"/>
    </row>
    <row r="414" ht="12.75" customHeight="1">
      <c r="A414" s="35"/>
      <c r="B414" s="36"/>
      <c r="C414" s="37"/>
      <c r="D414" s="38"/>
      <c r="E414" s="39"/>
      <c r="F414" s="40"/>
      <c r="G414" s="38"/>
      <c r="H414" s="40"/>
      <c r="I414" s="40"/>
      <c r="J414" s="41"/>
    </row>
    <row r="415" ht="12.75" customHeight="1">
      <c r="A415" s="35"/>
      <c r="B415" s="36"/>
      <c r="C415" s="37"/>
      <c r="D415" s="38"/>
      <c r="E415" s="39"/>
      <c r="F415" s="40"/>
      <c r="G415" s="38"/>
      <c r="H415" s="40"/>
      <c r="I415" s="40"/>
      <c r="J415" s="41"/>
    </row>
    <row r="416" ht="12.75" customHeight="1">
      <c r="A416" s="35"/>
      <c r="B416" s="36"/>
      <c r="C416" s="37"/>
      <c r="D416" s="38"/>
      <c r="E416" s="39"/>
      <c r="F416" s="40"/>
      <c r="G416" s="38"/>
      <c r="H416" s="40"/>
      <c r="I416" s="40"/>
      <c r="J416" s="41"/>
    </row>
    <row r="417" ht="12.75" customHeight="1">
      <c r="A417" s="35"/>
      <c r="B417" s="36"/>
      <c r="C417" s="37"/>
      <c r="D417" s="38"/>
      <c r="E417" s="39"/>
      <c r="F417" s="40"/>
      <c r="G417" s="38"/>
      <c r="H417" s="40"/>
      <c r="I417" s="40"/>
      <c r="J417" s="41"/>
    </row>
    <row r="418" ht="12.75" customHeight="1">
      <c r="A418" s="35"/>
      <c r="B418" s="36"/>
      <c r="C418" s="37"/>
      <c r="D418" s="38"/>
      <c r="E418" s="39"/>
      <c r="F418" s="40"/>
      <c r="G418" s="38"/>
      <c r="H418" s="40"/>
      <c r="I418" s="40"/>
      <c r="J418" s="41"/>
    </row>
    <row r="419" ht="12.75" customHeight="1">
      <c r="A419" s="35"/>
      <c r="B419" s="36"/>
      <c r="C419" s="37"/>
      <c r="D419" s="38"/>
      <c r="E419" s="39"/>
      <c r="F419" s="40"/>
      <c r="G419" s="38"/>
      <c r="H419" s="40"/>
      <c r="I419" s="40"/>
      <c r="J419" s="41"/>
    </row>
    <row r="420" ht="12.75" customHeight="1">
      <c r="A420" s="35"/>
      <c r="B420" s="36"/>
      <c r="C420" s="37"/>
      <c r="D420" s="38"/>
      <c r="E420" s="39"/>
      <c r="F420" s="40"/>
      <c r="G420" s="38"/>
      <c r="H420" s="40"/>
      <c r="I420" s="40"/>
      <c r="J420" s="41"/>
    </row>
    <row r="421" ht="12.75" customHeight="1">
      <c r="A421" s="35"/>
      <c r="B421" s="36"/>
      <c r="C421" s="37"/>
      <c r="D421" s="38"/>
      <c r="E421" s="39"/>
      <c r="F421" s="40"/>
      <c r="G421" s="38"/>
      <c r="H421" s="40"/>
      <c r="I421" s="40"/>
      <c r="J421" s="41"/>
    </row>
    <row r="422" ht="12.75" customHeight="1">
      <c r="A422" s="35"/>
      <c r="B422" s="36"/>
      <c r="C422" s="37"/>
      <c r="D422" s="38"/>
      <c r="E422" s="39"/>
      <c r="F422" s="40"/>
      <c r="G422" s="38"/>
      <c r="H422" s="40"/>
      <c r="I422" s="40"/>
      <c r="J422" s="41"/>
    </row>
    <row r="423" ht="12.75" customHeight="1">
      <c r="A423" s="35"/>
      <c r="B423" s="36"/>
      <c r="C423" s="37"/>
      <c r="D423" s="38"/>
      <c r="E423" s="39"/>
      <c r="F423" s="40"/>
      <c r="G423" s="38"/>
      <c r="H423" s="40"/>
      <c r="I423" s="40"/>
      <c r="J423" s="41"/>
    </row>
    <row r="424" ht="12.75" customHeight="1">
      <c r="A424" s="35"/>
      <c r="B424" s="36"/>
      <c r="C424" s="37"/>
      <c r="D424" s="38"/>
      <c r="E424" s="39"/>
      <c r="F424" s="40"/>
      <c r="G424" s="38"/>
      <c r="H424" s="40"/>
      <c r="I424" s="40"/>
      <c r="J424" s="41"/>
    </row>
    <row r="425" ht="12.75" customHeight="1">
      <c r="A425" s="35"/>
      <c r="B425" s="36"/>
      <c r="C425" s="37"/>
      <c r="D425" s="38"/>
      <c r="E425" s="39"/>
      <c r="F425" s="40"/>
      <c r="G425" s="38"/>
      <c r="H425" s="40"/>
      <c r="I425" s="40"/>
      <c r="J425" s="41"/>
    </row>
    <row r="426" ht="12.75" customHeight="1">
      <c r="A426" s="35"/>
      <c r="B426" s="36"/>
      <c r="C426" s="37"/>
      <c r="D426" s="38"/>
      <c r="E426" s="39"/>
      <c r="F426" s="40"/>
      <c r="G426" s="38"/>
      <c r="H426" s="40"/>
      <c r="I426" s="40"/>
      <c r="J426" s="41"/>
    </row>
    <row r="427" ht="12.75" customHeight="1">
      <c r="A427" s="35"/>
      <c r="B427" s="36"/>
      <c r="C427" s="37"/>
      <c r="D427" s="38"/>
      <c r="E427" s="39"/>
      <c r="F427" s="40"/>
      <c r="G427" s="38"/>
      <c r="H427" s="40"/>
      <c r="I427" s="40"/>
      <c r="J427" s="41"/>
    </row>
    <row r="428" ht="12.75" customHeight="1">
      <c r="A428" s="35"/>
      <c r="B428" s="36"/>
      <c r="C428" s="37"/>
      <c r="D428" s="38"/>
      <c r="E428" s="39"/>
      <c r="F428" s="40"/>
      <c r="G428" s="38"/>
      <c r="H428" s="40"/>
      <c r="I428" s="40"/>
      <c r="J428" s="41"/>
    </row>
    <row r="429" ht="12.75" customHeight="1">
      <c r="A429" s="35"/>
      <c r="B429" s="36"/>
      <c r="C429" s="37"/>
      <c r="D429" s="38"/>
      <c r="E429" s="39"/>
      <c r="F429" s="40"/>
      <c r="G429" s="38"/>
      <c r="H429" s="40"/>
      <c r="I429" s="40"/>
      <c r="J429" s="41"/>
    </row>
    <row r="430" ht="12.75" customHeight="1">
      <c r="A430" s="35"/>
      <c r="B430" s="36"/>
      <c r="C430" s="37"/>
      <c r="D430" s="38"/>
      <c r="E430" s="39"/>
      <c r="F430" s="40"/>
      <c r="G430" s="38"/>
      <c r="H430" s="40"/>
      <c r="I430" s="40"/>
      <c r="J430" s="41"/>
    </row>
    <row r="431" ht="12.75" customHeight="1">
      <c r="A431" s="35"/>
      <c r="B431" s="36"/>
      <c r="C431" s="37"/>
      <c r="D431" s="38"/>
      <c r="E431" s="39"/>
      <c r="F431" s="40"/>
      <c r="G431" s="38"/>
      <c r="H431" s="40"/>
      <c r="I431" s="40"/>
      <c r="J431" s="41"/>
    </row>
    <row r="432" ht="12.75" customHeight="1">
      <c r="A432" s="35"/>
      <c r="B432" s="36"/>
      <c r="C432" s="37"/>
      <c r="D432" s="38"/>
      <c r="E432" s="39"/>
      <c r="F432" s="40"/>
      <c r="G432" s="38"/>
      <c r="H432" s="40"/>
      <c r="I432" s="40"/>
      <c r="J432" s="41"/>
    </row>
    <row r="433" ht="12.75" customHeight="1">
      <c r="A433" s="35"/>
      <c r="B433" s="36"/>
      <c r="C433" s="37"/>
      <c r="D433" s="38"/>
      <c r="E433" s="39"/>
      <c r="F433" s="40"/>
      <c r="G433" s="38"/>
      <c r="H433" s="40"/>
      <c r="I433" s="40"/>
      <c r="J433" s="41"/>
    </row>
    <row r="434" ht="12.75" customHeight="1">
      <c r="A434" s="35"/>
      <c r="B434" s="36"/>
      <c r="C434" s="37"/>
      <c r="D434" s="38"/>
      <c r="E434" s="39"/>
      <c r="F434" s="40"/>
      <c r="G434" s="38"/>
      <c r="H434" s="40"/>
      <c r="I434" s="40"/>
      <c r="J434" s="41"/>
    </row>
    <row r="435" ht="12.75" customHeight="1">
      <c r="A435" s="35"/>
      <c r="B435" s="36"/>
      <c r="C435" s="37"/>
      <c r="D435" s="38"/>
      <c r="E435" s="39"/>
      <c r="F435" s="40"/>
      <c r="G435" s="38"/>
      <c r="H435" s="40"/>
      <c r="I435" s="40"/>
      <c r="J435" s="41"/>
    </row>
    <row r="436" ht="12.75" customHeight="1">
      <c r="A436" s="35"/>
      <c r="B436" s="36"/>
      <c r="C436" s="37"/>
      <c r="D436" s="38"/>
      <c r="E436" s="39"/>
      <c r="F436" s="40"/>
      <c r="G436" s="38"/>
      <c r="H436" s="40"/>
      <c r="I436" s="40"/>
      <c r="J436" s="41"/>
    </row>
    <row r="437" ht="12.75" customHeight="1">
      <c r="A437" s="35"/>
      <c r="B437" s="36"/>
      <c r="C437" s="37"/>
      <c r="D437" s="38"/>
      <c r="E437" s="39"/>
      <c r="F437" s="40"/>
      <c r="G437" s="38"/>
      <c r="H437" s="40"/>
      <c r="I437" s="40"/>
      <c r="J437" s="41"/>
    </row>
    <row r="438" ht="12.75" customHeight="1">
      <c r="A438" s="35"/>
      <c r="B438" s="36"/>
      <c r="C438" s="37"/>
      <c r="D438" s="38"/>
      <c r="E438" s="39"/>
      <c r="F438" s="40"/>
      <c r="G438" s="38"/>
      <c r="H438" s="40"/>
      <c r="I438" s="40"/>
      <c r="J438" s="41"/>
    </row>
    <row r="439" ht="12.75" customHeight="1">
      <c r="A439" s="35"/>
      <c r="B439" s="36"/>
      <c r="C439" s="37"/>
      <c r="D439" s="38"/>
      <c r="E439" s="39"/>
      <c r="F439" s="40"/>
      <c r="G439" s="38"/>
      <c r="H439" s="40"/>
      <c r="I439" s="40"/>
      <c r="J439" s="41"/>
    </row>
    <row r="440" ht="12.75" customHeight="1">
      <c r="A440" s="35"/>
      <c r="B440" s="36"/>
      <c r="C440" s="37"/>
      <c r="D440" s="38"/>
      <c r="E440" s="39"/>
      <c r="F440" s="40"/>
      <c r="G440" s="38"/>
      <c r="H440" s="40"/>
      <c r="I440" s="40"/>
      <c r="J440" s="41"/>
    </row>
    <row r="441" ht="12.75" customHeight="1">
      <c r="A441" s="35"/>
      <c r="B441" s="36"/>
      <c r="C441" s="37"/>
      <c r="D441" s="38"/>
      <c r="E441" s="39"/>
      <c r="F441" s="40"/>
      <c r="G441" s="38"/>
      <c r="H441" s="40"/>
      <c r="I441" s="40"/>
      <c r="J441" s="41"/>
    </row>
    <row r="442" ht="12.75" customHeight="1">
      <c r="A442" s="35"/>
      <c r="B442" s="36"/>
      <c r="C442" s="37"/>
      <c r="D442" s="38"/>
      <c r="E442" s="39"/>
      <c r="F442" s="40"/>
      <c r="G442" s="38"/>
      <c r="H442" s="40"/>
      <c r="I442" s="40"/>
      <c r="J442" s="41"/>
    </row>
    <row r="443" ht="12.75" customHeight="1">
      <c r="A443" s="35"/>
      <c r="B443" s="36"/>
      <c r="C443" s="37"/>
      <c r="D443" s="38"/>
      <c r="E443" s="39"/>
      <c r="F443" s="40"/>
      <c r="G443" s="38"/>
      <c r="H443" s="40"/>
      <c r="I443" s="40"/>
      <c r="J443" s="41"/>
    </row>
    <row r="444" ht="12.75" customHeight="1">
      <c r="A444" s="35"/>
      <c r="B444" s="36"/>
      <c r="C444" s="37"/>
      <c r="D444" s="38"/>
      <c r="E444" s="39"/>
      <c r="F444" s="40"/>
      <c r="G444" s="38"/>
      <c r="H444" s="40"/>
      <c r="I444" s="40"/>
      <c r="J444" s="41"/>
    </row>
    <row r="445" ht="12.75" customHeight="1">
      <c r="A445" s="35"/>
      <c r="B445" s="36"/>
      <c r="C445" s="37"/>
      <c r="D445" s="38"/>
      <c r="E445" s="39"/>
      <c r="F445" s="40"/>
      <c r="G445" s="38"/>
      <c r="H445" s="40"/>
      <c r="I445" s="40"/>
      <c r="J445" s="41"/>
    </row>
    <row r="446" ht="12.75" customHeight="1">
      <c r="A446" s="35"/>
      <c r="B446" s="36"/>
      <c r="C446" s="37"/>
      <c r="D446" s="38"/>
      <c r="E446" s="39"/>
      <c r="F446" s="40"/>
      <c r="G446" s="38"/>
      <c r="H446" s="40"/>
      <c r="I446" s="40"/>
      <c r="J446" s="41"/>
    </row>
    <row r="447" ht="12.75" customHeight="1">
      <c r="A447" s="35"/>
      <c r="B447" s="36"/>
      <c r="C447" s="37"/>
      <c r="D447" s="38"/>
      <c r="E447" s="39"/>
      <c r="F447" s="40"/>
      <c r="G447" s="38"/>
      <c r="H447" s="40"/>
      <c r="I447" s="40"/>
      <c r="J447" s="41"/>
    </row>
    <row r="448" ht="12.75" customHeight="1">
      <c r="A448" s="35"/>
      <c r="B448" s="36"/>
      <c r="C448" s="37"/>
      <c r="D448" s="38"/>
      <c r="E448" s="39"/>
      <c r="F448" s="40"/>
      <c r="G448" s="38"/>
      <c r="H448" s="40"/>
      <c r="I448" s="40"/>
      <c r="J448" s="41"/>
    </row>
    <row r="449" ht="12.75" customHeight="1">
      <c r="A449" s="35"/>
      <c r="B449" s="36"/>
      <c r="C449" s="37"/>
      <c r="D449" s="38"/>
      <c r="E449" s="39"/>
      <c r="F449" s="40"/>
      <c r="G449" s="38"/>
      <c r="H449" s="40"/>
      <c r="I449" s="40"/>
      <c r="J449" s="41"/>
    </row>
    <row r="450" ht="12.75" customHeight="1">
      <c r="A450" s="35"/>
      <c r="B450" s="36"/>
      <c r="C450" s="37"/>
      <c r="D450" s="38"/>
      <c r="E450" s="39"/>
      <c r="F450" s="40"/>
      <c r="G450" s="38"/>
      <c r="H450" s="40"/>
      <c r="I450" s="40"/>
      <c r="J450" s="41"/>
    </row>
    <row r="451" ht="12.75" customHeight="1">
      <c r="A451" s="35"/>
      <c r="B451" s="36"/>
      <c r="C451" s="37"/>
      <c r="D451" s="38"/>
      <c r="E451" s="39"/>
      <c r="F451" s="40"/>
      <c r="G451" s="38"/>
      <c r="H451" s="40"/>
      <c r="I451" s="40"/>
      <c r="J451" s="41"/>
    </row>
    <row r="452" ht="12.75" customHeight="1">
      <c r="A452" s="35"/>
      <c r="B452" s="36"/>
      <c r="C452" s="37"/>
      <c r="D452" s="38"/>
      <c r="E452" s="39"/>
      <c r="F452" s="40"/>
      <c r="G452" s="38"/>
      <c r="H452" s="40"/>
      <c r="I452" s="40"/>
      <c r="J452" s="41"/>
    </row>
    <row r="453" ht="12.75" customHeight="1">
      <c r="A453" s="35"/>
      <c r="B453" s="36"/>
      <c r="C453" s="42"/>
      <c r="D453" s="38"/>
      <c r="E453" s="39"/>
      <c r="F453" s="40"/>
      <c r="G453" s="38"/>
      <c r="H453" s="40"/>
      <c r="I453" s="40"/>
      <c r="J453" s="41"/>
    </row>
    <row r="454" ht="12.75" customHeight="1">
      <c r="A454" s="35"/>
      <c r="B454" s="36"/>
      <c r="C454" s="42"/>
      <c r="D454" s="38"/>
      <c r="E454" s="39"/>
      <c r="F454" s="40"/>
      <c r="G454" s="38"/>
      <c r="H454" s="40">
        <v>0.0</v>
      </c>
      <c r="I454" s="40"/>
      <c r="J454" s="41"/>
    </row>
    <row r="455" ht="12.75" customHeight="1">
      <c r="A455" s="35"/>
      <c r="B455" s="36"/>
      <c r="C455" s="42"/>
      <c r="D455" s="38"/>
      <c r="E455" s="39"/>
      <c r="F455" s="40"/>
      <c r="G455" s="38"/>
      <c r="H455" s="40">
        <v>0.0</v>
      </c>
      <c r="I455" s="40"/>
      <c r="J455" s="41"/>
    </row>
    <row r="456" ht="12.75" customHeight="1">
      <c r="A456" s="35"/>
      <c r="B456" s="36"/>
      <c r="C456" s="42"/>
      <c r="D456" s="38"/>
      <c r="E456" s="39"/>
      <c r="F456" s="40"/>
      <c r="G456" s="38"/>
      <c r="H456" s="40"/>
      <c r="I456" s="40"/>
      <c r="J456" s="41"/>
    </row>
    <row r="457" ht="12.75" customHeight="1">
      <c r="A457" s="35"/>
      <c r="B457" s="36"/>
      <c r="C457" s="42"/>
      <c r="D457" s="38"/>
      <c r="E457" s="39"/>
      <c r="F457" s="40"/>
      <c r="G457" s="38"/>
      <c r="H457" s="40"/>
      <c r="I457" s="40"/>
      <c r="J457" s="41"/>
    </row>
    <row r="458" ht="12.75" customHeight="1">
      <c r="A458" s="35"/>
      <c r="B458" s="36"/>
      <c r="C458" s="42"/>
      <c r="D458" s="38"/>
      <c r="E458" s="39"/>
      <c r="F458" s="40"/>
      <c r="G458" s="38"/>
      <c r="H458" s="40"/>
      <c r="I458" s="40"/>
      <c r="J458" s="41"/>
    </row>
    <row r="459" ht="12.75" customHeight="1">
      <c r="A459" s="35"/>
      <c r="B459" s="36"/>
      <c r="C459" s="42"/>
      <c r="D459" s="38"/>
      <c r="E459" s="39"/>
      <c r="F459" s="40"/>
      <c r="G459" s="38"/>
      <c r="H459" s="40"/>
      <c r="I459" s="40"/>
      <c r="J459" s="41"/>
    </row>
    <row r="460" ht="12.75" customHeight="1">
      <c r="A460" s="35"/>
      <c r="B460" s="36"/>
      <c r="C460" s="42"/>
      <c r="D460" s="38"/>
      <c r="E460" s="39"/>
      <c r="F460" s="40"/>
      <c r="G460" s="38"/>
      <c r="H460" s="40"/>
      <c r="I460" s="40"/>
      <c r="J460" s="41"/>
    </row>
    <row r="461" ht="12.75" customHeight="1">
      <c r="A461" s="35"/>
      <c r="B461" s="36"/>
      <c r="C461" s="42"/>
      <c r="D461" s="38"/>
      <c r="E461" s="39"/>
      <c r="F461" s="40"/>
      <c r="G461" s="38"/>
      <c r="H461" s="40"/>
      <c r="I461" s="40"/>
      <c r="J461" s="41"/>
    </row>
    <row r="462" ht="12.75" customHeight="1">
      <c r="A462" s="35"/>
      <c r="B462" s="36"/>
      <c r="C462" s="42"/>
      <c r="D462" s="38"/>
      <c r="E462" s="39"/>
      <c r="F462" s="40"/>
      <c r="G462" s="38"/>
      <c r="H462" s="40"/>
      <c r="I462" s="40"/>
      <c r="J462" s="41"/>
    </row>
    <row r="463" ht="12.75" customHeight="1">
      <c r="A463" s="35"/>
      <c r="B463" s="36"/>
      <c r="C463" s="42"/>
      <c r="D463" s="38"/>
      <c r="E463" s="39"/>
      <c r="F463" s="40"/>
      <c r="G463" s="38"/>
      <c r="H463" s="40"/>
      <c r="I463" s="40"/>
      <c r="J463" s="41"/>
    </row>
    <row r="464" ht="12.75" customHeight="1">
      <c r="A464" s="35"/>
      <c r="B464" s="36"/>
      <c r="C464" s="42"/>
      <c r="D464" s="38"/>
      <c r="E464" s="39"/>
      <c r="F464" s="40"/>
      <c r="G464" s="38"/>
      <c r="H464" s="40"/>
      <c r="I464" s="40"/>
      <c r="J464" s="41"/>
    </row>
    <row r="465" ht="12.75" customHeight="1">
      <c r="A465" s="35"/>
      <c r="B465" s="36"/>
      <c r="C465" s="42"/>
      <c r="D465" s="38"/>
      <c r="E465" s="39"/>
      <c r="F465" s="40"/>
      <c r="G465" s="38"/>
      <c r="H465" s="40"/>
      <c r="I465" s="40"/>
      <c r="J465" s="41"/>
    </row>
    <row r="466" ht="12.75" customHeight="1">
      <c r="A466" s="35"/>
      <c r="B466" s="36"/>
      <c r="C466" s="42"/>
      <c r="D466" s="38"/>
      <c r="E466" s="39"/>
      <c r="F466" s="40"/>
      <c r="G466" s="38"/>
      <c r="H466" s="40"/>
      <c r="I466" s="40"/>
      <c r="J466" s="41"/>
    </row>
    <row r="467" ht="12.75" customHeight="1">
      <c r="A467" s="35"/>
      <c r="B467" s="36"/>
      <c r="C467" s="42"/>
      <c r="D467" s="38"/>
      <c r="E467" s="39"/>
      <c r="F467" s="40"/>
      <c r="G467" s="38"/>
      <c r="H467" s="40"/>
      <c r="I467" s="40"/>
      <c r="J467" s="41"/>
    </row>
    <row r="468" ht="12.75" customHeight="1">
      <c r="A468" s="35"/>
      <c r="B468" s="36"/>
      <c r="C468" s="42"/>
      <c r="D468" s="38"/>
      <c r="E468" s="39"/>
      <c r="F468" s="40"/>
      <c r="G468" s="38"/>
      <c r="H468" s="40"/>
      <c r="I468" s="40"/>
      <c r="J468" s="41"/>
    </row>
    <row r="469" ht="12.75" customHeight="1">
      <c r="A469" s="35"/>
      <c r="B469" s="36"/>
      <c r="C469" s="42"/>
      <c r="D469" s="38"/>
      <c r="E469" s="39"/>
      <c r="F469" s="40"/>
      <c r="G469" s="38"/>
      <c r="H469" s="40"/>
      <c r="I469" s="40"/>
      <c r="J469" s="41"/>
    </row>
    <row r="470" ht="12.75" customHeight="1">
      <c r="A470" s="35"/>
      <c r="B470" s="36"/>
      <c r="C470" s="42"/>
      <c r="D470" s="38"/>
      <c r="E470" s="39"/>
      <c r="F470" s="40"/>
      <c r="G470" s="38"/>
      <c r="H470" s="40"/>
      <c r="I470" s="40"/>
      <c r="J470" s="41"/>
    </row>
    <row r="471" ht="12.75" customHeight="1">
      <c r="A471" s="35"/>
      <c r="B471" s="36"/>
      <c r="C471" s="42"/>
      <c r="D471" s="38"/>
      <c r="E471" s="39"/>
      <c r="F471" s="40"/>
      <c r="G471" s="38"/>
      <c r="H471" s="40"/>
      <c r="I471" s="40"/>
      <c r="J471" s="41"/>
    </row>
    <row r="472" ht="12.75" customHeight="1">
      <c r="A472" s="35"/>
      <c r="B472" s="36"/>
      <c r="C472" s="42"/>
      <c r="D472" s="38"/>
      <c r="E472" s="39"/>
      <c r="F472" s="40"/>
      <c r="G472" s="38"/>
      <c r="H472" s="40"/>
      <c r="I472" s="40"/>
      <c r="J472" s="41"/>
    </row>
    <row r="473" ht="12.75" customHeight="1">
      <c r="A473" s="35"/>
      <c r="B473" s="36"/>
      <c r="C473" s="42"/>
      <c r="D473" s="38"/>
      <c r="E473" s="39"/>
      <c r="F473" s="40"/>
      <c r="G473" s="38"/>
      <c r="H473" s="40"/>
      <c r="I473" s="40"/>
      <c r="J473" s="41"/>
    </row>
    <row r="474" ht="12.75" customHeight="1">
      <c r="A474" s="35"/>
      <c r="B474" s="36"/>
      <c r="C474" s="42"/>
      <c r="D474" s="38"/>
      <c r="E474" s="39"/>
      <c r="F474" s="40"/>
      <c r="G474" s="38"/>
      <c r="H474" s="40"/>
      <c r="I474" s="40"/>
      <c r="J474" s="41"/>
    </row>
    <row r="475" ht="12.75" customHeight="1">
      <c r="A475" s="35"/>
      <c r="B475" s="36"/>
      <c r="C475" s="42"/>
      <c r="D475" s="38"/>
      <c r="E475" s="39"/>
      <c r="F475" s="40"/>
      <c r="G475" s="38"/>
      <c r="H475" s="40"/>
      <c r="I475" s="40"/>
      <c r="J475" s="41"/>
    </row>
    <row r="476" ht="12.75" customHeight="1">
      <c r="A476" s="35"/>
      <c r="B476" s="36"/>
      <c r="C476" s="42"/>
      <c r="D476" s="38"/>
      <c r="E476" s="39"/>
      <c r="F476" s="40"/>
      <c r="G476" s="38"/>
      <c r="H476" s="40"/>
      <c r="I476" s="40"/>
      <c r="J476" s="41"/>
    </row>
    <row r="477" ht="12.75" customHeight="1">
      <c r="A477" s="35"/>
      <c r="B477" s="36"/>
      <c r="C477" s="42"/>
      <c r="D477" s="38"/>
      <c r="E477" s="39"/>
      <c r="F477" s="40"/>
      <c r="G477" s="38"/>
      <c r="H477" s="40"/>
      <c r="I477" s="40"/>
      <c r="J477" s="41"/>
    </row>
    <row r="478" ht="12.75" customHeight="1">
      <c r="A478" s="35"/>
      <c r="B478" s="36"/>
      <c r="C478" s="42"/>
      <c r="D478" s="38"/>
      <c r="E478" s="39"/>
      <c r="F478" s="40"/>
      <c r="G478" s="38"/>
      <c r="H478" s="40"/>
      <c r="I478" s="40"/>
      <c r="J478" s="41"/>
    </row>
    <row r="479" ht="12.75" customHeight="1">
      <c r="A479" s="35"/>
      <c r="B479" s="36"/>
      <c r="C479" s="42"/>
      <c r="D479" s="38"/>
      <c r="E479" s="39"/>
      <c r="F479" s="40"/>
      <c r="G479" s="38"/>
      <c r="H479" s="40"/>
      <c r="I479" s="40"/>
      <c r="J479" s="41"/>
    </row>
    <row r="480" ht="12.75" customHeight="1">
      <c r="A480" s="35"/>
      <c r="B480" s="36"/>
      <c r="C480" s="42"/>
      <c r="D480" s="38"/>
      <c r="E480" s="39"/>
      <c r="F480" s="40"/>
      <c r="G480" s="38"/>
      <c r="H480" s="40"/>
      <c r="I480" s="40"/>
      <c r="J480" s="41"/>
    </row>
    <row r="481" ht="12.75" customHeight="1">
      <c r="A481" s="35"/>
      <c r="B481" s="36"/>
      <c r="C481" s="42"/>
      <c r="D481" s="38"/>
      <c r="E481" s="39"/>
      <c r="F481" s="40"/>
      <c r="G481" s="38"/>
      <c r="H481" s="40"/>
      <c r="I481" s="40"/>
      <c r="J481" s="41"/>
    </row>
    <row r="482" ht="12.75" customHeight="1">
      <c r="A482" s="35"/>
      <c r="B482" s="36"/>
      <c r="C482" s="42"/>
      <c r="D482" s="38"/>
      <c r="E482" s="39"/>
      <c r="F482" s="40"/>
      <c r="G482" s="38"/>
      <c r="H482" s="40"/>
      <c r="I482" s="40"/>
      <c r="J482" s="41"/>
    </row>
    <row r="483" ht="12.75" customHeight="1">
      <c r="A483" s="35"/>
      <c r="B483" s="36"/>
      <c r="C483" s="42"/>
      <c r="D483" s="38"/>
      <c r="E483" s="39"/>
      <c r="F483" s="40"/>
      <c r="G483" s="38"/>
      <c r="H483" s="40"/>
      <c r="I483" s="40"/>
      <c r="J483" s="41"/>
    </row>
    <row r="484" ht="12.75" customHeight="1">
      <c r="A484" s="35"/>
      <c r="B484" s="36"/>
      <c r="C484" s="42"/>
      <c r="D484" s="38"/>
      <c r="E484" s="39"/>
      <c r="F484" s="40"/>
      <c r="G484" s="38"/>
      <c r="H484" s="40"/>
      <c r="I484" s="40"/>
      <c r="J484" s="41"/>
    </row>
    <row r="485" ht="12.75" customHeight="1">
      <c r="A485" s="35"/>
      <c r="B485" s="36"/>
      <c r="C485" s="42"/>
      <c r="D485" s="38"/>
      <c r="E485" s="39"/>
      <c r="F485" s="40"/>
      <c r="G485" s="38"/>
      <c r="H485" s="40"/>
      <c r="I485" s="40"/>
      <c r="J485" s="41"/>
    </row>
    <row r="486" ht="12.75" customHeight="1">
      <c r="A486" s="35"/>
      <c r="B486" s="36"/>
      <c r="C486" s="42"/>
      <c r="D486" s="38"/>
      <c r="E486" s="39"/>
      <c r="F486" s="40"/>
      <c r="G486" s="38"/>
      <c r="H486" s="40"/>
      <c r="I486" s="40"/>
      <c r="J486" s="41"/>
    </row>
    <row r="487" ht="12.75" customHeight="1">
      <c r="A487" s="35"/>
      <c r="B487" s="36"/>
      <c r="C487" s="42"/>
      <c r="D487" s="38"/>
      <c r="E487" s="39"/>
      <c r="F487" s="40"/>
      <c r="G487" s="38"/>
      <c r="H487" s="40"/>
      <c r="I487" s="40"/>
      <c r="J487" s="41"/>
    </row>
    <row r="488" ht="12.75" customHeight="1">
      <c r="A488" s="35"/>
      <c r="B488" s="36"/>
      <c r="C488" s="42"/>
      <c r="D488" s="38"/>
      <c r="E488" s="39"/>
      <c r="F488" s="40"/>
      <c r="G488" s="38"/>
      <c r="H488" s="40"/>
      <c r="I488" s="40"/>
      <c r="J488" s="41"/>
    </row>
    <row r="489" ht="12.75" customHeight="1">
      <c r="A489" s="35"/>
      <c r="B489" s="36"/>
      <c r="C489" s="42"/>
      <c r="D489" s="38"/>
      <c r="E489" s="39"/>
      <c r="F489" s="40"/>
      <c r="G489" s="38"/>
      <c r="H489" s="40"/>
      <c r="I489" s="40"/>
      <c r="J489" s="41"/>
    </row>
    <row r="490" ht="12.75" customHeight="1">
      <c r="A490" s="35"/>
      <c r="B490" s="36"/>
      <c r="C490" s="42"/>
      <c r="D490" s="38"/>
      <c r="E490" s="39"/>
      <c r="F490" s="40"/>
      <c r="G490" s="38"/>
      <c r="H490" s="40"/>
      <c r="I490" s="40"/>
      <c r="J490" s="41"/>
    </row>
    <row r="491" ht="12.75" customHeight="1">
      <c r="A491" s="35"/>
      <c r="B491" s="36"/>
      <c r="C491" s="42"/>
      <c r="D491" s="38"/>
      <c r="E491" s="39"/>
      <c r="F491" s="40"/>
      <c r="G491" s="38"/>
      <c r="H491" s="40"/>
      <c r="I491" s="40"/>
      <c r="J491" s="41"/>
    </row>
    <row r="492" ht="12.75" customHeight="1">
      <c r="A492" s="35"/>
      <c r="B492" s="36"/>
      <c r="C492" s="42"/>
      <c r="D492" s="38"/>
      <c r="E492" s="39"/>
      <c r="F492" s="40"/>
      <c r="G492" s="38"/>
      <c r="H492" s="40"/>
      <c r="I492" s="40"/>
      <c r="J492" s="41"/>
    </row>
    <row r="493" ht="12.75" customHeight="1">
      <c r="A493" s="35"/>
      <c r="B493" s="36"/>
      <c r="C493" s="42"/>
      <c r="D493" s="38"/>
      <c r="E493" s="39"/>
      <c r="F493" s="40"/>
      <c r="G493" s="38"/>
      <c r="H493" s="40"/>
      <c r="I493" s="40"/>
      <c r="J493" s="41"/>
    </row>
    <row r="494" ht="12.75" customHeight="1">
      <c r="A494" s="35"/>
      <c r="B494" s="36"/>
      <c r="C494" s="42"/>
      <c r="D494" s="38"/>
      <c r="E494" s="39"/>
      <c r="F494" s="40"/>
      <c r="G494" s="38"/>
      <c r="H494" s="40"/>
      <c r="I494" s="40"/>
      <c r="J494" s="41"/>
    </row>
    <row r="495" ht="12.75" customHeight="1">
      <c r="A495" s="35"/>
      <c r="B495" s="36"/>
      <c r="C495" s="42"/>
      <c r="D495" s="38"/>
      <c r="E495" s="39"/>
      <c r="F495" s="40"/>
      <c r="G495" s="38"/>
      <c r="H495" s="40"/>
      <c r="I495" s="40"/>
      <c r="J495" s="41"/>
    </row>
    <row r="496" ht="12.75" customHeight="1">
      <c r="A496" s="35"/>
      <c r="B496" s="36"/>
      <c r="C496" s="42"/>
      <c r="D496" s="38"/>
      <c r="E496" s="39"/>
      <c r="F496" s="40"/>
      <c r="G496" s="38"/>
      <c r="H496" s="40"/>
      <c r="I496" s="40"/>
      <c r="J496" s="41"/>
    </row>
    <row r="497" ht="12.75" customHeight="1">
      <c r="A497" s="35"/>
      <c r="B497" s="36"/>
      <c r="C497" s="42"/>
      <c r="D497" s="38"/>
      <c r="E497" s="39"/>
      <c r="F497" s="40"/>
      <c r="G497" s="38"/>
      <c r="H497" s="40"/>
      <c r="I497" s="40"/>
      <c r="J497" s="41"/>
    </row>
    <row r="498" ht="12.75" customHeight="1">
      <c r="A498" s="35"/>
      <c r="B498" s="36"/>
      <c r="C498" s="42"/>
      <c r="D498" s="38"/>
      <c r="E498" s="39"/>
      <c r="F498" s="40"/>
      <c r="G498" s="38"/>
      <c r="H498" s="40"/>
      <c r="I498" s="40"/>
      <c r="J498" s="41"/>
    </row>
    <row r="499" ht="12.75" customHeight="1">
      <c r="A499" s="35"/>
      <c r="B499" s="36"/>
      <c r="C499" s="42"/>
      <c r="D499" s="38"/>
      <c r="E499" s="39"/>
      <c r="F499" s="40"/>
      <c r="G499" s="38"/>
      <c r="H499" s="40"/>
      <c r="I499" s="40"/>
      <c r="J499" s="41"/>
    </row>
    <row r="500" ht="12.75" customHeight="1">
      <c r="A500" s="35"/>
      <c r="B500" s="36"/>
      <c r="C500" s="42"/>
      <c r="D500" s="38"/>
      <c r="E500" s="39"/>
      <c r="F500" s="40"/>
      <c r="G500" s="38"/>
      <c r="H500" s="40"/>
      <c r="I500" s="40"/>
      <c r="J500" s="41"/>
    </row>
    <row r="501" ht="12.75" customHeight="1">
      <c r="A501" s="35"/>
      <c r="B501" s="36"/>
      <c r="C501" s="42"/>
      <c r="D501" s="38"/>
      <c r="E501" s="39"/>
      <c r="F501" s="40"/>
      <c r="G501" s="38"/>
      <c r="H501" s="40"/>
      <c r="I501" s="40"/>
      <c r="J501" s="41"/>
    </row>
    <row r="502" ht="12.75" customHeight="1">
      <c r="A502" s="35"/>
      <c r="B502" s="36"/>
      <c r="C502" s="42"/>
      <c r="D502" s="38"/>
      <c r="E502" s="39"/>
      <c r="F502" s="40"/>
      <c r="G502" s="38"/>
      <c r="H502" s="40"/>
      <c r="I502" s="40"/>
      <c r="J502" s="41"/>
    </row>
    <row r="503" ht="12.75" customHeight="1">
      <c r="A503" s="35"/>
      <c r="B503" s="36"/>
      <c r="C503" s="42"/>
      <c r="D503" s="38"/>
      <c r="E503" s="39"/>
      <c r="F503" s="40"/>
      <c r="G503" s="38"/>
      <c r="H503" s="40"/>
      <c r="I503" s="40"/>
      <c r="J503" s="41"/>
    </row>
    <row r="504" ht="12.75" customHeight="1">
      <c r="A504" s="35"/>
      <c r="B504" s="36"/>
      <c r="C504" s="42"/>
      <c r="D504" s="38"/>
      <c r="E504" s="39"/>
      <c r="F504" s="40"/>
      <c r="G504" s="38"/>
      <c r="H504" s="40"/>
      <c r="I504" s="40"/>
      <c r="J504" s="41"/>
    </row>
    <row r="505" ht="12.75" customHeight="1">
      <c r="A505" s="35"/>
      <c r="B505" s="36"/>
      <c r="C505" s="42"/>
      <c r="D505" s="38"/>
      <c r="E505" s="39"/>
      <c r="F505" s="40"/>
      <c r="G505" s="38"/>
      <c r="H505" s="40"/>
      <c r="I505" s="40"/>
      <c r="J505" s="41"/>
    </row>
    <row r="506" ht="12.75" customHeight="1">
      <c r="A506" s="35"/>
      <c r="B506" s="36"/>
      <c r="C506" s="42"/>
      <c r="D506" s="38"/>
      <c r="E506" s="39"/>
      <c r="F506" s="40"/>
      <c r="G506" s="38"/>
      <c r="H506" s="40"/>
      <c r="I506" s="40"/>
      <c r="J506" s="41"/>
    </row>
    <row r="507" ht="12.75" customHeight="1">
      <c r="A507" s="35"/>
      <c r="B507" s="36"/>
      <c r="C507" s="42"/>
      <c r="D507" s="38"/>
      <c r="E507" s="39"/>
      <c r="F507" s="40"/>
      <c r="G507" s="38"/>
      <c r="H507" s="40"/>
      <c r="I507" s="40"/>
      <c r="J507" s="41"/>
    </row>
    <row r="508" ht="12.75" customHeight="1">
      <c r="A508" s="35"/>
      <c r="B508" s="36"/>
      <c r="C508" s="42"/>
      <c r="D508" s="38"/>
      <c r="E508" s="39"/>
      <c r="F508" s="40"/>
      <c r="G508" s="38"/>
      <c r="H508" s="40"/>
      <c r="I508" s="40"/>
      <c r="J508" s="41"/>
    </row>
    <row r="509" ht="12.75" customHeight="1">
      <c r="A509" s="35"/>
      <c r="B509" s="36"/>
      <c r="C509" s="42"/>
      <c r="D509" s="38"/>
      <c r="E509" s="39"/>
      <c r="F509" s="40"/>
      <c r="G509" s="38"/>
      <c r="H509" s="40"/>
      <c r="I509" s="40"/>
      <c r="J509" s="41"/>
    </row>
    <row r="510" ht="12.75" customHeight="1">
      <c r="A510" s="35"/>
      <c r="B510" s="36"/>
      <c r="C510" s="42"/>
      <c r="D510" s="38"/>
      <c r="E510" s="39"/>
      <c r="F510" s="40"/>
      <c r="G510" s="38"/>
      <c r="H510" s="40"/>
      <c r="I510" s="40"/>
      <c r="J510" s="41"/>
    </row>
    <row r="511" ht="12.75" customHeight="1">
      <c r="A511" s="35"/>
      <c r="B511" s="36"/>
      <c r="C511" s="42"/>
      <c r="D511" s="38"/>
      <c r="E511" s="39"/>
      <c r="F511" s="40"/>
      <c r="G511" s="38"/>
      <c r="H511" s="40"/>
      <c r="I511" s="40"/>
      <c r="J511" s="41"/>
    </row>
    <row r="512" ht="12.75" customHeight="1">
      <c r="A512" s="35"/>
      <c r="B512" s="36"/>
      <c r="C512" s="42"/>
      <c r="D512" s="38"/>
      <c r="E512" s="39"/>
      <c r="F512" s="40"/>
      <c r="G512" s="38"/>
      <c r="H512" s="40"/>
      <c r="I512" s="40"/>
      <c r="J512" s="41"/>
    </row>
    <row r="513" ht="12.75" customHeight="1">
      <c r="A513" s="35"/>
      <c r="B513" s="36"/>
      <c r="C513" s="42"/>
      <c r="D513" s="38"/>
      <c r="E513" s="39"/>
      <c r="F513" s="40"/>
      <c r="G513" s="38"/>
      <c r="H513" s="40"/>
      <c r="I513" s="40"/>
      <c r="J513" s="41"/>
    </row>
    <row r="514" ht="12.75" customHeight="1">
      <c r="A514" s="35"/>
      <c r="B514" s="36"/>
      <c r="C514" s="42"/>
      <c r="D514" s="38"/>
      <c r="E514" s="39"/>
      <c r="F514" s="40"/>
      <c r="G514" s="38"/>
      <c r="H514" s="40"/>
      <c r="I514" s="40"/>
      <c r="J514" s="41"/>
    </row>
    <row r="515" ht="12.75" customHeight="1">
      <c r="A515" s="35"/>
      <c r="B515" s="36"/>
      <c r="C515" s="42"/>
      <c r="D515" s="38"/>
      <c r="E515" s="39"/>
      <c r="F515" s="40"/>
      <c r="G515" s="38"/>
      <c r="H515" s="40"/>
      <c r="I515" s="40"/>
      <c r="J515" s="41"/>
    </row>
    <row r="516" ht="12.75" customHeight="1">
      <c r="A516" s="35"/>
      <c r="B516" s="36"/>
      <c r="C516" s="42"/>
      <c r="D516" s="38"/>
      <c r="E516" s="39"/>
      <c r="F516" s="40"/>
      <c r="G516" s="38"/>
      <c r="H516" s="40"/>
      <c r="I516" s="40"/>
      <c r="J516" s="41"/>
    </row>
    <row r="517" ht="12.75" customHeight="1">
      <c r="A517" s="35"/>
      <c r="B517" s="36"/>
      <c r="C517" s="42"/>
      <c r="D517" s="38"/>
      <c r="E517" s="39"/>
      <c r="F517" s="40"/>
      <c r="G517" s="38"/>
      <c r="H517" s="40"/>
      <c r="I517" s="40"/>
      <c r="J517" s="41"/>
    </row>
    <row r="518" ht="12.75" customHeight="1">
      <c r="A518" s="35"/>
      <c r="B518" s="36"/>
      <c r="C518" s="42"/>
      <c r="D518" s="38"/>
      <c r="E518" s="39"/>
      <c r="F518" s="40"/>
      <c r="G518" s="38"/>
      <c r="H518" s="40"/>
      <c r="I518" s="40"/>
      <c r="J518" s="41"/>
    </row>
    <row r="519" ht="12.75" customHeight="1">
      <c r="A519" s="35"/>
      <c r="B519" s="36"/>
      <c r="C519" s="42"/>
      <c r="D519" s="38"/>
      <c r="E519" s="39"/>
      <c r="F519" s="40"/>
      <c r="G519" s="38"/>
      <c r="H519" s="40"/>
      <c r="I519" s="40"/>
      <c r="J519" s="41"/>
    </row>
    <row r="520" ht="12.75" customHeight="1">
      <c r="A520" s="35"/>
      <c r="B520" s="36"/>
      <c r="C520" s="42"/>
      <c r="D520" s="38"/>
      <c r="E520" s="39"/>
      <c r="F520" s="40"/>
      <c r="G520" s="38"/>
      <c r="H520" s="40"/>
      <c r="I520" s="40"/>
      <c r="J520" s="41"/>
    </row>
    <row r="521" ht="12.75" customHeight="1">
      <c r="A521" s="35"/>
      <c r="B521" s="36"/>
      <c r="C521" s="42"/>
      <c r="D521" s="38"/>
      <c r="E521" s="39"/>
      <c r="F521" s="40"/>
      <c r="G521" s="38"/>
      <c r="H521" s="40"/>
      <c r="I521" s="40"/>
      <c r="J521" s="41"/>
    </row>
    <row r="522" ht="12.75" customHeight="1">
      <c r="A522" s="35"/>
      <c r="B522" s="36"/>
      <c r="C522" s="42"/>
      <c r="D522" s="38"/>
      <c r="E522" s="39"/>
      <c r="F522" s="40"/>
      <c r="G522" s="38"/>
      <c r="H522" s="40"/>
      <c r="I522" s="40"/>
      <c r="J522" s="41"/>
    </row>
    <row r="523" ht="12.75" customHeight="1">
      <c r="A523" s="35"/>
      <c r="B523" s="36"/>
      <c r="C523" s="42"/>
      <c r="D523" s="38"/>
      <c r="E523" s="39"/>
      <c r="F523" s="40"/>
      <c r="G523" s="38"/>
      <c r="H523" s="40"/>
      <c r="I523" s="40"/>
      <c r="J523" s="41"/>
    </row>
    <row r="524" ht="12.75" customHeight="1">
      <c r="A524" s="35"/>
      <c r="B524" s="36"/>
      <c r="C524" s="42"/>
      <c r="D524" s="38"/>
      <c r="E524" s="39"/>
      <c r="F524" s="40"/>
      <c r="G524" s="38"/>
      <c r="H524" s="40"/>
      <c r="I524" s="40"/>
      <c r="J524" s="41"/>
    </row>
    <row r="525" ht="12.75" customHeight="1">
      <c r="A525" s="35"/>
      <c r="B525" s="36"/>
      <c r="C525" s="42"/>
      <c r="D525" s="38"/>
      <c r="E525" s="39"/>
      <c r="F525" s="40"/>
      <c r="G525" s="38"/>
      <c r="H525" s="40"/>
      <c r="I525" s="40"/>
      <c r="J525" s="41"/>
    </row>
    <row r="526" ht="12.75" customHeight="1">
      <c r="A526" s="35"/>
      <c r="B526" s="36"/>
      <c r="C526" s="42"/>
      <c r="D526" s="38"/>
      <c r="E526" s="39"/>
      <c r="F526" s="40"/>
      <c r="G526" s="38"/>
      <c r="H526" s="40"/>
      <c r="I526" s="40"/>
      <c r="J526" s="41"/>
    </row>
    <row r="527" ht="12.75" customHeight="1">
      <c r="A527" s="35"/>
      <c r="B527" s="36"/>
      <c r="C527" s="42"/>
      <c r="D527" s="38"/>
      <c r="E527" s="39"/>
      <c r="F527" s="40"/>
      <c r="G527" s="38"/>
      <c r="H527" s="40"/>
      <c r="I527" s="40"/>
      <c r="J527" s="41"/>
    </row>
    <row r="528" ht="12.75" customHeight="1">
      <c r="A528" s="35"/>
      <c r="B528" s="36"/>
      <c r="C528" s="42"/>
      <c r="D528" s="38"/>
      <c r="E528" s="39"/>
      <c r="F528" s="40"/>
      <c r="G528" s="38"/>
      <c r="H528" s="40"/>
      <c r="I528" s="40"/>
      <c r="J528" s="41"/>
    </row>
    <row r="529" ht="12.75" customHeight="1">
      <c r="A529" s="35"/>
      <c r="B529" s="36"/>
      <c r="C529" s="42"/>
      <c r="D529" s="38"/>
      <c r="E529" s="39"/>
      <c r="F529" s="40"/>
      <c r="G529" s="38"/>
      <c r="H529" s="40"/>
      <c r="I529" s="40"/>
      <c r="J529" s="41"/>
    </row>
    <row r="530" ht="12.75" customHeight="1">
      <c r="A530" s="35"/>
      <c r="B530" s="36"/>
      <c r="C530" s="42"/>
      <c r="D530" s="38"/>
      <c r="E530" s="39"/>
      <c r="F530" s="40"/>
      <c r="G530" s="38"/>
      <c r="H530" s="40"/>
      <c r="I530" s="40"/>
      <c r="J530" s="41"/>
    </row>
    <row r="531" ht="12.75" customHeight="1">
      <c r="A531" s="35"/>
      <c r="B531" s="36"/>
      <c r="C531" s="42"/>
      <c r="D531" s="38"/>
      <c r="E531" s="39"/>
      <c r="F531" s="40"/>
      <c r="G531" s="38"/>
      <c r="H531" s="40"/>
      <c r="I531" s="40"/>
      <c r="J531" s="41"/>
    </row>
    <row r="532" ht="12.75" customHeight="1">
      <c r="A532" s="35"/>
      <c r="B532" s="36"/>
      <c r="C532" s="42"/>
      <c r="D532" s="38"/>
      <c r="E532" s="39"/>
      <c r="F532" s="40"/>
      <c r="G532" s="38"/>
      <c r="H532" s="40"/>
      <c r="I532" s="40"/>
      <c r="J532" s="41"/>
    </row>
    <row r="533" ht="12.75" customHeight="1">
      <c r="A533" s="35"/>
      <c r="B533" s="36"/>
      <c r="C533" s="42"/>
      <c r="D533" s="38"/>
      <c r="E533" s="39"/>
      <c r="F533" s="40"/>
      <c r="G533" s="38"/>
      <c r="H533" s="40"/>
      <c r="I533" s="40"/>
      <c r="J533" s="41"/>
    </row>
    <row r="534" ht="12.75" customHeight="1">
      <c r="A534" s="35"/>
      <c r="B534" s="36"/>
      <c r="C534" s="42"/>
      <c r="D534" s="38"/>
      <c r="E534" s="39"/>
      <c r="F534" s="40"/>
      <c r="G534" s="38"/>
      <c r="H534" s="40"/>
      <c r="I534" s="40"/>
      <c r="J534" s="41"/>
    </row>
    <row r="535" ht="12.75" customHeight="1">
      <c r="A535" s="35"/>
      <c r="B535" s="36"/>
      <c r="C535" s="42"/>
      <c r="D535" s="38"/>
      <c r="E535" s="39"/>
      <c r="F535" s="40"/>
      <c r="G535" s="38"/>
      <c r="H535" s="40"/>
      <c r="I535" s="40"/>
      <c r="J535" s="41"/>
    </row>
    <row r="536" ht="12.75" customHeight="1">
      <c r="A536" s="35"/>
      <c r="B536" s="36"/>
      <c r="C536" s="42"/>
      <c r="D536" s="38"/>
      <c r="E536" s="39"/>
      <c r="F536" s="40"/>
      <c r="G536" s="38"/>
      <c r="H536" s="40"/>
      <c r="I536" s="40"/>
      <c r="J536" s="41"/>
    </row>
    <row r="537" ht="12.75" customHeight="1">
      <c r="A537" s="35"/>
      <c r="B537" s="36"/>
      <c r="C537" s="42"/>
      <c r="D537" s="38"/>
      <c r="E537" s="39"/>
      <c r="F537" s="40"/>
      <c r="G537" s="38"/>
      <c r="H537" s="40"/>
      <c r="I537" s="40"/>
      <c r="J537" s="41"/>
    </row>
    <row r="538" ht="12.75" customHeight="1">
      <c r="A538" s="35"/>
      <c r="B538" s="36"/>
      <c r="C538" s="42"/>
      <c r="D538" s="38"/>
      <c r="E538" s="39"/>
      <c r="F538" s="40"/>
      <c r="G538" s="38"/>
      <c r="H538" s="40"/>
      <c r="I538" s="40"/>
      <c r="J538" s="41"/>
    </row>
    <row r="539" ht="12.75" customHeight="1">
      <c r="A539" s="35"/>
      <c r="B539" s="36"/>
      <c r="C539" s="42"/>
      <c r="D539" s="38"/>
      <c r="E539" s="39"/>
      <c r="F539" s="40"/>
      <c r="G539" s="38"/>
      <c r="H539" s="40"/>
      <c r="I539" s="40"/>
      <c r="J539" s="41"/>
    </row>
    <row r="540" ht="12.75" customHeight="1">
      <c r="A540" s="35"/>
      <c r="B540" s="36"/>
      <c r="C540" s="42"/>
      <c r="D540" s="38"/>
      <c r="E540" s="39"/>
      <c r="F540" s="40"/>
      <c r="G540" s="38"/>
      <c r="H540" s="40"/>
      <c r="I540" s="40"/>
      <c r="J540" s="41"/>
    </row>
    <row r="541" ht="12.75" customHeight="1">
      <c r="A541" s="35"/>
      <c r="B541" s="36"/>
      <c r="C541" s="42"/>
      <c r="D541" s="38"/>
      <c r="E541" s="39"/>
      <c r="F541" s="40"/>
      <c r="G541" s="38"/>
      <c r="H541" s="40"/>
      <c r="I541" s="40"/>
      <c r="J541" s="41"/>
    </row>
    <row r="542" ht="12.75" customHeight="1">
      <c r="A542" s="35"/>
      <c r="B542" s="36"/>
      <c r="C542" s="42"/>
      <c r="D542" s="38"/>
      <c r="E542" s="39"/>
      <c r="F542" s="40"/>
      <c r="G542" s="38"/>
      <c r="H542" s="40"/>
      <c r="I542" s="40"/>
      <c r="J542" s="41"/>
    </row>
    <row r="543" ht="12.75" customHeight="1">
      <c r="A543" s="35"/>
      <c r="B543" s="36"/>
      <c r="C543" s="42"/>
      <c r="D543" s="38"/>
      <c r="E543" s="39"/>
      <c r="F543" s="40"/>
      <c r="G543" s="38"/>
      <c r="H543" s="40"/>
      <c r="I543" s="40"/>
      <c r="J543" s="41"/>
    </row>
    <row r="544" ht="12.75" customHeight="1">
      <c r="A544" s="35"/>
      <c r="B544" s="36"/>
      <c r="C544" s="42"/>
      <c r="D544" s="38"/>
      <c r="E544" s="39"/>
      <c r="F544" s="40"/>
      <c r="G544" s="38"/>
      <c r="H544" s="40"/>
      <c r="I544" s="40"/>
      <c r="J544" s="41"/>
    </row>
    <row r="545" ht="12.75" customHeight="1">
      <c r="A545" s="35"/>
      <c r="B545" s="36"/>
      <c r="C545" s="42"/>
      <c r="D545" s="38"/>
      <c r="E545" s="39"/>
      <c r="F545" s="40"/>
      <c r="G545" s="38"/>
      <c r="H545" s="40"/>
      <c r="I545" s="40"/>
      <c r="J545" s="41"/>
    </row>
    <row r="546" ht="12.75" customHeight="1">
      <c r="A546" s="35"/>
      <c r="B546" s="36"/>
      <c r="C546" s="42"/>
      <c r="D546" s="38"/>
      <c r="E546" s="39"/>
      <c r="F546" s="40"/>
      <c r="G546" s="38"/>
      <c r="H546" s="40"/>
      <c r="I546" s="40"/>
      <c r="J546" s="41"/>
    </row>
    <row r="547" ht="12.75" customHeight="1">
      <c r="A547" s="35"/>
      <c r="B547" s="36"/>
      <c r="C547" s="42"/>
      <c r="D547" s="38"/>
      <c r="E547" s="39"/>
      <c r="F547" s="40"/>
      <c r="G547" s="38"/>
      <c r="H547" s="40"/>
      <c r="I547" s="40"/>
      <c r="J547" s="41"/>
    </row>
    <row r="548" ht="12.75" customHeight="1">
      <c r="A548" s="35"/>
      <c r="B548" s="36"/>
      <c r="C548" s="42"/>
      <c r="D548" s="38"/>
      <c r="E548" s="39"/>
      <c r="F548" s="40"/>
      <c r="G548" s="38"/>
      <c r="H548" s="40"/>
      <c r="I548" s="40"/>
      <c r="J548" s="41"/>
    </row>
    <row r="549" ht="12.75" customHeight="1">
      <c r="A549" s="35"/>
      <c r="B549" s="36"/>
      <c r="C549" s="42"/>
      <c r="D549" s="38"/>
      <c r="E549" s="39"/>
      <c r="F549" s="40"/>
      <c r="G549" s="38"/>
      <c r="H549" s="40"/>
      <c r="I549" s="40"/>
      <c r="J549" s="41"/>
    </row>
    <row r="550" ht="12.75" customHeight="1">
      <c r="A550" s="35"/>
      <c r="B550" s="36"/>
      <c r="C550" s="42"/>
      <c r="D550" s="38"/>
      <c r="E550" s="39"/>
      <c r="F550" s="40"/>
      <c r="G550" s="38"/>
      <c r="H550" s="40"/>
      <c r="I550" s="40"/>
      <c r="J550" s="41"/>
    </row>
    <row r="551" ht="12.75" customHeight="1">
      <c r="A551" s="35"/>
      <c r="B551" s="36"/>
      <c r="C551" s="42"/>
      <c r="D551" s="38"/>
      <c r="E551" s="39"/>
      <c r="F551" s="40"/>
      <c r="G551" s="38"/>
      <c r="H551" s="40"/>
      <c r="I551" s="40"/>
      <c r="J551" s="41"/>
    </row>
    <row r="552" ht="12.75" customHeight="1">
      <c r="A552" s="35"/>
      <c r="B552" s="36"/>
      <c r="C552" s="42"/>
      <c r="D552" s="38"/>
      <c r="E552" s="39"/>
      <c r="F552" s="40"/>
      <c r="G552" s="38"/>
      <c r="H552" s="40"/>
      <c r="I552" s="40"/>
      <c r="J552" s="41"/>
    </row>
    <row r="553" ht="12.75" customHeight="1">
      <c r="A553" s="35"/>
      <c r="B553" s="36"/>
      <c r="C553" s="42"/>
      <c r="D553" s="38"/>
      <c r="E553" s="39"/>
      <c r="F553" s="40"/>
      <c r="G553" s="38"/>
      <c r="H553" s="40"/>
      <c r="I553" s="40"/>
      <c r="J553" s="41"/>
    </row>
    <row r="554" ht="12.75" customHeight="1">
      <c r="A554" s="35"/>
      <c r="B554" s="36"/>
      <c r="C554" s="42"/>
      <c r="D554" s="38"/>
      <c r="E554" s="39"/>
      <c r="F554" s="40"/>
      <c r="G554" s="38"/>
      <c r="H554" s="40"/>
      <c r="I554" s="40"/>
      <c r="J554" s="41"/>
    </row>
    <row r="555" ht="12.75" customHeight="1">
      <c r="A555" s="35"/>
      <c r="B555" s="36"/>
      <c r="C555" s="42"/>
      <c r="D555" s="38"/>
      <c r="E555" s="39"/>
      <c r="F555" s="40"/>
      <c r="G555" s="38"/>
      <c r="H555" s="40"/>
      <c r="I555" s="40"/>
      <c r="J555" s="41"/>
    </row>
    <row r="556" ht="12.75" customHeight="1">
      <c r="A556" s="35"/>
      <c r="B556" s="36"/>
      <c r="C556" s="42"/>
      <c r="D556" s="38"/>
      <c r="E556" s="39"/>
      <c r="F556" s="40"/>
      <c r="G556" s="38"/>
      <c r="H556" s="40"/>
      <c r="I556" s="40"/>
      <c r="J556" s="41"/>
    </row>
    <row r="557" ht="12.75" customHeight="1">
      <c r="A557" s="35"/>
      <c r="B557" s="36"/>
      <c r="C557" s="42"/>
      <c r="D557" s="38"/>
      <c r="E557" s="39"/>
      <c r="F557" s="40"/>
      <c r="G557" s="38"/>
      <c r="H557" s="40"/>
      <c r="I557" s="40"/>
      <c r="J557" s="41"/>
    </row>
    <row r="558" ht="12.75" customHeight="1">
      <c r="A558" s="35"/>
      <c r="B558" s="36"/>
      <c r="C558" s="42"/>
      <c r="D558" s="38"/>
      <c r="E558" s="39"/>
      <c r="F558" s="40"/>
      <c r="G558" s="38"/>
      <c r="H558" s="40"/>
      <c r="I558" s="40"/>
      <c r="J558" s="41"/>
    </row>
    <row r="559" ht="12.75" customHeight="1">
      <c r="A559" s="35"/>
      <c r="B559" s="36"/>
      <c r="C559" s="42"/>
      <c r="D559" s="38"/>
      <c r="E559" s="39"/>
      <c r="F559" s="40"/>
      <c r="G559" s="38"/>
      <c r="H559" s="40"/>
      <c r="I559" s="40"/>
      <c r="J559" s="41"/>
    </row>
    <row r="560" ht="12.75" customHeight="1">
      <c r="A560" s="35"/>
      <c r="B560" s="36"/>
      <c r="C560" s="42"/>
      <c r="D560" s="38"/>
      <c r="E560" s="39"/>
      <c r="F560" s="40"/>
      <c r="G560" s="38"/>
      <c r="H560" s="40"/>
      <c r="I560" s="40"/>
      <c r="J560" s="41"/>
    </row>
    <row r="561" ht="12.75" customHeight="1">
      <c r="A561" s="35"/>
      <c r="B561" s="36"/>
      <c r="C561" s="42"/>
      <c r="D561" s="38"/>
      <c r="E561" s="39"/>
      <c r="F561" s="40"/>
      <c r="G561" s="38"/>
      <c r="H561" s="40"/>
      <c r="I561" s="40"/>
      <c r="J561" s="41"/>
    </row>
    <row r="562" ht="12.75" customHeight="1">
      <c r="A562" s="35"/>
      <c r="B562" s="36"/>
      <c r="C562" s="42"/>
      <c r="D562" s="38"/>
      <c r="E562" s="39"/>
      <c r="F562" s="40"/>
      <c r="G562" s="38"/>
      <c r="H562" s="40"/>
      <c r="I562" s="40"/>
      <c r="J562" s="41"/>
    </row>
    <row r="563" ht="12.75" customHeight="1">
      <c r="A563" s="35"/>
      <c r="B563" s="36"/>
      <c r="C563" s="42"/>
      <c r="D563" s="38"/>
      <c r="E563" s="39"/>
      <c r="F563" s="40"/>
      <c r="G563" s="38"/>
      <c r="H563" s="40"/>
      <c r="I563" s="40"/>
      <c r="J563" s="41"/>
    </row>
    <row r="564" ht="12.75" customHeight="1">
      <c r="A564" s="35"/>
      <c r="B564" s="36"/>
      <c r="C564" s="42"/>
      <c r="D564" s="38"/>
      <c r="E564" s="39"/>
      <c r="F564" s="40"/>
      <c r="G564" s="38"/>
      <c r="H564" s="40"/>
      <c r="I564" s="40"/>
      <c r="J564" s="41"/>
    </row>
    <row r="565" ht="12.75" customHeight="1">
      <c r="A565" s="35"/>
      <c r="B565" s="36"/>
      <c r="C565" s="42"/>
      <c r="D565" s="38"/>
      <c r="E565" s="39"/>
      <c r="F565" s="40"/>
      <c r="G565" s="38"/>
      <c r="H565" s="40"/>
      <c r="I565" s="40"/>
      <c r="J565" s="41"/>
    </row>
    <row r="566" ht="12.75" customHeight="1">
      <c r="A566" s="35"/>
      <c r="B566" s="36"/>
      <c r="C566" s="42"/>
      <c r="D566" s="38"/>
      <c r="E566" s="39"/>
      <c r="F566" s="40"/>
      <c r="G566" s="38"/>
      <c r="H566" s="40"/>
      <c r="I566" s="40"/>
      <c r="J566" s="41"/>
    </row>
    <row r="567" ht="12.75" customHeight="1">
      <c r="A567" s="35"/>
      <c r="B567" s="36"/>
      <c r="C567" s="42"/>
      <c r="D567" s="38"/>
      <c r="E567" s="39"/>
      <c r="F567" s="40"/>
      <c r="G567" s="38"/>
      <c r="H567" s="40"/>
      <c r="I567" s="40"/>
      <c r="J567" s="41"/>
    </row>
    <row r="568" ht="12.75" customHeight="1">
      <c r="A568" s="35"/>
      <c r="B568" s="36"/>
      <c r="C568" s="42"/>
      <c r="D568" s="38"/>
      <c r="E568" s="39"/>
      <c r="F568" s="40"/>
      <c r="G568" s="38"/>
      <c r="H568" s="40"/>
      <c r="I568" s="40"/>
      <c r="J568" s="41"/>
    </row>
    <row r="569" ht="12.75" customHeight="1">
      <c r="A569" s="35"/>
      <c r="B569" s="36"/>
      <c r="C569" s="42"/>
      <c r="D569" s="38"/>
      <c r="E569" s="39"/>
      <c r="F569" s="40"/>
      <c r="G569" s="38"/>
      <c r="H569" s="40"/>
      <c r="I569" s="40"/>
      <c r="J569" s="41"/>
    </row>
    <row r="570" ht="12.75" customHeight="1">
      <c r="A570" s="35"/>
      <c r="B570" s="36"/>
      <c r="C570" s="42"/>
      <c r="D570" s="38"/>
      <c r="E570" s="39"/>
      <c r="F570" s="40"/>
      <c r="G570" s="38"/>
      <c r="H570" s="40"/>
      <c r="I570" s="40"/>
      <c r="J570" s="41"/>
    </row>
    <row r="571" ht="12.75" customHeight="1">
      <c r="A571" s="35"/>
      <c r="B571" s="36"/>
      <c r="C571" s="42"/>
      <c r="D571" s="38"/>
      <c r="E571" s="39"/>
      <c r="F571" s="40"/>
      <c r="G571" s="38"/>
      <c r="H571" s="40"/>
      <c r="I571" s="40"/>
      <c r="J571" s="41"/>
    </row>
    <row r="572" ht="12.75" customHeight="1">
      <c r="A572" s="35"/>
      <c r="B572" s="36"/>
      <c r="C572" s="42"/>
      <c r="D572" s="38"/>
      <c r="E572" s="39"/>
      <c r="F572" s="40"/>
      <c r="G572" s="38"/>
      <c r="H572" s="40"/>
      <c r="I572" s="40"/>
      <c r="J572" s="41"/>
    </row>
    <row r="573" ht="12.75" customHeight="1">
      <c r="A573" s="35"/>
      <c r="B573" s="36"/>
      <c r="C573" s="42"/>
      <c r="D573" s="38"/>
      <c r="E573" s="39"/>
      <c r="F573" s="40"/>
      <c r="G573" s="38"/>
      <c r="H573" s="40"/>
      <c r="I573" s="40"/>
      <c r="J573" s="41"/>
    </row>
    <row r="574" ht="12.75" customHeight="1">
      <c r="A574" s="35"/>
      <c r="B574" s="36"/>
      <c r="C574" s="42"/>
      <c r="D574" s="38"/>
      <c r="E574" s="39"/>
      <c r="F574" s="40"/>
      <c r="G574" s="38"/>
      <c r="H574" s="40"/>
      <c r="I574" s="40"/>
      <c r="J574" s="41"/>
    </row>
    <row r="575" ht="12.75" customHeight="1">
      <c r="A575" s="35"/>
      <c r="B575" s="36"/>
      <c r="C575" s="42"/>
      <c r="D575" s="38"/>
      <c r="E575" s="39"/>
      <c r="F575" s="40"/>
      <c r="G575" s="38"/>
      <c r="H575" s="40"/>
      <c r="I575" s="40"/>
      <c r="J575" s="41"/>
    </row>
    <row r="576" ht="12.75" customHeight="1">
      <c r="A576" s="35"/>
      <c r="B576" s="36"/>
      <c r="C576" s="42"/>
      <c r="D576" s="38"/>
      <c r="E576" s="39"/>
      <c r="F576" s="40"/>
      <c r="G576" s="38"/>
      <c r="H576" s="40"/>
      <c r="I576" s="40"/>
      <c r="J576" s="41"/>
    </row>
    <row r="577" ht="12.75" customHeight="1">
      <c r="A577" s="35"/>
      <c r="B577" s="36"/>
      <c r="C577" s="42"/>
      <c r="D577" s="38"/>
      <c r="E577" s="39"/>
      <c r="F577" s="40"/>
      <c r="G577" s="38"/>
      <c r="H577" s="40"/>
      <c r="I577" s="40"/>
      <c r="J577" s="41"/>
    </row>
    <row r="578" ht="12.75" customHeight="1">
      <c r="A578" s="35"/>
      <c r="B578" s="36"/>
      <c r="C578" s="42"/>
      <c r="D578" s="38"/>
      <c r="E578" s="39"/>
      <c r="F578" s="40"/>
      <c r="G578" s="38"/>
      <c r="H578" s="40"/>
      <c r="I578" s="40"/>
      <c r="J578" s="41"/>
    </row>
    <row r="579" ht="12.75" customHeight="1">
      <c r="A579" s="35"/>
      <c r="B579" s="36"/>
      <c r="C579" s="42"/>
      <c r="D579" s="38"/>
      <c r="E579" s="39"/>
      <c r="F579" s="40"/>
      <c r="G579" s="38"/>
      <c r="H579" s="40"/>
      <c r="I579" s="40"/>
      <c r="J579" s="41"/>
    </row>
    <row r="580" ht="12.75" customHeight="1">
      <c r="A580" s="35"/>
      <c r="B580" s="36"/>
      <c r="C580" s="42"/>
      <c r="D580" s="38"/>
      <c r="E580" s="39"/>
      <c r="F580" s="40"/>
      <c r="G580" s="38"/>
      <c r="H580" s="40"/>
      <c r="I580" s="40"/>
      <c r="J580" s="41"/>
    </row>
    <row r="581" ht="12.75" customHeight="1">
      <c r="A581" s="35"/>
      <c r="B581" s="36"/>
      <c r="C581" s="42"/>
      <c r="D581" s="38"/>
      <c r="E581" s="39"/>
      <c r="F581" s="40"/>
      <c r="G581" s="38"/>
      <c r="H581" s="40"/>
      <c r="I581" s="40"/>
      <c r="J581" s="41"/>
    </row>
    <row r="582" ht="12.75" customHeight="1">
      <c r="A582" s="35"/>
      <c r="B582" s="36"/>
      <c r="C582" s="42"/>
      <c r="D582" s="38"/>
      <c r="E582" s="39"/>
      <c r="F582" s="40"/>
      <c r="G582" s="38"/>
      <c r="H582" s="40"/>
      <c r="I582" s="40"/>
      <c r="J582" s="41"/>
    </row>
    <row r="583" ht="12.75" customHeight="1">
      <c r="A583" s="35"/>
      <c r="B583" s="36"/>
      <c r="C583" s="42"/>
      <c r="D583" s="38"/>
      <c r="E583" s="39"/>
      <c r="F583" s="40"/>
      <c r="G583" s="38"/>
      <c r="H583" s="40"/>
      <c r="I583" s="40"/>
      <c r="J583" s="41"/>
    </row>
    <row r="584" ht="12.75" customHeight="1">
      <c r="A584" s="35"/>
      <c r="B584" s="36"/>
      <c r="C584" s="42"/>
      <c r="D584" s="38"/>
      <c r="E584" s="39"/>
      <c r="F584" s="40"/>
      <c r="G584" s="38"/>
      <c r="H584" s="40"/>
      <c r="I584" s="40"/>
      <c r="J584" s="41"/>
    </row>
    <row r="585" ht="12.75" customHeight="1">
      <c r="A585" s="35"/>
      <c r="B585" s="36"/>
      <c r="C585" s="42"/>
      <c r="D585" s="38"/>
      <c r="E585" s="39"/>
      <c r="F585" s="40"/>
      <c r="G585" s="38"/>
      <c r="H585" s="40"/>
      <c r="I585" s="40"/>
      <c r="J585" s="41"/>
    </row>
    <row r="586" ht="12.75" customHeight="1">
      <c r="A586" s="35"/>
      <c r="B586" s="36"/>
      <c r="C586" s="42"/>
      <c r="D586" s="38"/>
      <c r="E586" s="39"/>
      <c r="F586" s="40"/>
      <c r="G586" s="38"/>
      <c r="H586" s="40"/>
      <c r="I586" s="40"/>
      <c r="J586" s="41"/>
    </row>
    <row r="587" ht="12.75" customHeight="1">
      <c r="A587" s="35"/>
      <c r="B587" s="36"/>
      <c r="C587" s="42"/>
      <c r="D587" s="38"/>
      <c r="E587" s="39"/>
      <c r="F587" s="40"/>
      <c r="G587" s="38"/>
      <c r="H587" s="40"/>
      <c r="I587" s="40"/>
      <c r="J587" s="41"/>
    </row>
    <row r="588" ht="12.75" customHeight="1">
      <c r="A588" s="35"/>
      <c r="B588" s="36"/>
      <c r="C588" s="42"/>
      <c r="D588" s="38"/>
      <c r="E588" s="39"/>
      <c r="F588" s="40"/>
      <c r="G588" s="38"/>
      <c r="H588" s="40"/>
      <c r="I588" s="40"/>
      <c r="J588" s="41"/>
    </row>
    <row r="589" ht="12.75" customHeight="1">
      <c r="A589" s="35"/>
      <c r="B589" s="36"/>
      <c r="C589" s="42"/>
      <c r="D589" s="38"/>
      <c r="E589" s="39"/>
      <c r="F589" s="40"/>
      <c r="G589" s="38"/>
      <c r="H589" s="40"/>
      <c r="I589" s="40"/>
      <c r="J589" s="41"/>
    </row>
    <row r="590" ht="12.75" customHeight="1">
      <c r="A590" s="35"/>
      <c r="B590" s="36"/>
      <c r="C590" s="42"/>
      <c r="D590" s="38"/>
      <c r="E590" s="39"/>
      <c r="F590" s="40"/>
      <c r="G590" s="38"/>
      <c r="H590" s="40"/>
      <c r="I590" s="40"/>
      <c r="J590" s="41"/>
    </row>
    <row r="591" ht="12.75" customHeight="1">
      <c r="A591" s="35"/>
      <c r="B591" s="36"/>
      <c r="C591" s="42"/>
      <c r="D591" s="38"/>
      <c r="E591" s="39"/>
      <c r="F591" s="40"/>
      <c r="G591" s="38"/>
      <c r="H591" s="40"/>
      <c r="I591" s="40"/>
      <c r="J591" s="41"/>
    </row>
    <row r="592" ht="12.75" customHeight="1">
      <c r="A592" s="35"/>
      <c r="B592" s="36"/>
      <c r="C592" s="42"/>
      <c r="D592" s="38"/>
      <c r="E592" s="39"/>
      <c r="F592" s="40"/>
      <c r="G592" s="38"/>
      <c r="H592" s="40"/>
      <c r="I592" s="40"/>
      <c r="J592" s="41"/>
    </row>
    <row r="593" ht="12.75" customHeight="1">
      <c r="A593" s="35"/>
      <c r="B593" s="36"/>
      <c r="C593" s="42"/>
      <c r="D593" s="38"/>
      <c r="E593" s="39"/>
      <c r="F593" s="40"/>
      <c r="G593" s="38"/>
      <c r="H593" s="40"/>
      <c r="I593" s="40"/>
      <c r="J593" s="41"/>
    </row>
    <row r="594" ht="12.75" customHeight="1">
      <c r="A594" s="35"/>
      <c r="B594" s="36"/>
      <c r="C594" s="42"/>
      <c r="D594" s="38"/>
      <c r="E594" s="39"/>
      <c r="F594" s="40"/>
      <c r="G594" s="38"/>
      <c r="H594" s="40"/>
      <c r="I594" s="40"/>
      <c r="J594" s="41"/>
    </row>
    <row r="595" ht="12.75" customHeight="1">
      <c r="A595" s="35"/>
      <c r="B595" s="36"/>
      <c r="C595" s="42"/>
      <c r="D595" s="38"/>
      <c r="E595" s="39"/>
      <c r="F595" s="40"/>
      <c r="G595" s="38"/>
      <c r="H595" s="40"/>
      <c r="I595" s="40"/>
      <c r="J595" s="41"/>
    </row>
    <row r="596" ht="12.75" customHeight="1">
      <c r="A596" s="35"/>
      <c r="B596" s="36"/>
      <c r="C596" s="42"/>
      <c r="D596" s="38"/>
      <c r="E596" s="39"/>
      <c r="F596" s="40"/>
      <c r="G596" s="38"/>
      <c r="H596" s="40"/>
      <c r="I596" s="40"/>
      <c r="J596" s="41"/>
    </row>
    <row r="597" ht="12.75" customHeight="1">
      <c r="A597" s="35"/>
      <c r="B597" s="36"/>
      <c r="C597" s="42"/>
      <c r="D597" s="38"/>
      <c r="E597" s="39"/>
      <c r="F597" s="40"/>
      <c r="G597" s="38"/>
      <c r="H597" s="40"/>
      <c r="I597" s="40"/>
      <c r="J597" s="41"/>
    </row>
    <row r="598" ht="12.75" customHeight="1">
      <c r="A598" s="35"/>
      <c r="B598" s="36"/>
      <c r="C598" s="42"/>
      <c r="D598" s="38"/>
      <c r="E598" s="39"/>
      <c r="F598" s="40"/>
      <c r="G598" s="38"/>
      <c r="H598" s="40"/>
      <c r="I598" s="40"/>
      <c r="J598" s="41"/>
    </row>
    <row r="599" ht="12.75" customHeight="1">
      <c r="A599" s="35"/>
      <c r="B599" s="36"/>
      <c r="C599" s="42"/>
      <c r="D599" s="38"/>
      <c r="E599" s="39"/>
      <c r="F599" s="40"/>
      <c r="G599" s="38"/>
      <c r="H599" s="40"/>
      <c r="I599" s="40"/>
      <c r="J599" s="41"/>
    </row>
    <row r="600" ht="12.75" customHeight="1">
      <c r="A600" s="35"/>
      <c r="B600" s="36"/>
      <c r="C600" s="42"/>
      <c r="D600" s="38"/>
      <c r="E600" s="39"/>
      <c r="F600" s="40"/>
      <c r="G600" s="38"/>
      <c r="H600" s="40"/>
      <c r="I600" s="40"/>
      <c r="J600" s="41"/>
    </row>
    <row r="601" ht="12.75" customHeight="1">
      <c r="A601" s="35"/>
      <c r="B601" s="36"/>
      <c r="C601" s="42"/>
      <c r="D601" s="38"/>
      <c r="E601" s="39"/>
      <c r="F601" s="40"/>
      <c r="G601" s="38"/>
      <c r="H601" s="40"/>
      <c r="I601" s="40"/>
      <c r="J601" s="41"/>
    </row>
    <row r="602" ht="12.75" customHeight="1">
      <c r="A602" s="35"/>
      <c r="B602" s="36"/>
      <c r="C602" s="42"/>
      <c r="D602" s="38"/>
      <c r="E602" s="39"/>
      <c r="F602" s="40"/>
      <c r="G602" s="38"/>
      <c r="H602" s="40"/>
      <c r="I602" s="40"/>
      <c r="J602" s="41"/>
    </row>
    <row r="603" ht="12.75" customHeight="1">
      <c r="A603" s="35"/>
      <c r="B603" s="36"/>
      <c r="C603" s="42"/>
      <c r="D603" s="38"/>
      <c r="E603" s="39"/>
      <c r="F603" s="40"/>
      <c r="G603" s="38"/>
      <c r="H603" s="40"/>
      <c r="I603" s="40"/>
      <c r="J603" s="41"/>
    </row>
    <row r="604" ht="12.75" customHeight="1">
      <c r="A604" s="35"/>
      <c r="B604" s="36"/>
      <c r="C604" s="42"/>
      <c r="D604" s="38"/>
      <c r="E604" s="39"/>
      <c r="F604" s="40"/>
      <c r="G604" s="38"/>
      <c r="H604" s="40"/>
      <c r="I604" s="40"/>
      <c r="J604" s="41"/>
    </row>
    <row r="605" ht="12.75" customHeight="1">
      <c r="A605" s="35"/>
      <c r="B605" s="36"/>
      <c r="C605" s="42"/>
      <c r="D605" s="38"/>
      <c r="E605" s="39"/>
      <c r="F605" s="40"/>
      <c r="G605" s="38"/>
      <c r="H605" s="40"/>
      <c r="I605" s="40"/>
      <c r="J605" s="41"/>
    </row>
    <row r="606" ht="12.75" customHeight="1">
      <c r="A606" s="35"/>
      <c r="B606" s="36"/>
      <c r="C606" s="42"/>
      <c r="D606" s="38"/>
      <c r="E606" s="39"/>
      <c r="F606" s="40"/>
      <c r="G606" s="38"/>
      <c r="H606" s="40"/>
      <c r="I606" s="40"/>
      <c r="J606" s="41"/>
    </row>
    <row r="607" ht="12.75" customHeight="1">
      <c r="A607" s="35"/>
      <c r="B607" s="36"/>
      <c r="C607" s="42"/>
      <c r="D607" s="38"/>
      <c r="E607" s="39"/>
      <c r="F607" s="40"/>
      <c r="G607" s="38"/>
      <c r="H607" s="40"/>
      <c r="I607" s="40"/>
      <c r="J607" s="41"/>
    </row>
    <row r="608" ht="12.75" customHeight="1">
      <c r="A608" s="35"/>
      <c r="B608" s="36"/>
      <c r="C608" s="42"/>
      <c r="D608" s="38"/>
      <c r="E608" s="39"/>
      <c r="F608" s="40"/>
      <c r="G608" s="38"/>
      <c r="H608" s="40"/>
      <c r="I608" s="40"/>
      <c r="J608" s="41"/>
    </row>
    <row r="609" ht="12.75" customHeight="1">
      <c r="A609" s="35"/>
      <c r="B609" s="36"/>
      <c r="C609" s="42"/>
      <c r="D609" s="38"/>
      <c r="E609" s="39"/>
      <c r="F609" s="40"/>
      <c r="G609" s="38"/>
      <c r="H609" s="40"/>
      <c r="I609" s="40"/>
      <c r="J609" s="41"/>
    </row>
    <row r="610" ht="12.75" customHeight="1">
      <c r="A610" s="35"/>
      <c r="B610" s="36"/>
      <c r="C610" s="42"/>
      <c r="D610" s="38"/>
      <c r="E610" s="39"/>
      <c r="F610" s="40"/>
      <c r="G610" s="38"/>
      <c r="H610" s="40"/>
      <c r="I610" s="40"/>
      <c r="J610" s="41"/>
    </row>
    <row r="611" ht="12.75" customHeight="1">
      <c r="A611" s="35"/>
      <c r="B611" s="36"/>
      <c r="C611" s="42"/>
      <c r="D611" s="38"/>
      <c r="E611" s="39"/>
      <c r="F611" s="40"/>
      <c r="G611" s="38"/>
      <c r="H611" s="40"/>
      <c r="I611" s="40"/>
      <c r="J611" s="41"/>
    </row>
    <row r="612" ht="12.75" customHeight="1">
      <c r="A612" s="35"/>
      <c r="B612" s="36"/>
      <c r="C612" s="42"/>
      <c r="D612" s="38"/>
      <c r="E612" s="39"/>
      <c r="F612" s="40"/>
      <c r="G612" s="38"/>
      <c r="H612" s="40"/>
      <c r="I612" s="40"/>
      <c r="J612" s="41"/>
    </row>
    <row r="613" ht="12.75" customHeight="1">
      <c r="A613" s="35"/>
      <c r="B613" s="36"/>
      <c r="C613" s="42"/>
      <c r="D613" s="38"/>
      <c r="E613" s="39"/>
      <c r="F613" s="40"/>
      <c r="G613" s="38"/>
      <c r="H613" s="40"/>
      <c r="I613" s="40"/>
      <c r="J613" s="41"/>
    </row>
    <row r="614" ht="12.75" customHeight="1">
      <c r="A614" s="35"/>
      <c r="B614" s="36"/>
      <c r="C614" s="42"/>
      <c r="D614" s="38"/>
      <c r="E614" s="39"/>
      <c r="F614" s="40"/>
      <c r="G614" s="38"/>
      <c r="H614" s="40"/>
      <c r="I614" s="40"/>
      <c r="J614" s="41"/>
    </row>
    <row r="615" ht="12.75" customHeight="1">
      <c r="A615" s="35"/>
      <c r="B615" s="36"/>
      <c r="C615" s="42"/>
      <c r="D615" s="38"/>
      <c r="E615" s="39"/>
      <c r="F615" s="40"/>
      <c r="G615" s="38"/>
      <c r="H615" s="40"/>
      <c r="I615" s="40"/>
      <c r="J615" s="41"/>
    </row>
    <row r="616" ht="12.75" customHeight="1">
      <c r="A616" s="35"/>
      <c r="B616" s="36"/>
      <c r="C616" s="42"/>
      <c r="D616" s="38"/>
      <c r="E616" s="39"/>
      <c r="F616" s="40"/>
      <c r="G616" s="38"/>
      <c r="H616" s="40"/>
      <c r="I616" s="40"/>
      <c r="J616" s="41"/>
    </row>
    <row r="617" ht="12.75" customHeight="1">
      <c r="A617" s="35"/>
      <c r="B617" s="36"/>
      <c r="C617" s="42"/>
      <c r="D617" s="38"/>
      <c r="E617" s="39"/>
      <c r="F617" s="40"/>
      <c r="G617" s="38"/>
      <c r="H617" s="40"/>
      <c r="I617" s="40"/>
      <c r="J617" s="41"/>
    </row>
    <row r="618" ht="12.75" customHeight="1">
      <c r="A618" s="35"/>
      <c r="B618" s="36"/>
      <c r="C618" s="42"/>
      <c r="D618" s="38"/>
      <c r="E618" s="39"/>
      <c r="F618" s="40"/>
      <c r="G618" s="38"/>
      <c r="H618" s="40"/>
      <c r="I618" s="40"/>
      <c r="J618" s="41"/>
    </row>
    <row r="619" ht="12.75" customHeight="1">
      <c r="A619" s="35"/>
      <c r="B619" s="36"/>
      <c r="C619" s="42"/>
      <c r="D619" s="38"/>
      <c r="E619" s="39"/>
      <c r="F619" s="40"/>
      <c r="G619" s="38"/>
      <c r="H619" s="40"/>
      <c r="I619" s="40"/>
      <c r="J619" s="41"/>
    </row>
    <row r="620" ht="12.75" customHeight="1">
      <c r="A620" s="35"/>
      <c r="B620" s="36"/>
      <c r="C620" s="42"/>
      <c r="D620" s="38"/>
      <c r="E620" s="39"/>
      <c r="F620" s="40"/>
      <c r="G620" s="38"/>
      <c r="H620" s="40"/>
      <c r="I620" s="40"/>
      <c r="J620" s="41"/>
    </row>
    <row r="621" ht="12.75" customHeight="1">
      <c r="A621" s="35"/>
      <c r="B621" s="36"/>
      <c r="C621" s="42"/>
      <c r="D621" s="38"/>
      <c r="E621" s="39"/>
      <c r="F621" s="40"/>
      <c r="G621" s="38"/>
      <c r="H621" s="40"/>
      <c r="I621" s="40"/>
      <c r="J621" s="41"/>
    </row>
    <row r="622" ht="12.75" customHeight="1">
      <c r="A622" s="35"/>
      <c r="B622" s="36"/>
      <c r="C622" s="42"/>
      <c r="D622" s="38"/>
      <c r="E622" s="39"/>
      <c r="F622" s="40"/>
      <c r="G622" s="38"/>
      <c r="H622" s="40"/>
      <c r="I622" s="40"/>
      <c r="J622" s="41"/>
    </row>
    <row r="623" ht="12.75" customHeight="1">
      <c r="A623" s="35"/>
      <c r="B623" s="36"/>
      <c r="C623" s="42"/>
      <c r="D623" s="38"/>
      <c r="E623" s="39"/>
      <c r="F623" s="40"/>
      <c r="G623" s="38"/>
      <c r="H623" s="40"/>
      <c r="I623" s="40"/>
      <c r="J623" s="41"/>
    </row>
    <row r="624" ht="12.75" customHeight="1">
      <c r="A624" s="35"/>
      <c r="B624" s="36"/>
      <c r="C624" s="42"/>
      <c r="D624" s="38"/>
      <c r="E624" s="39"/>
      <c r="F624" s="40"/>
      <c r="G624" s="38"/>
      <c r="H624" s="40"/>
      <c r="I624" s="40"/>
      <c r="J624" s="41"/>
    </row>
    <row r="625" ht="12.75" customHeight="1">
      <c r="A625" s="35"/>
      <c r="B625" s="36"/>
      <c r="C625" s="42"/>
      <c r="D625" s="38"/>
      <c r="E625" s="39"/>
      <c r="F625" s="40"/>
      <c r="G625" s="38"/>
      <c r="H625" s="40"/>
      <c r="I625" s="40"/>
      <c r="J625" s="41"/>
    </row>
    <row r="626" ht="12.75" customHeight="1">
      <c r="A626" s="35"/>
      <c r="B626" s="36"/>
      <c r="C626" s="42"/>
      <c r="D626" s="38"/>
      <c r="E626" s="39"/>
      <c r="F626" s="40"/>
      <c r="G626" s="38"/>
      <c r="H626" s="40"/>
      <c r="I626" s="40"/>
      <c r="J626" s="41"/>
    </row>
    <row r="627" ht="12.75" customHeight="1">
      <c r="A627" s="35"/>
      <c r="B627" s="36"/>
      <c r="C627" s="42"/>
      <c r="D627" s="38"/>
      <c r="E627" s="39"/>
      <c r="F627" s="40"/>
      <c r="G627" s="38"/>
      <c r="H627" s="40"/>
      <c r="I627" s="40"/>
      <c r="J627" s="41"/>
    </row>
    <row r="628" ht="12.75" customHeight="1">
      <c r="A628" s="35"/>
      <c r="B628" s="36"/>
      <c r="C628" s="42"/>
      <c r="D628" s="38"/>
      <c r="E628" s="39"/>
      <c r="F628" s="40"/>
      <c r="G628" s="38"/>
      <c r="H628" s="40"/>
      <c r="I628" s="40"/>
      <c r="J628" s="41"/>
    </row>
    <row r="629" ht="12.75" customHeight="1">
      <c r="A629" s="35"/>
      <c r="B629" s="36"/>
      <c r="C629" s="42"/>
      <c r="D629" s="38"/>
      <c r="E629" s="39"/>
      <c r="F629" s="40"/>
      <c r="G629" s="38"/>
      <c r="H629" s="40"/>
      <c r="I629" s="40"/>
      <c r="J629" s="41"/>
    </row>
    <row r="630" ht="12.75" customHeight="1">
      <c r="A630" s="35"/>
      <c r="B630" s="36"/>
      <c r="C630" s="42"/>
      <c r="D630" s="38"/>
      <c r="E630" s="39"/>
      <c r="F630" s="40"/>
      <c r="G630" s="38"/>
      <c r="H630" s="40"/>
      <c r="I630" s="40"/>
      <c r="J630" s="41"/>
    </row>
    <row r="631" ht="12.75" customHeight="1">
      <c r="A631" s="35"/>
      <c r="B631" s="36"/>
      <c r="C631" s="42"/>
      <c r="D631" s="38"/>
      <c r="E631" s="39"/>
      <c r="F631" s="40"/>
      <c r="G631" s="38"/>
      <c r="H631" s="40"/>
      <c r="I631" s="40"/>
      <c r="J631" s="41"/>
    </row>
    <row r="632" ht="12.75" customHeight="1">
      <c r="A632" s="35"/>
      <c r="B632" s="36"/>
      <c r="C632" s="42"/>
      <c r="D632" s="38"/>
      <c r="E632" s="39"/>
      <c r="F632" s="40"/>
      <c r="G632" s="38"/>
      <c r="H632" s="40"/>
      <c r="I632" s="40"/>
      <c r="J632" s="41"/>
    </row>
    <row r="633" ht="12.75" customHeight="1">
      <c r="A633" s="35"/>
      <c r="B633" s="36"/>
      <c r="C633" s="42"/>
      <c r="D633" s="38"/>
      <c r="E633" s="39"/>
      <c r="F633" s="40"/>
      <c r="G633" s="38"/>
      <c r="H633" s="40"/>
      <c r="I633" s="40"/>
      <c r="J633" s="41"/>
    </row>
    <row r="634" ht="12.75" customHeight="1">
      <c r="A634" s="35"/>
      <c r="B634" s="36"/>
      <c r="C634" s="42"/>
      <c r="D634" s="38"/>
      <c r="E634" s="39"/>
      <c r="F634" s="40"/>
      <c r="G634" s="38"/>
      <c r="H634" s="40"/>
      <c r="I634" s="40"/>
      <c r="J634" s="41"/>
    </row>
    <row r="635" ht="12.75" customHeight="1">
      <c r="A635" s="35"/>
      <c r="B635" s="36"/>
      <c r="C635" s="42"/>
      <c r="D635" s="38"/>
      <c r="E635" s="39"/>
      <c r="F635" s="40"/>
      <c r="G635" s="38"/>
      <c r="H635" s="40"/>
      <c r="I635" s="40"/>
      <c r="J635" s="41"/>
    </row>
    <row r="636" ht="12.75" customHeight="1">
      <c r="A636" s="35"/>
      <c r="B636" s="36"/>
      <c r="C636" s="42"/>
      <c r="D636" s="38"/>
      <c r="E636" s="39"/>
      <c r="F636" s="40"/>
      <c r="G636" s="38"/>
      <c r="H636" s="40"/>
      <c r="I636" s="40"/>
      <c r="J636" s="41"/>
    </row>
    <row r="637" ht="12.75" customHeight="1">
      <c r="A637" s="35"/>
      <c r="B637" s="36"/>
      <c r="C637" s="42"/>
      <c r="D637" s="38"/>
      <c r="E637" s="39"/>
      <c r="F637" s="40"/>
      <c r="G637" s="38"/>
      <c r="H637" s="40"/>
      <c r="I637" s="40"/>
      <c r="J637" s="41"/>
    </row>
    <row r="638" ht="12.75" customHeight="1">
      <c r="A638" s="35"/>
      <c r="B638" s="36"/>
      <c r="C638" s="42"/>
      <c r="D638" s="38"/>
      <c r="E638" s="39"/>
      <c r="F638" s="40"/>
      <c r="G638" s="38"/>
      <c r="H638" s="40"/>
      <c r="I638" s="40"/>
      <c r="J638" s="41"/>
    </row>
    <row r="639" ht="12.75" customHeight="1">
      <c r="A639" s="35"/>
      <c r="B639" s="36"/>
      <c r="C639" s="42"/>
      <c r="D639" s="38"/>
      <c r="E639" s="39"/>
      <c r="F639" s="40"/>
      <c r="G639" s="38"/>
      <c r="H639" s="40"/>
      <c r="I639" s="40"/>
      <c r="J639" s="41"/>
    </row>
    <row r="640" ht="12.75" customHeight="1">
      <c r="A640" s="35"/>
      <c r="B640" s="36"/>
      <c r="C640" s="42"/>
      <c r="D640" s="38"/>
      <c r="E640" s="39"/>
      <c r="F640" s="40"/>
      <c r="G640" s="38"/>
      <c r="H640" s="40"/>
      <c r="I640" s="40"/>
      <c r="J640" s="41"/>
    </row>
    <row r="641" ht="12.75" customHeight="1">
      <c r="A641" s="35"/>
      <c r="B641" s="36"/>
      <c r="C641" s="42"/>
      <c r="D641" s="38"/>
      <c r="E641" s="39"/>
      <c r="F641" s="40"/>
      <c r="G641" s="38"/>
      <c r="H641" s="40"/>
      <c r="I641" s="40"/>
      <c r="J641" s="41"/>
    </row>
    <row r="642" ht="12.75" customHeight="1">
      <c r="A642" s="35"/>
      <c r="B642" s="36"/>
      <c r="C642" s="42"/>
      <c r="D642" s="38"/>
      <c r="E642" s="39"/>
      <c r="F642" s="40"/>
      <c r="G642" s="38"/>
      <c r="H642" s="40"/>
      <c r="I642" s="40"/>
      <c r="J642" s="41"/>
    </row>
    <row r="643" ht="12.75" customHeight="1">
      <c r="A643" s="35"/>
      <c r="B643" s="36"/>
      <c r="C643" s="42"/>
      <c r="D643" s="38"/>
      <c r="E643" s="39"/>
      <c r="F643" s="40"/>
      <c r="G643" s="38"/>
      <c r="H643" s="40"/>
      <c r="I643" s="40"/>
      <c r="J643" s="41"/>
    </row>
    <row r="644" ht="12.75" customHeight="1">
      <c r="A644" s="35"/>
      <c r="B644" s="36"/>
      <c r="C644" s="42"/>
      <c r="D644" s="38"/>
      <c r="E644" s="39"/>
      <c r="F644" s="40"/>
      <c r="G644" s="38"/>
      <c r="H644" s="40"/>
      <c r="I644" s="40"/>
      <c r="J644" s="41"/>
    </row>
    <row r="645" ht="12.75" customHeight="1">
      <c r="A645" s="35"/>
      <c r="B645" s="36"/>
      <c r="C645" s="42"/>
      <c r="D645" s="38"/>
      <c r="E645" s="39"/>
      <c r="F645" s="40"/>
      <c r="G645" s="38"/>
      <c r="H645" s="40"/>
      <c r="I645" s="40"/>
      <c r="J645" s="41"/>
    </row>
    <row r="646" ht="12.75" customHeight="1">
      <c r="A646" s="35"/>
      <c r="B646" s="36"/>
      <c r="C646" s="42"/>
      <c r="D646" s="38"/>
      <c r="E646" s="39"/>
      <c r="F646" s="40"/>
      <c r="G646" s="38"/>
      <c r="H646" s="40"/>
      <c r="I646" s="40"/>
      <c r="J646" s="41"/>
    </row>
    <row r="647" ht="12.75" customHeight="1">
      <c r="A647" s="35"/>
      <c r="B647" s="36"/>
      <c r="C647" s="42"/>
      <c r="D647" s="38"/>
      <c r="E647" s="39"/>
      <c r="F647" s="40"/>
      <c r="G647" s="38"/>
      <c r="H647" s="40"/>
      <c r="I647" s="40"/>
      <c r="J647" s="41"/>
    </row>
    <row r="648" ht="12.75" customHeight="1">
      <c r="A648" s="35"/>
      <c r="B648" s="36"/>
      <c r="C648" s="42"/>
      <c r="D648" s="38"/>
      <c r="E648" s="39"/>
      <c r="F648" s="40"/>
      <c r="G648" s="38"/>
      <c r="H648" s="40"/>
      <c r="I648" s="40"/>
      <c r="J648" s="41"/>
    </row>
    <row r="649" ht="12.75" customHeight="1">
      <c r="A649" s="35"/>
      <c r="B649" s="36"/>
      <c r="C649" s="42"/>
      <c r="D649" s="38"/>
      <c r="E649" s="39"/>
      <c r="F649" s="40"/>
      <c r="G649" s="38"/>
      <c r="H649" s="40"/>
      <c r="I649" s="40"/>
      <c r="J649" s="41"/>
    </row>
    <row r="650" ht="12.75" customHeight="1">
      <c r="A650" s="35"/>
      <c r="B650" s="36"/>
      <c r="C650" s="42"/>
      <c r="D650" s="38"/>
      <c r="E650" s="39"/>
      <c r="F650" s="40"/>
      <c r="G650" s="38"/>
      <c r="H650" s="40"/>
      <c r="I650" s="40"/>
      <c r="J650" s="41"/>
    </row>
    <row r="651" ht="12.75" customHeight="1">
      <c r="A651" s="35"/>
      <c r="B651" s="36"/>
      <c r="C651" s="42"/>
      <c r="D651" s="38"/>
      <c r="E651" s="39"/>
      <c r="F651" s="40"/>
      <c r="G651" s="38"/>
      <c r="H651" s="40"/>
      <c r="I651" s="40"/>
      <c r="J651" s="41"/>
    </row>
    <row r="652" ht="12.75" customHeight="1">
      <c r="A652" s="35"/>
      <c r="B652" s="36"/>
      <c r="C652" s="42"/>
      <c r="D652" s="38"/>
      <c r="E652" s="39"/>
      <c r="F652" s="40"/>
      <c r="G652" s="38"/>
      <c r="H652" s="40"/>
      <c r="I652" s="40"/>
      <c r="J652" s="41"/>
    </row>
    <row r="653" ht="12.75" customHeight="1">
      <c r="A653" s="35"/>
      <c r="B653" s="36"/>
      <c r="C653" s="42"/>
      <c r="D653" s="38"/>
      <c r="E653" s="39"/>
      <c r="F653" s="40"/>
      <c r="G653" s="38"/>
      <c r="H653" s="40"/>
      <c r="I653" s="40"/>
      <c r="J653" s="41"/>
    </row>
    <row r="654" ht="12.75" customHeight="1">
      <c r="A654" s="35"/>
      <c r="B654" s="36"/>
      <c r="C654" s="42"/>
      <c r="D654" s="38"/>
      <c r="E654" s="39"/>
      <c r="F654" s="40"/>
      <c r="G654" s="38"/>
      <c r="H654" s="40"/>
      <c r="I654" s="40"/>
      <c r="J654" s="41"/>
    </row>
    <row r="655" ht="12.75" customHeight="1">
      <c r="A655" s="35"/>
      <c r="B655" s="36"/>
      <c r="C655" s="42"/>
      <c r="D655" s="38"/>
      <c r="E655" s="39"/>
      <c r="F655" s="40"/>
      <c r="G655" s="38"/>
      <c r="H655" s="40"/>
      <c r="I655" s="40"/>
      <c r="J655" s="41"/>
    </row>
    <row r="656" ht="12.75" customHeight="1">
      <c r="A656" s="35"/>
      <c r="B656" s="36"/>
      <c r="C656" s="42"/>
      <c r="D656" s="38"/>
      <c r="E656" s="39"/>
      <c r="F656" s="40"/>
      <c r="G656" s="38"/>
      <c r="H656" s="40"/>
      <c r="I656" s="40"/>
      <c r="J656" s="41"/>
      <c r="K656" s="38"/>
    </row>
    <row r="657" ht="12.75" customHeight="1">
      <c r="A657" s="35"/>
      <c r="B657" s="36"/>
      <c r="C657" s="42"/>
      <c r="D657" s="38"/>
      <c r="E657" s="39"/>
      <c r="F657" s="40"/>
      <c r="G657" s="38"/>
      <c r="H657" s="40"/>
      <c r="I657" s="40"/>
      <c r="J657" s="41"/>
      <c r="K657" s="38"/>
    </row>
    <row r="658" ht="12.75" customHeight="1">
      <c r="A658" s="35"/>
      <c r="B658" s="36"/>
      <c r="C658" s="42"/>
      <c r="D658" s="38"/>
      <c r="E658" s="39"/>
      <c r="F658" s="40"/>
      <c r="G658" s="38"/>
      <c r="H658" s="40"/>
      <c r="I658" s="40"/>
      <c r="J658" s="41"/>
      <c r="K658" s="38"/>
    </row>
    <row r="659" ht="12.75" customHeight="1">
      <c r="A659" s="35"/>
      <c r="B659" s="36"/>
      <c r="C659" s="42"/>
      <c r="D659" s="38"/>
      <c r="E659" s="39"/>
      <c r="F659" s="40"/>
      <c r="G659" s="38"/>
      <c r="H659" s="40"/>
      <c r="I659" s="40"/>
      <c r="J659" s="41"/>
      <c r="K659" s="38"/>
    </row>
    <row r="660" ht="12.75" customHeight="1">
      <c r="A660" s="35"/>
      <c r="B660" s="36"/>
      <c r="C660" s="42"/>
      <c r="D660" s="38"/>
      <c r="E660" s="39"/>
      <c r="F660" s="40"/>
      <c r="G660" s="38"/>
      <c r="H660" s="40"/>
      <c r="I660" s="40"/>
      <c r="J660" s="41"/>
      <c r="K660" s="38"/>
    </row>
    <row r="661" ht="12.75" customHeight="1">
      <c r="A661" s="35"/>
      <c r="B661" s="36"/>
      <c r="C661" s="42"/>
      <c r="D661" s="38"/>
      <c r="E661" s="39"/>
      <c r="F661" s="40"/>
      <c r="G661" s="38"/>
      <c r="H661" s="40"/>
      <c r="I661" s="40"/>
      <c r="J661" s="41"/>
      <c r="K661" s="38"/>
    </row>
    <row r="662" ht="12.75" customHeight="1">
      <c r="A662" s="35"/>
      <c r="B662" s="36"/>
      <c r="C662" s="42"/>
      <c r="D662" s="38"/>
      <c r="E662" s="39"/>
      <c r="F662" s="40"/>
      <c r="G662" s="38"/>
      <c r="H662" s="40"/>
      <c r="I662" s="40"/>
      <c r="J662" s="41"/>
      <c r="K662" s="38"/>
    </row>
    <row r="663" ht="12.75" customHeight="1">
      <c r="A663" s="35"/>
      <c r="B663" s="36"/>
      <c r="C663" s="42"/>
      <c r="D663" s="38"/>
      <c r="E663" s="39"/>
      <c r="F663" s="40"/>
      <c r="G663" s="38"/>
      <c r="H663" s="40"/>
      <c r="I663" s="40"/>
      <c r="J663" s="41"/>
      <c r="K663" s="38"/>
    </row>
    <row r="664" ht="12.75" customHeight="1">
      <c r="A664" s="35"/>
      <c r="B664" s="36"/>
      <c r="C664" s="42"/>
      <c r="D664" s="38"/>
      <c r="E664" s="39"/>
      <c r="F664" s="40"/>
      <c r="G664" s="38"/>
      <c r="H664" s="40"/>
      <c r="I664" s="40"/>
      <c r="J664" s="41"/>
      <c r="K664" s="38"/>
    </row>
    <row r="665" ht="12.75" customHeight="1">
      <c r="A665" s="35"/>
      <c r="B665" s="36"/>
      <c r="C665" s="42"/>
      <c r="D665" s="38"/>
      <c r="E665" s="39"/>
      <c r="F665" s="40"/>
      <c r="G665" s="38"/>
      <c r="H665" s="40"/>
      <c r="I665" s="40"/>
      <c r="J665" s="41"/>
      <c r="K665" s="38"/>
    </row>
    <row r="666" ht="12.75" customHeight="1">
      <c r="A666" s="35"/>
      <c r="B666" s="36"/>
      <c r="C666" s="42"/>
      <c r="D666" s="38"/>
      <c r="E666" s="39"/>
      <c r="F666" s="40"/>
      <c r="G666" s="38"/>
      <c r="H666" s="40"/>
      <c r="I666" s="40"/>
      <c r="J666" s="41"/>
      <c r="K666" s="38"/>
    </row>
    <row r="667" ht="12.75" customHeight="1">
      <c r="A667" s="35"/>
      <c r="B667" s="36"/>
      <c r="C667" s="42"/>
      <c r="D667" s="38"/>
      <c r="E667" s="39"/>
      <c r="F667" s="40"/>
      <c r="G667" s="38"/>
      <c r="H667" s="40"/>
      <c r="I667" s="40"/>
      <c r="J667" s="41"/>
      <c r="K667" s="38"/>
    </row>
    <row r="668" ht="12.75" customHeight="1">
      <c r="A668" s="35"/>
      <c r="B668" s="36"/>
      <c r="C668" s="42"/>
      <c r="D668" s="38"/>
      <c r="E668" s="39"/>
      <c r="F668" s="40"/>
      <c r="G668" s="38"/>
      <c r="H668" s="40"/>
      <c r="I668" s="40"/>
      <c r="J668" s="41"/>
      <c r="K668" s="38"/>
    </row>
    <row r="669" ht="12.75" customHeight="1">
      <c r="A669" s="35"/>
      <c r="B669" s="36"/>
      <c r="C669" s="42"/>
      <c r="D669" s="38"/>
      <c r="E669" s="39"/>
      <c r="F669" s="40"/>
      <c r="G669" s="38"/>
      <c r="H669" s="40"/>
      <c r="I669" s="40"/>
      <c r="J669" s="41"/>
      <c r="K669" s="38"/>
    </row>
    <row r="670" ht="12.75" customHeight="1">
      <c r="A670" s="35"/>
      <c r="B670" s="36"/>
      <c r="C670" s="42"/>
      <c r="D670" s="38"/>
      <c r="E670" s="39"/>
      <c r="F670" s="40"/>
      <c r="G670" s="38"/>
      <c r="H670" s="40"/>
      <c r="I670" s="40"/>
      <c r="J670" s="41"/>
      <c r="K670" s="38"/>
    </row>
    <row r="671" ht="12.75" customHeight="1">
      <c r="A671" s="35"/>
      <c r="B671" s="36"/>
      <c r="C671" s="42"/>
      <c r="D671" s="38"/>
      <c r="E671" s="39"/>
      <c r="F671" s="40"/>
      <c r="G671" s="38"/>
      <c r="H671" s="40"/>
      <c r="I671" s="40"/>
      <c r="J671" s="41"/>
      <c r="K671" s="38"/>
    </row>
    <row r="672" ht="12.75" customHeight="1">
      <c r="A672" s="35"/>
      <c r="B672" s="36"/>
      <c r="C672" s="42"/>
      <c r="D672" s="38"/>
      <c r="E672" s="39"/>
      <c r="F672" s="40"/>
      <c r="G672" s="38"/>
      <c r="H672" s="40"/>
      <c r="I672" s="40"/>
      <c r="J672" s="41"/>
      <c r="K672" s="38"/>
    </row>
    <row r="673" ht="12.75" customHeight="1">
      <c r="A673" s="35"/>
      <c r="B673" s="36"/>
      <c r="C673" s="42"/>
      <c r="D673" s="38"/>
      <c r="E673" s="39"/>
      <c r="F673" s="40"/>
      <c r="G673" s="38"/>
      <c r="H673" s="40"/>
      <c r="I673" s="40"/>
      <c r="J673" s="41"/>
      <c r="K673" s="38"/>
    </row>
    <row r="674" ht="12.75" customHeight="1">
      <c r="A674" s="35"/>
      <c r="B674" s="36"/>
      <c r="C674" s="42"/>
      <c r="D674" s="38"/>
      <c r="E674" s="39"/>
      <c r="F674" s="40"/>
      <c r="G674" s="38"/>
      <c r="H674" s="40"/>
      <c r="I674" s="40"/>
      <c r="J674" s="41"/>
      <c r="K674" s="38"/>
    </row>
    <row r="675" ht="12.75" customHeight="1">
      <c r="A675" s="35"/>
      <c r="B675" s="36"/>
      <c r="C675" s="42"/>
      <c r="D675" s="38"/>
      <c r="E675" s="39"/>
      <c r="F675" s="40"/>
      <c r="G675" s="38"/>
      <c r="H675" s="40"/>
      <c r="I675" s="40"/>
      <c r="J675" s="41"/>
      <c r="K675" s="38"/>
    </row>
    <row r="676" ht="12.75" customHeight="1">
      <c r="A676" s="35"/>
      <c r="B676" s="36"/>
      <c r="C676" s="42"/>
      <c r="D676" s="38"/>
      <c r="E676" s="39"/>
      <c r="F676" s="40"/>
      <c r="G676" s="38"/>
      <c r="H676" s="40"/>
      <c r="I676" s="40"/>
      <c r="J676" s="41"/>
      <c r="K676" s="38"/>
    </row>
    <row r="677" ht="12.75" customHeight="1">
      <c r="A677" s="35"/>
      <c r="B677" s="36"/>
      <c r="C677" s="42"/>
      <c r="D677" s="38"/>
      <c r="E677" s="39"/>
      <c r="F677" s="40"/>
      <c r="G677" s="38"/>
      <c r="H677" s="40"/>
      <c r="I677" s="40"/>
      <c r="J677" s="41"/>
      <c r="K677" s="38"/>
    </row>
    <row r="678" ht="12.75" customHeight="1">
      <c r="A678" s="35"/>
      <c r="B678" s="36"/>
      <c r="C678" s="42"/>
      <c r="D678" s="38"/>
      <c r="E678" s="39"/>
      <c r="F678" s="40"/>
      <c r="G678" s="38"/>
      <c r="H678" s="40"/>
      <c r="I678" s="40"/>
      <c r="J678" s="41"/>
      <c r="K678" s="38"/>
    </row>
    <row r="679" ht="12.75" customHeight="1">
      <c r="A679" s="35"/>
      <c r="B679" s="36"/>
      <c r="C679" s="42"/>
      <c r="D679" s="38"/>
      <c r="E679" s="39"/>
      <c r="F679" s="40"/>
      <c r="G679" s="38"/>
      <c r="H679" s="40"/>
      <c r="I679" s="40"/>
      <c r="J679" s="41"/>
      <c r="K679" s="38"/>
    </row>
    <row r="680" ht="12.75" customHeight="1">
      <c r="A680" s="35"/>
      <c r="B680" s="36"/>
      <c r="C680" s="42"/>
      <c r="D680" s="38"/>
      <c r="E680" s="39"/>
      <c r="F680" s="40"/>
      <c r="G680" s="38"/>
      <c r="H680" s="40"/>
      <c r="I680" s="40"/>
      <c r="J680" s="41"/>
      <c r="K680" s="38"/>
    </row>
    <row r="681" ht="12.75" customHeight="1">
      <c r="A681" s="35"/>
      <c r="B681" s="36"/>
      <c r="C681" s="42"/>
      <c r="D681" s="38"/>
      <c r="E681" s="39"/>
      <c r="F681" s="40"/>
      <c r="G681" s="38"/>
      <c r="H681" s="40"/>
      <c r="I681" s="40"/>
      <c r="J681" s="41"/>
      <c r="K681" s="38"/>
    </row>
    <row r="682" ht="12.75" customHeight="1">
      <c r="A682" s="35"/>
      <c r="B682" s="36"/>
      <c r="C682" s="42"/>
      <c r="D682" s="38"/>
      <c r="E682" s="39"/>
      <c r="F682" s="40"/>
      <c r="G682" s="38"/>
      <c r="H682" s="40"/>
      <c r="I682" s="40"/>
      <c r="J682" s="41"/>
      <c r="K682" s="38"/>
    </row>
    <row r="683" ht="12.75" customHeight="1">
      <c r="A683" s="35"/>
      <c r="B683" s="36"/>
      <c r="C683" s="42"/>
      <c r="D683" s="38"/>
      <c r="E683" s="39"/>
      <c r="F683" s="40"/>
      <c r="G683" s="38"/>
      <c r="H683" s="40"/>
      <c r="I683" s="40"/>
      <c r="J683" s="41"/>
      <c r="K683" s="38"/>
    </row>
    <row r="684" ht="12.75" customHeight="1">
      <c r="A684" s="35"/>
      <c r="B684" s="36"/>
      <c r="C684" s="42"/>
      <c r="D684" s="38"/>
      <c r="E684" s="39"/>
      <c r="F684" s="40"/>
      <c r="G684" s="38"/>
      <c r="H684" s="40"/>
      <c r="I684" s="40"/>
      <c r="J684" s="41"/>
      <c r="K684" s="38"/>
    </row>
    <row r="685" ht="12.75" customHeight="1">
      <c r="A685" s="35"/>
      <c r="B685" s="36"/>
      <c r="C685" s="42"/>
      <c r="D685" s="38"/>
      <c r="E685" s="39"/>
      <c r="F685" s="40"/>
      <c r="G685" s="38"/>
      <c r="H685" s="40"/>
      <c r="I685" s="40"/>
      <c r="J685" s="41"/>
      <c r="K685" s="38"/>
    </row>
    <row r="686" ht="12.75" customHeight="1">
      <c r="A686" s="35"/>
      <c r="B686" s="36"/>
      <c r="C686" s="42"/>
      <c r="D686" s="38"/>
      <c r="E686" s="39"/>
      <c r="F686" s="40"/>
      <c r="G686" s="38"/>
      <c r="H686" s="40"/>
      <c r="I686" s="40"/>
      <c r="J686" s="41"/>
      <c r="K686" s="38"/>
    </row>
    <row r="687" ht="12.75" customHeight="1">
      <c r="A687" s="35"/>
      <c r="B687" s="36"/>
      <c r="C687" s="42"/>
      <c r="D687" s="38"/>
      <c r="E687" s="39"/>
      <c r="F687" s="40"/>
      <c r="G687" s="38"/>
      <c r="H687" s="40"/>
      <c r="I687" s="40"/>
      <c r="J687" s="41"/>
      <c r="K687" s="38"/>
    </row>
    <row r="688" ht="12.75" customHeight="1">
      <c r="A688" s="35"/>
      <c r="B688" s="36"/>
      <c r="C688" s="42"/>
      <c r="D688" s="38"/>
      <c r="E688" s="39"/>
      <c r="F688" s="40"/>
      <c r="G688" s="38"/>
      <c r="H688" s="40"/>
      <c r="I688" s="40"/>
      <c r="J688" s="41"/>
      <c r="K688" s="38"/>
    </row>
    <row r="689" ht="12.75" customHeight="1">
      <c r="A689" s="35"/>
      <c r="B689" s="36"/>
      <c r="C689" s="42"/>
      <c r="D689" s="38"/>
      <c r="E689" s="39"/>
      <c r="F689" s="40"/>
      <c r="G689" s="38"/>
      <c r="H689" s="40"/>
      <c r="I689" s="40"/>
      <c r="J689" s="41"/>
      <c r="K689" s="38"/>
    </row>
    <row r="690" ht="12.75" customHeight="1">
      <c r="A690" s="35"/>
      <c r="B690" s="36"/>
      <c r="C690" s="42"/>
      <c r="D690" s="38"/>
      <c r="E690" s="39"/>
      <c r="F690" s="40"/>
      <c r="G690" s="38"/>
      <c r="H690" s="40"/>
      <c r="I690" s="40"/>
      <c r="J690" s="41"/>
      <c r="K690" s="38"/>
    </row>
    <row r="691" ht="12.75" customHeight="1">
      <c r="A691" s="35"/>
      <c r="B691" s="36"/>
      <c r="C691" s="42"/>
      <c r="D691" s="38"/>
      <c r="E691" s="39"/>
      <c r="F691" s="40"/>
      <c r="G691" s="38"/>
      <c r="H691" s="40"/>
      <c r="I691" s="40"/>
      <c r="J691" s="41"/>
      <c r="K691" s="38"/>
    </row>
    <row r="692" ht="12.75" customHeight="1">
      <c r="A692" s="35"/>
      <c r="B692" s="36"/>
      <c r="C692" s="42"/>
      <c r="D692" s="38"/>
      <c r="E692" s="39"/>
      <c r="F692" s="40"/>
      <c r="G692" s="38"/>
      <c r="H692" s="40"/>
      <c r="I692" s="40"/>
      <c r="J692" s="41"/>
      <c r="K692" s="38"/>
    </row>
    <row r="693" ht="12.75" customHeight="1">
      <c r="A693" s="35"/>
      <c r="B693" s="36"/>
      <c r="C693" s="42"/>
      <c r="D693" s="38"/>
      <c r="E693" s="39"/>
      <c r="F693" s="40"/>
      <c r="G693" s="38"/>
      <c r="H693" s="40"/>
      <c r="I693" s="40"/>
      <c r="J693" s="41"/>
      <c r="K693" s="38"/>
    </row>
    <row r="694" ht="12.75" customHeight="1">
      <c r="A694" s="35"/>
      <c r="B694" s="36"/>
      <c r="C694" s="42"/>
      <c r="D694" s="38"/>
      <c r="E694" s="39"/>
      <c r="F694" s="40"/>
      <c r="G694" s="38"/>
      <c r="H694" s="40"/>
      <c r="I694" s="40"/>
      <c r="J694" s="41"/>
      <c r="K694" s="38"/>
    </row>
    <row r="695" ht="12.75" customHeight="1">
      <c r="A695" s="35"/>
      <c r="B695" s="36"/>
      <c r="C695" s="42"/>
      <c r="D695" s="38"/>
      <c r="E695" s="39"/>
      <c r="F695" s="40"/>
      <c r="G695" s="38"/>
      <c r="H695" s="40"/>
      <c r="I695" s="40"/>
      <c r="J695" s="41"/>
      <c r="K695" s="38"/>
    </row>
    <row r="696" ht="12.75" customHeight="1">
      <c r="A696" s="35"/>
      <c r="B696" s="36"/>
      <c r="C696" s="42"/>
      <c r="D696" s="38"/>
      <c r="E696" s="39"/>
      <c r="F696" s="40"/>
      <c r="G696" s="38"/>
      <c r="H696" s="40"/>
      <c r="I696" s="40"/>
      <c r="J696" s="41"/>
      <c r="K696" s="38"/>
    </row>
    <row r="697" ht="12.75" customHeight="1">
      <c r="A697" s="35"/>
      <c r="B697" s="36"/>
      <c r="C697" s="42"/>
      <c r="D697" s="38"/>
      <c r="E697" s="39"/>
      <c r="F697" s="40"/>
      <c r="G697" s="38"/>
      <c r="H697" s="40"/>
      <c r="I697" s="40"/>
      <c r="J697" s="41"/>
      <c r="K697" s="38"/>
    </row>
    <row r="698" ht="12.75" customHeight="1">
      <c r="A698" s="35"/>
      <c r="B698" s="36"/>
      <c r="C698" s="42"/>
      <c r="D698" s="38"/>
      <c r="E698" s="39"/>
      <c r="F698" s="40"/>
      <c r="G698" s="38"/>
      <c r="H698" s="40"/>
      <c r="I698" s="40"/>
      <c r="J698" s="41"/>
      <c r="K698" s="38"/>
    </row>
    <row r="699" ht="12.75" customHeight="1">
      <c r="A699" s="35"/>
      <c r="B699" s="36"/>
      <c r="C699" s="42"/>
      <c r="D699" s="38"/>
      <c r="E699" s="39"/>
      <c r="F699" s="40"/>
      <c r="G699" s="38"/>
      <c r="H699" s="40"/>
      <c r="I699" s="40"/>
      <c r="J699" s="41"/>
      <c r="K699" s="38"/>
    </row>
    <row r="700" ht="12.75" customHeight="1">
      <c r="A700" s="35"/>
      <c r="B700" s="36"/>
      <c r="C700" s="42"/>
      <c r="D700" s="38"/>
      <c r="E700" s="39"/>
      <c r="F700" s="40"/>
      <c r="G700" s="38"/>
      <c r="H700" s="40"/>
      <c r="I700" s="40"/>
      <c r="J700" s="41"/>
      <c r="K700" s="38"/>
    </row>
    <row r="701" ht="12.75" customHeight="1">
      <c r="A701" s="35"/>
      <c r="B701" s="36"/>
      <c r="C701" s="42"/>
      <c r="D701" s="38"/>
      <c r="E701" s="39"/>
      <c r="F701" s="40"/>
      <c r="G701" s="38"/>
      <c r="H701" s="40"/>
      <c r="I701" s="40"/>
      <c r="J701" s="41"/>
      <c r="K701" s="38"/>
    </row>
    <row r="702" ht="12.75" customHeight="1">
      <c r="A702" s="35"/>
      <c r="B702" s="36"/>
      <c r="C702" s="42"/>
      <c r="D702" s="38"/>
      <c r="E702" s="39"/>
      <c r="F702" s="40"/>
      <c r="G702" s="38"/>
      <c r="H702" s="40"/>
      <c r="I702" s="40"/>
      <c r="J702" s="41"/>
      <c r="K702" s="38"/>
    </row>
    <row r="703" ht="12.75" customHeight="1">
      <c r="A703" s="35"/>
      <c r="B703" s="36"/>
      <c r="C703" s="42"/>
      <c r="D703" s="38"/>
      <c r="E703" s="39"/>
      <c r="F703" s="40"/>
      <c r="G703" s="38"/>
      <c r="H703" s="40"/>
      <c r="I703" s="40"/>
      <c r="J703" s="41"/>
      <c r="K703" s="38"/>
    </row>
    <row r="704" ht="12.75" customHeight="1">
      <c r="A704" s="35"/>
      <c r="B704" s="36"/>
      <c r="C704" s="42"/>
      <c r="D704" s="38"/>
      <c r="E704" s="39"/>
      <c r="F704" s="40"/>
      <c r="G704" s="38"/>
      <c r="H704" s="40"/>
      <c r="I704" s="40"/>
      <c r="J704" s="41"/>
      <c r="K704" s="38"/>
    </row>
    <row r="705" ht="12.75" customHeight="1">
      <c r="A705" s="35"/>
      <c r="B705" s="36"/>
      <c r="C705" s="42"/>
      <c r="D705" s="38"/>
      <c r="E705" s="39"/>
      <c r="F705" s="40"/>
      <c r="G705" s="38"/>
      <c r="H705" s="40"/>
      <c r="I705" s="40"/>
      <c r="J705" s="41"/>
      <c r="K705" s="38"/>
    </row>
    <row r="706" ht="12.75" customHeight="1">
      <c r="A706" s="35"/>
      <c r="B706" s="36"/>
      <c r="C706" s="42"/>
      <c r="D706" s="38"/>
      <c r="E706" s="39"/>
      <c r="F706" s="40"/>
      <c r="G706" s="38"/>
      <c r="H706" s="40"/>
      <c r="I706" s="40"/>
      <c r="J706" s="41"/>
      <c r="K706" s="38"/>
    </row>
    <row r="707" ht="12.75" customHeight="1">
      <c r="A707" s="35"/>
      <c r="B707" s="36"/>
      <c r="C707" s="42"/>
      <c r="D707" s="38"/>
      <c r="E707" s="39"/>
      <c r="F707" s="40"/>
      <c r="G707" s="38"/>
      <c r="H707" s="40"/>
      <c r="I707" s="40"/>
      <c r="J707" s="41"/>
      <c r="K707" s="38"/>
    </row>
    <row r="708" ht="12.75" customHeight="1">
      <c r="A708" s="35"/>
      <c r="B708" s="36"/>
      <c r="C708" s="42"/>
      <c r="D708" s="38"/>
      <c r="E708" s="39"/>
      <c r="F708" s="40"/>
      <c r="G708" s="38"/>
      <c r="H708" s="40"/>
      <c r="I708" s="40"/>
      <c r="J708" s="41"/>
      <c r="K708" s="38"/>
    </row>
    <row r="709" ht="12.75" customHeight="1">
      <c r="A709" s="35"/>
      <c r="B709" s="36"/>
      <c r="C709" s="42"/>
      <c r="D709" s="38"/>
      <c r="E709" s="39"/>
      <c r="F709" s="40"/>
      <c r="G709" s="38"/>
      <c r="H709" s="40"/>
      <c r="I709" s="40"/>
      <c r="J709" s="41"/>
      <c r="K709" s="38"/>
    </row>
    <row r="710" ht="12.75" customHeight="1">
      <c r="A710" s="35"/>
      <c r="B710" s="36"/>
      <c r="C710" s="42"/>
      <c r="D710" s="38"/>
      <c r="E710" s="39"/>
      <c r="F710" s="40"/>
      <c r="G710" s="38"/>
      <c r="H710" s="40"/>
      <c r="I710" s="40"/>
      <c r="J710" s="41"/>
      <c r="K710" s="38"/>
    </row>
    <row r="711" ht="12.75" customHeight="1">
      <c r="A711" s="35"/>
      <c r="B711" s="36"/>
      <c r="C711" s="42"/>
      <c r="D711" s="38"/>
      <c r="E711" s="39"/>
      <c r="F711" s="40"/>
      <c r="G711" s="38"/>
      <c r="H711" s="40"/>
      <c r="I711" s="40"/>
      <c r="J711" s="41"/>
      <c r="K711" s="38"/>
    </row>
    <row r="712" ht="12.75" customHeight="1">
      <c r="A712" s="35"/>
      <c r="B712" s="36"/>
      <c r="C712" s="42"/>
      <c r="D712" s="38"/>
      <c r="E712" s="39"/>
      <c r="F712" s="40"/>
      <c r="G712" s="38"/>
      <c r="H712" s="40"/>
      <c r="I712" s="40"/>
      <c r="J712" s="41"/>
      <c r="K712" s="38"/>
    </row>
    <row r="713" ht="12.75" customHeight="1">
      <c r="A713" s="35"/>
      <c r="B713" s="36"/>
      <c r="C713" s="42"/>
      <c r="D713" s="38"/>
      <c r="E713" s="39"/>
      <c r="F713" s="40"/>
      <c r="G713" s="38"/>
      <c r="H713" s="40"/>
      <c r="I713" s="40"/>
      <c r="J713" s="41"/>
      <c r="K713" s="38"/>
    </row>
    <row r="714" ht="12.75" customHeight="1">
      <c r="A714" s="35"/>
      <c r="B714" s="36"/>
      <c r="C714" s="42"/>
      <c r="D714" s="38"/>
      <c r="E714" s="39"/>
      <c r="F714" s="40"/>
      <c r="G714" s="38"/>
      <c r="H714" s="40"/>
      <c r="I714" s="40"/>
      <c r="J714" s="41"/>
      <c r="K714" s="38"/>
    </row>
    <row r="715" ht="12.75" customHeight="1">
      <c r="A715" s="35"/>
      <c r="B715" s="36"/>
      <c r="C715" s="42"/>
      <c r="D715" s="38"/>
      <c r="E715" s="39"/>
      <c r="F715" s="40"/>
      <c r="G715" s="38"/>
      <c r="H715" s="40"/>
      <c r="I715" s="40"/>
      <c r="J715" s="41"/>
      <c r="K715" s="38"/>
    </row>
    <row r="716" ht="12.75" customHeight="1">
      <c r="A716" s="35"/>
      <c r="B716" s="36"/>
      <c r="C716" s="42"/>
      <c r="D716" s="38"/>
      <c r="E716" s="39"/>
      <c r="F716" s="40"/>
      <c r="G716" s="38"/>
      <c r="H716" s="40"/>
      <c r="I716" s="40"/>
      <c r="J716" s="41"/>
      <c r="K716" s="38"/>
    </row>
    <row r="717" ht="12.75" customHeight="1">
      <c r="A717" s="35"/>
      <c r="B717" s="36"/>
      <c r="C717" s="42"/>
      <c r="D717" s="38"/>
      <c r="E717" s="39"/>
      <c r="F717" s="40"/>
      <c r="G717" s="38"/>
      <c r="H717" s="40"/>
      <c r="I717" s="40"/>
      <c r="J717" s="41"/>
      <c r="K717" s="38"/>
    </row>
    <row r="718" ht="12.75" customHeight="1">
      <c r="A718" s="35"/>
      <c r="B718" s="36"/>
      <c r="C718" s="42"/>
      <c r="D718" s="38"/>
      <c r="E718" s="39"/>
      <c r="F718" s="40"/>
      <c r="G718" s="38"/>
      <c r="H718" s="40"/>
      <c r="I718" s="40"/>
      <c r="J718" s="41"/>
      <c r="K718" s="38"/>
    </row>
    <row r="719" ht="12.75" customHeight="1">
      <c r="A719" s="35"/>
      <c r="B719" s="36"/>
      <c r="C719" s="42"/>
      <c r="D719" s="38"/>
      <c r="E719" s="39"/>
      <c r="F719" s="40"/>
      <c r="G719" s="38"/>
      <c r="H719" s="40"/>
      <c r="I719" s="40"/>
      <c r="J719" s="41"/>
      <c r="K719" s="38"/>
    </row>
    <row r="720" ht="12.75" customHeight="1">
      <c r="A720" s="35"/>
      <c r="B720" s="36"/>
      <c r="C720" s="42"/>
      <c r="D720" s="38"/>
      <c r="E720" s="39"/>
      <c r="F720" s="40"/>
      <c r="G720" s="38"/>
      <c r="H720" s="40"/>
      <c r="I720" s="40"/>
      <c r="J720" s="41"/>
      <c r="K720" s="38"/>
    </row>
    <row r="721" ht="12.75" customHeight="1">
      <c r="A721" s="35"/>
      <c r="B721" s="36"/>
      <c r="C721" s="42"/>
      <c r="D721" s="38"/>
      <c r="E721" s="39"/>
      <c r="F721" s="40"/>
      <c r="G721" s="38"/>
      <c r="H721" s="40"/>
      <c r="I721" s="40"/>
      <c r="J721" s="41"/>
      <c r="K721" s="38"/>
    </row>
    <row r="722" ht="12.75" customHeight="1">
      <c r="A722" s="35"/>
      <c r="B722" s="36"/>
      <c r="C722" s="42"/>
      <c r="D722" s="38"/>
      <c r="E722" s="39"/>
      <c r="F722" s="40"/>
      <c r="G722" s="38"/>
      <c r="H722" s="40"/>
      <c r="I722" s="40"/>
      <c r="J722" s="41"/>
      <c r="K722" s="38"/>
    </row>
    <row r="723" ht="12.75" customHeight="1">
      <c r="A723" s="35"/>
      <c r="B723" s="36"/>
      <c r="C723" s="42"/>
      <c r="D723" s="38"/>
      <c r="E723" s="39"/>
      <c r="F723" s="40"/>
      <c r="G723" s="38"/>
      <c r="H723" s="40"/>
      <c r="I723" s="40"/>
      <c r="J723" s="41"/>
      <c r="K723" s="38"/>
    </row>
    <row r="724" ht="12.75" customHeight="1">
      <c r="A724" s="35"/>
      <c r="B724" s="36"/>
      <c r="C724" s="42"/>
      <c r="D724" s="38"/>
      <c r="E724" s="39"/>
      <c r="F724" s="40"/>
      <c r="G724" s="38"/>
      <c r="H724" s="40"/>
      <c r="I724" s="40"/>
      <c r="J724" s="41"/>
      <c r="K724" s="38"/>
    </row>
    <row r="725" ht="12.75" customHeight="1">
      <c r="A725" s="35"/>
      <c r="B725" s="36"/>
      <c r="C725" s="42"/>
      <c r="D725" s="38"/>
      <c r="E725" s="39"/>
      <c r="F725" s="40"/>
      <c r="G725" s="38"/>
      <c r="H725" s="40"/>
      <c r="I725" s="40"/>
      <c r="J725" s="41"/>
      <c r="K725" s="38"/>
    </row>
    <row r="726" ht="12.75" customHeight="1">
      <c r="A726" s="35"/>
      <c r="B726" s="36"/>
      <c r="C726" s="42"/>
      <c r="D726" s="38"/>
      <c r="E726" s="39"/>
      <c r="F726" s="40"/>
      <c r="G726" s="38"/>
      <c r="H726" s="40"/>
      <c r="I726" s="40"/>
      <c r="J726" s="41"/>
      <c r="K726" s="38"/>
    </row>
    <row r="727" ht="12.75" customHeight="1">
      <c r="A727" s="35"/>
      <c r="B727" s="36"/>
      <c r="C727" s="42"/>
      <c r="D727" s="38"/>
      <c r="E727" s="39"/>
      <c r="F727" s="40"/>
      <c r="G727" s="38"/>
      <c r="H727" s="40"/>
      <c r="I727" s="40"/>
      <c r="J727" s="41"/>
      <c r="K727" s="38"/>
    </row>
    <row r="728" ht="12.75" customHeight="1">
      <c r="A728" s="35"/>
      <c r="B728" s="36"/>
      <c r="C728" s="42"/>
      <c r="D728" s="38"/>
      <c r="E728" s="39"/>
      <c r="F728" s="40"/>
      <c r="G728" s="38"/>
      <c r="H728" s="40"/>
      <c r="I728" s="40"/>
      <c r="J728" s="41"/>
      <c r="K728" s="38"/>
    </row>
    <row r="729" ht="12.75" customHeight="1">
      <c r="A729" s="35"/>
      <c r="B729" s="36"/>
      <c r="C729" s="42"/>
      <c r="D729" s="38"/>
      <c r="E729" s="39"/>
      <c r="F729" s="40"/>
      <c r="G729" s="38"/>
      <c r="H729" s="40"/>
      <c r="I729" s="40"/>
      <c r="J729" s="41"/>
      <c r="K729" s="38"/>
    </row>
    <row r="730" ht="12.75" customHeight="1">
      <c r="A730" s="35"/>
      <c r="B730" s="36"/>
      <c r="C730" s="42"/>
      <c r="D730" s="38"/>
      <c r="E730" s="39"/>
      <c r="F730" s="40"/>
      <c r="G730" s="38"/>
      <c r="H730" s="40"/>
      <c r="I730" s="40"/>
      <c r="J730" s="41"/>
      <c r="K730" s="38"/>
    </row>
    <row r="731" ht="12.75" customHeight="1">
      <c r="A731" s="35"/>
      <c r="B731" s="36"/>
      <c r="C731" s="42"/>
      <c r="D731" s="38"/>
      <c r="E731" s="39"/>
      <c r="F731" s="40"/>
      <c r="G731" s="38"/>
      <c r="H731" s="40"/>
      <c r="I731" s="40"/>
      <c r="J731" s="41"/>
      <c r="K731" s="38"/>
    </row>
    <row r="732" ht="12.75" customHeight="1">
      <c r="A732" s="35"/>
      <c r="B732" s="36"/>
      <c r="C732" s="42"/>
      <c r="D732" s="38"/>
      <c r="E732" s="39"/>
      <c r="F732" s="40"/>
      <c r="G732" s="38"/>
      <c r="H732" s="40"/>
      <c r="I732" s="40"/>
      <c r="J732" s="41"/>
      <c r="K732" s="38"/>
    </row>
    <row r="733" ht="12.75" customHeight="1">
      <c r="A733" s="35"/>
      <c r="B733" s="36"/>
      <c r="C733" s="42"/>
      <c r="D733" s="38"/>
      <c r="E733" s="39"/>
      <c r="F733" s="40"/>
      <c r="G733" s="38"/>
      <c r="H733" s="40"/>
      <c r="I733" s="40"/>
      <c r="J733" s="41"/>
      <c r="K733" s="38"/>
    </row>
    <row r="734" ht="12.75" customHeight="1">
      <c r="A734" s="35"/>
      <c r="B734" s="36"/>
      <c r="C734" s="42"/>
      <c r="D734" s="38"/>
      <c r="E734" s="39"/>
      <c r="F734" s="40"/>
      <c r="G734" s="38"/>
      <c r="H734" s="40"/>
      <c r="I734" s="40"/>
      <c r="J734" s="41"/>
      <c r="K734" s="38"/>
    </row>
    <row r="735" ht="12.75" customHeight="1">
      <c r="A735" s="35"/>
      <c r="B735" s="36"/>
      <c r="C735" s="42"/>
      <c r="D735" s="38"/>
      <c r="E735" s="39"/>
      <c r="F735" s="40"/>
      <c r="G735" s="38"/>
      <c r="H735" s="40"/>
      <c r="I735" s="40"/>
      <c r="J735" s="41"/>
      <c r="K735" s="38"/>
    </row>
    <row r="736" ht="12.75" customHeight="1">
      <c r="A736" s="35"/>
      <c r="B736" s="36"/>
      <c r="C736" s="42"/>
      <c r="D736" s="38"/>
      <c r="E736" s="39"/>
      <c r="F736" s="40"/>
      <c r="G736" s="38"/>
      <c r="H736" s="40"/>
      <c r="I736" s="40"/>
      <c r="J736" s="41"/>
      <c r="K736" s="38"/>
    </row>
    <row r="737" ht="12.75" customHeight="1">
      <c r="A737" s="35"/>
      <c r="B737" s="36"/>
      <c r="C737" s="42"/>
      <c r="D737" s="38"/>
      <c r="E737" s="39"/>
      <c r="F737" s="40"/>
      <c r="G737" s="38"/>
      <c r="H737" s="40"/>
      <c r="I737" s="40"/>
      <c r="J737" s="41"/>
      <c r="K737" s="38"/>
    </row>
    <row r="738" ht="12.75" customHeight="1">
      <c r="A738" s="35"/>
      <c r="B738" s="36"/>
      <c r="C738" s="42"/>
      <c r="D738" s="38"/>
      <c r="E738" s="39"/>
      <c r="F738" s="40"/>
      <c r="G738" s="38"/>
      <c r="H738" s="40"/>
      <c r="I738" s="40"/>
      <c r="J738" s="41"/>
      <c r="K738" s="38"/>
    </row>
    <row r="739" ht="12.75" customHeight="1">
      <c r="A739" s="35"/>
      <c r="B739" s="36"/>
      <c r="C739" s="42"/>
      <c r="D739" s="38"/>
      <c r="E739" s="39"/>
      <c r="F739" s="40"/>
      <c r="G739" s="38"/>
      <c r="H739" s="40"/>
      <c r="I739" s="40"/>
      <c r="J739" s="41"/>
      <c r="K739" s="38"/>
    </row>
    <row r="740" ht="12.75" customHeight="1">
      <c r="A740" s="35"/>
      <c r="B740" s="36"/>
      <c r="C740" s="42"/>
      <c r="D740" s="38"/>
      <c r="E740" s="39"/>
      <c r="F740" s="40"/>
      <c r="G740" s="38"/>
      <c r="H740" s="40"/>
      <c r="I740" s="40"/>
      <c r="J740" s="41"/>
      <c r="K740" s="38"/>
    </row>
    <row r="741" ht="12.75" customHeight="1">
      <c r="A741" s="35"/>
      <c r="B741" s="36"/>
      <c r="C741" s="42"/>
      <c r="D741" s="38"/>
      <c r="E741" s="39"/>
      <c r="F741" s="40"/>
      <c r="G741" s="38"/>
      <c r="H741" s="40"/>
      <c r="I741" s="40"/>
      <c r="J741" s="41"/>
      <c r="K741" s="38"/>
    </row>
    <row r="742" ht="12.75" customHeight="1">
      <c r="A742" s="35"/>
      <c r="B742" s="36"/>
      <c r="C742" s="42"/>
      <c r="D742" s="38"/>
      <c r="E742" s="39"/>
      <c r="F742" s="40"/>
      <c r="G742" s="38"/>
      <c r="H742" s="40"/>
      <c r="I742" s="40"/>
      <c r="J742" s="41"/>
      <c r="K742" s="38"/>
    </row>
    <row r="743" ht="12.75" customHeight="1">
      <c r="A743" s="35"/>
      <c r="B743" s="36"/>
      <c r="C743" s="42"/>
      <c r="D743" s="38"/>
      <c r="E743" s="39"/>
      <c r="F743" s="40"/>
      <c r="G743" s="38"/>
      <c r="H743" s="40"/>
      <c r="I743" s="40"/>
      <c r="J743" s="41"/>
      <c r="K743" s="38"/>
    </row>
    <row r="744" ht="12.75" customHeight="1">
      <c r="A744" s="35"/>
      <c r="B744" s="36"/>
      <c r="C744" s="42"/>
      <c r="D744" s="38"/>
      <c r="E744" s="39"/>
      <c r="F744" s="40"/>
      <c r="G744" s="38"/>
      <c r="H744" s="40"/>
      <c r="I744" s="40"/>
      <c r="J744" s="41"/>
      <c r="K744" s="38"/>
    </row>
    <row r="745" ht="12.75" customHeight="1">
      <c r="A745" s="35"/>
      <c r="B745" s="36"/>
      <c r="C745" s="42"/>
      <c r="D745" s="38"/>
      <c r="E745" s="39"/>
      <c r="F745" s="40"/>
      <c r="G745" s="38"/>
      <c r="H745" s="40"/>
      <c r="I745" s="40"/>
      <c r="J745" s="41"/>
      <c r="K745" s="38"/>
    </row>
    <row r="746" ht="12.75" customHeight="1">
      <c r="A746" s="35"/>
      <c r="B746" s="36"/>
      <c r="C746" s="42"/>
      <c r="D746" s="38"/>
      <c r="E746" s="39"/>
      <c r="F746" s="40"/>
      <c r="G746" s="38"/>
      <c r="H746" s="40"/>
      <c r="I746" s="40"/>
      <c r="J746" s="41"/>
      <c r="K746" s="38"/>
    </row>
    <row r="747" ht="12.75" customHeight="1">
      <c r="A747" s="35"/>
      <c r="B747" s="36"/>
      <c r="C747" s="42"/>
      <c r="D747" s="38"/>
      <c r="E747" s="39"/>
      <c r="F747" s="40"/>
      <c r="G747" s="38"/>
      <c r="H747" s="40"/>
      <c r="I747" s="40"/>
      <c r="J747" s="41"/>
      <c r="K747" s="38"/>
    </row>
    <row r="748" ht="12.75" customHeight="1">
      <c r="A748" s="35"/>
      <c r="B748" s="36"/>
      <c r="C748" s="42"/>
      <c r="D748" s="38"/>
      <c r="E748" s="39"/>
      <c r="F748" s="40"/>
      <c r="G748" s="38"/>
      <c r="H748" s="40"/>
      <c r="I748" s="40"/>
      <c r="J748" s="41"/>
      <c r="K748" s="38"/>
    </row>
    <row r="749" ht="12.75" customHeight="1">
      <c r="A749" s="35"/>
      <c r="B749" s="36"/>
      <c r="C749" s="42"/>
      <c r="D749" s="38"/>
      <c r="E749" s="39"/>
      <c r="F749" s="40"/>
      <c r="G749" s="38"/>
      <c r="H749" s="40"/>
      <c r="I749" s="40"/>
      <c r="J749" s="41"/>
      <c r="K749" s="38"/>
    </row>
    <row r="750" ht="12.75" customHeight="1">
      <c r="A750" s="35"/>
      <c r="B750" s="36"/>
      <c r="C750" s="42"/>
      <c r="D750" s="38"/>
      <c r="E750" s="39"/>
      <c r="F750" s="40"/>
      <c r="G750" s="38"/>
      <c r="H750" s="40"/>
      <c r="I750" s="40"/>
      <c r="J750" s="41"/>
      <c r="K750" s="38"/>
    </row>
    <row r="751" ht="12.75" customHeight="1">
      <c r="A751" s="35"/>
      <c r="B751" s="36"/>
      <c r="C751" s="42"/>
      <c r="D751" s="38"/>
      <c r="E751" s="39"/>
      <c r="F751" s="40"/>
      <c r="G751" s="38"/>
      <c r="H751" s="40"/>
      <c r="I751" s="40"/>
      <c r="J751" s="41"/>
      <c r="K751" s="38"/>
    </row>
    <row r="752" ht="12.75" customHeight="1">
      <c r="A752" s="35"/>
      <c r="B752" s="36"/>
      <c r="C752" s="42"/>
      <c r="D752" s="38"/>
      <c r="E752" s="39"/>
      <c r="F752" s="40"/>
      <c r="G752" s="38"/>
      <c r="H752" s="40"/>
      <c r="I752" s="40"/>
      <c r="J752" s="41"/>
      <c r="K752" s="38"/>
    </row>
    <row r="753" ht="12.75" customHeight="1">
      <c r="A753" s="35"/>
      <c r="B753" s="36"/>
      <c r="C753" s="42"/>
      <c r="D753" s="38"/>
      <c r="E753" s="39"/>
      <c r="F753" s="40"/>
      <c r="G753" s="38"/>
      <c r="H753" s="40"/>
      <c r="I753" s="40"/>
      <c r="J753" s="41"/>
      <c r="K753" s="38"/>
    </row>
    <row r="754" ht="12.75" customHeight="1">
      <c r="A754" s="35"/>
      <c r="B754" s="36"/>
      <c r="C754" s="42"/>
      <c r="D754" s="38"/>
      <c r="E754" s="39"/>
      <c r="F754" s="40"/>
      <c r="G754" s="38"/>
      <c r="H754" s="40"/>
      <c r="I754" s="40"/>
      <c r="J754" s="41"/>
      <c r="K754" s="38"/>
    </row>
    <row r="755" ht="12.75" customHeight="1">
      <c r="A755" s="35"/>
      <c r="B755" s="36"/>
      <c r="C755" s="42"/>
      <c r="D755" s="38"/>
      <c r="E755" s="39"/>
      <c r="F755" s="40"/>
      <c r="G755" s="38"/>
      <c r="H755" s="40"/>
      <c r="I755" s="40"/>
      <c r="J755" s="41"/>
      <c r="K755" s="38"/>
    </row>
    <row r="756" ht="12.75" customHeight="1">
      <c r="A756" s="35"/>
      <c r="B756" s="36"/>
      <c r="C756" s="42"/>
      <c r="D756" s="38"/>
      <c r="E756" s="39"/>
      <c r="F756" s="40"/>
      <c r="G756" s="38"/>
      <c r="H756" s="40"/>
      <c r="I756" s="40"/>
      <c r="J756" s="41"/>
      <c r="K756" s="38"/>
    </row>
    <row r="757" ht="12.75" customHeight="1">
      <c r="A757" s="35"/>
      <c r="B757" s="36"/>
      <c r="C757" s="42"/>
      <c r="D757" s="38"/>
      <c r="E757" s="39"/>
      <c r="F757" s="40"/>
      <c r="G757" s="38"/>
      <c r="H757" s="40"/>
      <c r="I757" s="40"/>
      <c r="J757" s="41"/>
      <c r="K757" s="38"/>
    </row>
    <row r="758" ht="12.75" customHeight="1">
      <c r="A758" s="35"/>
      <c r="B758" s="36"/>
      <c r="C758" s="42"/>
      <c r="D758" s="38"/>
      <c r="E758" s="39"/>
      <c r="F758" s="40"/>
      <c r="G758" s="38"/>
      <c r="H758" s="40"/>
      <c r="I758" s="40"/>
      <c r="J758" s="41"/>
      <c r="K758" s="38"/>
    </row>
    <row r="759" ht="12.75" customHeight="1">
      <c r="A759" s="35"/>
      <c r="B759" s="36"/>
      <c r="C759" s="42"/>
      <c r="D759" s="38"/>
      <c r="E759" s="39"/>
      <c r="F759" s="40"/>
      <c r="G759" s="38"/>
      <c r="H759" s="40"/>
      <c r="I759" s="40"/>
      <c r="J759" s="41"/>
      <c r="K759" s="38"/>
    </row>
    <row r="760" ht="12.75" customHeight="1">
      <c r="A760" s="35"/>
      <c r="B760" s="36"/>
      <c r="C760" s="42"/>
      <c r="D760" s="38"/>
      <c r="E760" s="39"/>
      <c r="F760" s="40"/>
      <c r="G760" s="38"/>
      <c r="H760" s="40"/>
      <c r="I760" s="40"/>
      <c r="J760" s="41"/>
      <c r="K760" s="38"/>
    </row>
    <row r="761" ht="12.75" customHeight="1">
      <c r="A761" s="35"/>
      <c r="B761" s="36"/>
      <c r="C761" s="42"/>
      <c r="D761" s="38"/>
      <c r="E761" s="39"/>
      <c r="F761" s="40"/>
      <c r="G761" s="38"/>
      <c r="H761" s="40"/>
      <c r="I761" s="40"/>
      <c r="J761" s="41"/>
      <c r="K761" s="38"/>
    </row>
    <row r="762" ht="12.75" customHeight="1">
      <c r="A762" s="35"/>
      <c r="B762" s="36"/>
      <c r="C762" s="42"/>
      <c r="D762" s="38"/>
      <c r="E762" s="39"/>
      <c r="F762" s="40"/>
      <c r="G762" s="38"/>
      <c r="H762" s="40"/>
      <c r="I762" s="40"/>
      <c r="J762" s="41"/>
      <c r="K762" s="38"/>
    </row>
    <row r="763" ht="12.75" customHeight="1">
      <c r="A763" s="35"/>
      <c r="B763" s="36"/>
      <c r="C763" s="42"/>
      <c r="D763" s="38"/>
      <c r="E763" s="39"/>
      <c r="F763" s="40"/>
      <c r="G763" s="38"/>
      <c r="H763" s="40"/>
      <c r="I763" s="40"/>
      <c r="J763" s="41"/>
      <c r="K763" s="38"/>
    </row>
    <row r="764" ht="12.75" customHeight="1">
      <c r="A764" s="35"/>
      <c r="B764" s="36"/>
      <c r="C764" s="42"/>
      <c r="D764" s="38"/>
      <c r="E764" s="39"/>
      <c r="F764" s="40"/>
      <c r="G764" s="38"/>
      <c r="H764" s="40"/>
      <c r="I764" s="40"/>
      <c r="J764" s="41"/>
      <c r="K764" s="38"/>
    </row>
    <row r="765" ht="12.75" customHeight="1">
      <c r="A765" s="35"/>
      <c r="B765" s="36"/>
      <c r="C765" s="42"/>
      <c r="D765" s="38"/>
      <c r="E765" s="39"/>
      <c r="F765" s="40"/>
      <c r="G765" s="38"/>
      <c r="H765" s="40"/>
      <c r="I765" s="40"/>
      <c r="J765" s="41"/>
      <c r="K765" s="38"/>
    </row>
    <row r="766" ht="12.75" customHeight="1">
      <c r="A766" s="35"/>
      <c r="B766" s="36"/>
      <c r="C766" s="42"/>
      <c r="D766" s="38"/>
      <c r="E766" s="39"/>
      <c r="F766" s="40"/>
      <c r="G766" s="38"/>
      <c r="H766" s="40"/>
      <c r="I766" s="40"/>
      <c r="J766" s="41"/>
      <c r="K766" s="38"/>
    </row>
    <row r="767" ht="12.75" customHeight="1">
      <c r="A767" s="35"/>
      <c r="B767" s="36"/>
      <c r="C767" s="42"/>
      <c r="D767" s="38"/>
      <c r="E767" s="39"/>
      <c r="F767" s="40"/>
      <c r="G767" s="38"/>
      <c r="H767" s="40"/>
      <c r="I767" s="40"/>
      <c r="J767" s="41"/>
      <c r="K767" s="38"/>
    </row>
    <row r="768" ht="12.75" customHeight="1">
      <c r="A768" s="35"/>
      <c r="B768" s="36"/>
      <c r="C768" s="42"/>
      <c r="D768" s="38"/>
      <c r="E768" s="39"/>
      <c r="F768" s="40"/>
      <c r="G768" s="38"/>
      <c r="H768" s="40"/>
      <c r="I768" s="40"/>
      <c r="J768" s="41"/>
      <c r="K768" s="38"/>
    </row>
    <row r="769" ht="12.75" customHeight="1">
      <c r="A769" s="35"/>
      <c r="B769" s="36"/>
      <c r="C769" s="42"/>
      <c r="D769" s="38"/>
      <c r="E769" s="39"/>
      <c r="F769" s="40"/>
      <c r="G769" s="38"/>
      <c r="H769" s="40"/>
      <c r="I769" s="40"/>
      <c r="J769" s="41"/>
      <c r="K769" s="38"/>
    </row>
    <row r="770" ht="12.75" customHeight="1">
      <c r="A770" s="35"/>
      <c r="B770" s="36"/>
      <c r="C770" s="42"/>
      <c r="D770" s="38"/>
      <c r="E770" s="39"/>
      <c r="F770" s="40"/>
      <c r="G770" s="38"/>
      <c r="H770" s="40"/>
      <c r="I770" s="40"/>
      <c r="J770" s="41"/>
      <c r="K770" s="38"/>
    </row>
    <row r="771" ht="12.75" customHeight="1">
      <c r="A771" s="35"/>
      <c r="B771" s="36"/>
      <c r="C771" s="42"/>
      <c r="D771" s="38"/>
      <c r="E771" s="39"/>
      <c r="F771" s="40"/>
      <c r="G771" s="38"/>
      <c r="H771" s="40"/>
      <c r="I771" s="40"/>
      <c r="J771" s="41"/>
      <c r="K771" s="38"/>
    </row>
    <row r="772" ht="12.75" customHeight="1">
      <c r="A772" s="35"/>
      <c r="B772" s="36"/>
      <c r="C772" s="42"/>
      <c r="D772" s="38"/>
      <c r="E772" s="39"/>
      <c r="F772" s="40"/>
      <c r="G772" s="38"/>
      <c r="H772" s="40"/>
      <c r="I772" s="40"/>
      <c r="J772" s="41"/>
      <c r="K772" s="38"/>
    </row>
    <row r="773" ht="12.75" customHeight="1">
      <c r="A773" s="35"/>
      <c r="B773" s="36"/>
      <c r="C773" s="42"/>
      <c r="D773" s="38"/>
      <c r="E773" s="39"/>
      <c r="F773" s="40"/>
      <c r="G773" s="38"/>
      <c r="H773" s="40"/>
      <c r="I773" s="40"/>
      <c r="J773" s="41"/>
      <c r="K773" s="38"/>
    </row>
    <row r="774" ht="12.75" customHeight="1">
      <c r="A774" s="35"/>
      <c r="B774" s="36"/>
      <c r="C774" s="42"/>
      <c r="D774" s="38"/>
      <c r="E774" s="39"/>
      <c r="F774" s="40"/>
      <c r="G774" s="38"/>
      <c r="H774" s="40"/>
      <c r="I774" s="40"/>
      <c r="J774" s="41"/>
      <c r="K774" s="38"/>
    </row>
    <row r="775" ht="12.75" customHeight="1">
      <c r="A775" s="35"/>
      <c r="B775" s="36"/>
      <c r="C775" s="42"/>
      <c r="D775" s="38"/>
      <c r="E775" s="39"/>
      <c r="F775" s="40"/>
      <c r="G775" s="38"/>
      <c r="H775" s="40"/>
      <c r="I775" s="40"/>
      <c r="J775" s="41"/>
      <c r="K775" s="38"/>
    </row>
    <row r="776" ht="12.75" customHeight="1">
      <c r="A776" s="35"/>
      <c r="B776" s="36"/>
      <c r="C776" s="42"/>
      <c r="D776" s="38"/>
      <c r="E776" s="39"/>
      <c r="F776" s="40"/>
      <c r="G776" s="38"/>
      <c r="H776" s="40"/>
      <c r="I776" s="40"/>
      <c r="J776" s="41"/>
      <c r="K776" s="38"/>
    </row>
    <row r="777" ht="12.75" customHeight="1">
      <c r="A777" s="35"/>
      <c r="B777" s="36"/>
      <c r="C777" s="42"/>
      <c r="D777" s="38"/>
      <c r="E777" s="39"/>
      <c r="F777" s="40"/>
      <c r="G777" s="38"/>
      <c r="H777" s="40"/>
      <c r="I777" s="40"/>
      <c r="J777" s="41"/>
      <c r="K777" s="38"/>
    </row>
    <row r="778" ht="12.75" customHeight="1">
      <c r="A778" s="35"/>
      <c r="B778" s="36"/>
      <c r="C778" s="42"/>
      <c r="D778" s="38"/>
      <c r="E778" s="39"/>
      <c r="F778" s="40"/>
      <c r="G778" s="38"/>
      <c r="H778" s="40"/>
      <c r="I778" s="40"/>
      <c r="J778" s="41"/>
      <c r="K778" s="38"/>
    </row>
    <row r="779" ht="12.75" customHeight="1">
      <c r="A779" s="35"/>
      <c r="B779" s="36"/>
      <c r="C779" s="42"/>
      <c r="D779" s="38"/>
      <c r="E779" s="39"/>
      <c r="F779" s="40"/>
      <c r="G779" s="38"/>
      <c r="H779" s="40"/>
      <c r="I779" s="40"/>
      <c r="J779" s="41"/>
      <c r="K779" s="38"/>
    </row>
    <row r="780" ht="12.75" customHeight="1">
      <c r="A780" s="35"/>
      <c r="B780" s="36"/>
      <c r="C780" s="42"/>
      <c r="D780" s="38"/>
      <c r="E780" s="39"/>
      <c r="F780" s="40"/>
      <c r="G780" s="38"/>
      <c r="H780" s="40"/>
      <c r="I780" s="40"/>
      <c r="J780" s="41"/>
      <c r="K780" s="38"/>
    </row>
    <row r="781" ht="12.75" customHeight="1">
      <c r="A781" s="35"/>
      <c r="B781" s="36"/>
      <c r="C781" s="42"/>
      <c r="D781" s="38"/>
      <c r="E781" s="39"/>
      <c r="F781" s="40"/>
      <c r="G781" s="38"/>
      <c r="H781" s="40"/>
      <c r="I781" s="40"/>
      <c r="J781" s="41"/>
      <c r="K781" s="38"/>
    </row>
    <row r="782" ht="12.75" customHeight="1">
      <c r="A782" s="35"/>
      <c r="B782" s="36"/>
      <c r="C782" s="42"/>
      <c r="D782" s="38"/>
      <c r="E782" s="39"/>
      <c r="F782" s="40"/>
      <c r="G782" s="38"/>
      <c r="H782" s="40"/>
      <c r="I782" s="40"/>
      <c r="J782" s="41"/>
      <c r="K782" s="38"/>
    </row>
    <row r="783" ht="12.75" customHeight="1">
      <c r="A783" s="35"/>
      <c r="B783" s="36"/>
      <c r="C783" s="42"/>
      <c r="D783" s="38"/>
      <c r="E783" s="39"/>
      <c r="F783" s="40"/>
      <c r="G783" s="38"/>
      <c r="H783" s="40"/>
      <c r="I783" s="40"/>
      <c r="J783" s="41"/>
      <c r="K783" s="38"/>
    </row>
    <row r="784" ht="12.75" customHeight="1">
      <c r="A784" s="35"/>
      <c r="B784" s="36"/>
      <c r="C784" s="42"/>
      <c r="D784" s="38"/>
      <c r="E784" s="39"/>
      <c r="F784" s="40"/>
      <c r="G784" s="38"/>
      <c r="H784" s="40"/>
      <c r="I784" s="40"/>
      <c r="J784" s="41"/>
      <c r="K784" s="38"/>
    </row>
    <row r="785" ht="12.75" customHeight="1">
      <c r="A785" s="35"/>
      <c r="B785" s="36"/>
      <c r="C785" s="42"/>
      <c r="D785" s="38"/>
      <c r="E785" s="39"/>
      <c r="F785" s="40"/>
      <c r="G785" s="38"/>
      <c r="H785" s="40"/>
      <c r="I785" s="40"/>
      <c r="J785" s="41"/>
      <c r="K785" s="38"/>
    </row>
    <row r="786" ht="12.75" customHeight="1">
      <c r="A786" s="35"/>
      <c r="B786" s="36"/>
      <c r="C786" s="42"/>
      <c r="D786" s="38"/>
      <c r="E786" s="39"/>
      <c r="F786" s="40"/>
      <c r="G786" s="38"/>
      <c r="H786" s="40"/>
      <c r="I786" s="40"/>
      <c r="J786" s="41"/>
      <c r="K786" s="38"/>
    </row>
    <row r="787" ht="12.75" customHeight="1">
      <c r="A787" s="35"/>
      <c r="B787" s="36"/>
      <c r="C787" s="42"/>
      <c r="D787" s="38"/>
      <c r="E787" s="39"/>
      <c r="F787" s="40"/>
      <c r="G787" s="38"/>
      <c r="H787" s="40"/>
      <c r="I787" s="40"/>
      <c r="J787" s="41"/>
      <c r="K787" s="38"/>
    </row>
    <row r="788" ht="12.75" customHeight="1">
      <c r="A788" s="35"/>
      <c r="B788" s="36"/>
      <c r="C788" s="42"/>
      <c r="D788" s="38"/>
      <c r="E788" s="39"/>
      <c r="F788" s="40"/>
      <c r="G788" s="38"/>
      <c r="H788" s="40"/>
      <c r="I788" s="40"/>
      <c r="J788" s="41"/>
      <c r="K788" s="38"/>
    </row>
    <row r="789" ht="12.75" customHeight="1">
      <c r="A789" s="35"/>
      <c r="B789" s="36"/>
      <c r="C789" s="42"/>
      <c r="D789" s="38"/>
      <c r="E789" s="39"/>
      <c r="F789" s="40"/>
      <c r="G789" s="38"/>
      <c r="H789" s="40"/>
      <c r="I789" s="40"/>
      <c r="J789" s="41"/>
      <c r="K789" s="38"/>
    </row>
    <row r="790" ht="12.75" customHeight="1">
      <c r="A790" s="35"/>
      <c r="B790" s="36"/>
      <c r="C790" s="42"/>
      <c r="D790" s="38"/>
      <c r="E790" s="39"/>
      <c r="F790" s="40"/>
      <c r="G790" s="38"/>
      <c r="H790" s="40"/>
      <c r="I790" s="40"/>
      <c r="J790" s="41"/>
      <c r="K790" s="38"/>
    </row>
    <row r="791" ht="12.75" customHeight="1">
      <c r="A791" s="35"/>
      <c r="B791" s="36"/>
      <c r="C791" s="42"/>
      <c r="D791" s="38"/>
      <c r="E791" s="39"/>
      <c r="F791" s="40"/>
      <c r="G791" s="38"/>
      <c r="H791" s="40"/>
      <c r="I791" s="40"/>
      <c r="J791" s="41"/>
      <c r="K791" s="38"/>
    </row>
    <row r="792" ht="12.75" customHeight="1">
      <c r="A792" s="35"/>
      <c r="B792" s="36"/>
      <c r="C792" s="42"/>
      <c r="D792" s="38"/>
      <c r="E792" s="39"/>
      <c r="F792" s="40"/>
      <c r="G792" s="38"/>
      <c r="H792" s="40"/>
      <c r="I792" s="40"/>
      <c r="J792" s="41"/>
      <c r="K792" s="38"/>
    </row>
    <row r="793" ht="12.75" customHeight="1">
      <c r="A793" s="35"/>
      <c r="B793" s="36"/>
      <c r="C793" s="42"/>
      <c r="D793" s="38"/>
      <c r="E793" s="39"/>
      <c r="F793" s="40"/>
      <c r="G793" s="38"/>
      <c r="H793" s="40"/>
      <c r="I793" s="40"/>
      <c r="J793" s="41"/>
      <c r="K793" s="38"/>
    </row>
    <row r="794" ht="12.75" customHeight="1">
      <c r="A794" s="35"/>
      <c r="B794" s="36"/>
      <c r="C794" s="42"/>
      <c r="D794" s="38"/>
      <c r="E794" s="39"/>
      <c r="F794" s="40"/>
      <c r="G794" s="38"/>
      <c r="H794" s="40"/>
      <c r="I794" s="40"/>
      <c r="J794" s="41"/>
      <c r="K794" s="38"/>
    </row>
    <row r="795" ht="12.75" customHeight="1">
      <c r="A795" s="35"/>
      <c r="B795" s="36"/>
      <c r="C795" s="42"/>
      <c r="D795" s="38"/>
      <c r="E795" s="39"/>
      <c r="F795" s="40"/>
      <c r="G795" s="38"/>
      <c r="H795" s="40"/>
      <c r="I795" s="40"/>
      <c r="J795" s="41"/>
      <c r="K795" s="38"/>
    </row>
    <row r="796" ht="12.75" customHeight="1">
      <c r="A796" s="35"/>
      <c r="B796" s="36"/>
      <c r="C796" s="42"/>
      <c r="D796" s="38"/>
      <c r="E796" s="39"/>
      <c r="F796" s="40"/>
      <c r="G796" s="38"/>
      <c r="H796" s="40"/>
      <c r="I796" s="40"/>
      <c r="J796" s="41"/>
      <c r="K796" s="38"/>
    </row>
    <row r="797" ht="12.75" customHeight="1">
      <c r="A797" s="35"/>
      <c r="B797" s="36"/>
      <c r="C797" s="42"/>
      <c r="D797" s="38"/>
      <c r="E797" s="39"/>
      <c r="F797" s="40"/>
      <c r="G797" s="38"/>
      <c r="H797" s="40"/>
      <c r="I797" s="40"/>
      <c r="J797" s="41"/>
      <c r="K797" s="38"/>
    </row>
    <row r="798" ht="12.75" customHeight="1">
      <c r="A798" s="35"/>
      <c r="B798" s="36"/>
      <c r="C798" s="42"/>
      <c r="D798" s="38"/>
      <c r="E798" s="39"/>
      <c r="F798" s="40"/>
      <c r="G798" s="38"/>
      <c r="H798" s="40"/>
      <c r="I798" s="40"/>
      <c r="J798" s="41"/>
      <c r="K798" s="38"/>
    </row>
    <row r="799" ht="12.75" customHeight="1">
      <c r="A799" s="35"/>
      <c r="B799" s="36"/>
      <c r="C799" s="42"/>
      <c r="D799" s="38"/>
      <c r="E799" s="39"/>
      <c r="F799" s="40"/>
      <c r="G799" s="38"/>
      <c r="H799" s="40"/>
      <c r="I799" s="40"/>
      <c r="J799" s="41"/>
      <c r="K799" s="38"/>
    </row>
    <row r="800" ht="12.75" customHeight="1">
      <c r="A800" s="35"/>
      <c r="B800" s="36"/>
      <c r="C800" s="42"/>
      <c r="D800" s="38"/>
      <c r="E800" s="39"/>
      <c r="F800" s="40"/>
      <c r="G800" s="38"/>
      <c r="H800" s="40"/>
      <c r="I800" s="40"/>
      <c r="J800" s="41"/>
      <c r="K800" s="38"/>
    </row>
    <row r="801" ht="12.75" customHeight="1">
      <c r="A801" s="35"/>
      <c r="B801" s="36"/>
      <c r="C801" s="42"/>
      <c r="D801" s="38"/>
      <c r="E801" s="39"/>
      <c r="F801" s="40"/>
      <c r="G801" s="38"/>
      <c r="H801" s="40"/>
      <c r="I801" s="40"/>
      <c r="J801" s="41"/>
      <c r="K801" s="38"/>
    </row>
    <row r="802" ht="12.75" customHeight="1">
      <c r="A802" s="35"/>
      <c r="B802" s="36"/>
      <c r="C802" s="42"/>
      <c r="D802" s="38"/>
      <c r="E802" s="39"/>
      <c r="F802" s="40"/>
      <c r="G802" s="38"/>
      <c r="H802" s="40"/>
      <c r="I802" s="40"/>
      <c r="J802" s="41"/>
      <c r="K802" s="38"/>
    </row>
    <row r="803" ht="12.75" customHeight="1">
      <c r="A803" s="35"/>
      <c r="B803" s="36"/>
      <c r="C803" s="42"/>
      <c r="D803" s="38"/>
      <c r="E803" s="39"/>
      <c r="F803" s="40"/>
      <c r="G803" s="38"/>
      <c r="H803" s="40"/>
      <c r="I803" s="40"/>
      <c r="J803" s="41"/>
      <c r="K803" s="38"/>
    </row>
    <row r="804" ht="12.75" customHeight="1">
      <c r="A804" s="35"/>
      <c r="B804" s="36"/>
      <c r="C804" s="42"/>
      <c r="D804" s="38"/>
      <c r="E804" s="39"/>
      <c r="F804" s="40"/>
      <c r="G804" s="38"/>
      <c r="H804" s="40"/>
      <c r="I804" s="40"/>
      <c r="J804" s="41"/>
      <c r="K804" s="38"/>
    </row>
    <row r="805" ht="12.75" customHeight="1">
      <c r="A805" s="35"/>
      <c r="B805" s="36"/>
      <c r="C805" s="42"/>
      <c r="D805" s="38"/>
      <c r="E805" s="39"/>
      <c r="F805" s="40"/>
      <c r="G805" s="38"/>
      <c r="H805" s="40"/>
      <c r="I805" s="40"/>
      <c r="J805" s="41"/>
      <c r="K805" s="38"/>
    </row>
    <row r="806" ht="12.75" customHeight="1">
      <c r="A806" s="35"/>
      <c r="B806" s="36"/>
      <c r="C806" s="42"/>
      <c r="D806" s="38"/>
      <c r="E806" s="39"/>
      <c r="F806" s="40"/>
      <c r="G806" s="38"/>
      <c r="H806" s="40"/>
      <c r="I806" s="40"/>
      <c r="J806" s="41"/>
      <c r="K806" s="38"/>
    </row>
    <row r="807" ht="12.75" customHeight="1">
      <c r="A807" s="35"/>
      <c r="B807" s="36"/>
      <c r="C807" s="42"/>
      <c r="D807" s="38"/>
      <c r="E807" s="39"/>
      <c r="F807" s="40"/>
      <c r="G807" s="38"/>
      <c r="H807" s="40"/>
      <c r="I807" s="40"/>
      <c r="J807" s="41"/>
      <c r="K807" s="38"/>
    </row>
    <row r="808" ht="12.75" customHeight="1">
      <c r="A808" s="35"/>
      <c r="B808" s="36"/>
      <c r="C808" s="42"/>
      <c r="D808" s="38"/>
      <c r="E808" s="39"/>
      <c r="F808" s="40"/>
      <c r="G808" s="38"/>
      <c r="H808" s="40"/>
      <c r="I808" s="40"/>
      <c r="J808" s="41"/>
      <c r="K808" s="38"/>
    </row>
    <row r="809" ht="12.75" customHeight="1">
      <c r="A809" s="35"/>
      <c r="B809" s="36"/>
      <c r="C809" s="42"/>
      <c r="D809" s="38"/>
      <c r="E809" s="39"/>
      <c r="F809" s="40"/>
      <c r="G809" s="38"/>
      <c r="H809" s="40"/>
      <c r="I809" s="40"/>
      <c r="J809" s="41"/>
      <c r="K809" s="38"/>
    </row>
    <row r="810" ht="12.75" customHeight="1">
      <c r="A810" s="35"/>
      <c r="B810" s="36"/>
      <c r="C810" s="42"/>
      <c r="D810" s="38"/>
      <c r="E810" s="39"/>
      <c r="F810" s="40"/>
      <c r="G810" s="38"/>
      <c r="H810" s="40"/>
      <c r="I810" s="40"/>
      <c r="J810" s="41"/>
      <c r="K810" s="38"/>
    </row>
    <row r="811" ht="12.75" customHeight="1">
      <c r="A811" s="35"/>
      <c r="B811" s="36"/>
      <c r="C811" s="42"/>
      <c r="D811" s="38"/>
      <c r="E811" s="39"/>
      <c r="F811" s="40"/>
      <c r="G811" s="38"/>
      <c r="H811" s="40"/>
      <c r="I811" s="40"/>
      <c r="J811" s="41"/>
      <c r="K811" s="38"/>
    </row>
    <row r="812" ht="12.75" customHeight="1">
      <c r="A812" s="35"/>
      <c r="B812" s="36"/>
      <c r="C812" s="42"/>
      <c r="D812" s="38"/>
      <c r="E812" s="39"/>
      <c r="F812" s="40"/>
      <c r="G812" s="38"/>
      <c r="H812" s="40"/>
      <c r="I812" s="40"/>
      <c r="J812" s="41"/>
      <c r="K812" s="38"/>
    </row>
    <row r="813" ht="12.75" customHeight="1">
      <c r="A813" s="35"/>
      <c r="B813" s="36"/>
      <c r="C813" s="42"/>
      <c r="D813" s="38"/>
      <c r="E813" s="39"/>
      <c r="F813" s="40"/>
      <c r="G813" s="38"/>
      <c r="H813" s="40"/>
      <c r="I813" s="40"/>
      <c r="J813" s="41"/>
      <c r="K813" s="38"/>
    </row>
    <row r="814" ht="12.75" customHeight="1">
      <c r="A814" s="35"/>
      <c r="B814" s="36"/>
      <c r="C814" s="42"/>
      <c r="D814" s="38"/>
      <c r="E814" s="39"/>
      <c r="F814" s="40"/>
      <c r="G814" s="38"/>
      <c r="H814" s="40"/>
      <c r="I814" s="40"/>
      <c r="J814" s="41"/>
      <c r="K814" s="38"/>
    </row>
    <row r="815" ht="12.75" customHeight="1">
      <c r="A815" s="35"/>
      <c r="B815" s="36"/>
      <c r="C815" s="42"/>
      <c r="D815" s="38"/>
      <c r="E815" s="39"/>
      <c r="F815" s="40"/>
      <c r="G815" s="38"/>
      <c r="H815" s="40"/>
      <c r="I815" s="40"/>
      <c r="J815" s="41"/>
      <c r="K815" s="38"/>
    </row>
    <row r="816" ht="12.75" customHeight="1">
      <c r="A816" s="35"/>
      <c r="B816" s="36"/>
      <c r="C816" s="42"/>
      <c r="D816" s="38"/>
      <c r="E816" s="39"/>
      <c r="F816" s="40"/>
      <c r="G816" s="38"/>
      <c r="H816" s="40"/>
      <c r="I816" s="40"/>
      <c r="J816" s="41"/>
      <c r="K816" s="38"/>
    </row>
    <row r="817" ht="12.75" customHeight="1">
      <c r="A817" s="35"/>
      <c r="B817" s="36"/>
      <c r="C817" s="42"/>
      <c r="D817" s="38"/>
      <c r="E817" s="39"/>
      <c r="F817" s="40"/>
      <c r="G817" s="38"/>
      <c r="H817" s="40"/>
      <c r="I817" s="40"/>
      <c r="J817" s="41"/>
      <c r="K817" s="38"/>
    </row>
    <row r="818" ht="12.75" customHeight="1">
      <c r="A818" s="35"/>
      <c r="B818" s="36"/>
      <c r="C818" s="42"/>
      <c r="D818" s="38"/>
      <c r="E818" s="39"/>
      <c r="F818" s="40"/>
      <c r="G818" s="38"/>
      <c r="H818" s="40"/>
      <c r="I818" s="40"/>
      <c r="J818" s="41"/>
      <c r="K818" s="38"/>
    </row>
    <row r="819" ht="12.75" customHeight="1">
      <c r="A819" s="35"/>
      <c r="B819" s="36"/>
      <c r="C819" s="42"/>
      <c r="D819" s="38"/>
      <c r="E819" s="39"/>
      <c r="F819" s="40"/>
      <c r="G819" s="38"/>
      <c r="H819" s="40"/>
      <c r="I819" s="40"/>
      <c r="J819" s="41"/>
      <c r="K819" s="38"/>
    </row>
    <row r="820" ht="12.75" customHeight="1">
      <c r="A820" s="35"/>
      <c r="B820" s="36"/>
      <c r="C820" s="42"/>
      <c r="D820" s="38"/>
      <c r="E820" s="39"/>
      <c r="F820" s="40"/>
      <c r="G820" s="38"/>
      <c r="H820" s="40"/>
      <c r="I820" s="40"/>
      <c r="J820" s="41"/>
      <c r="K820" s="38"/>
    </row>
    <row r="821" ht="12.75" customHeight="1">
      <c r="A821" s="35"/>
      <c r="B821" s="36"/>
      <c r="C821" s="42"/>
      <c r="D821" s="38"/>
      <c r="E821" s="39"/>
      <c r="F821" s="40"/>
      <c r="G821" s="38"/>
      <c r="H821" s="40"/>
      <c r="I821" s="40"/>
      <c r="J821" s="41"/>
      <c r="K821" s="38"/>
    </row>
    <row r="822" ht="12.75" customHeight="1">
      <c r="A822" s="35"/>
      <c r="B822" s="36"/>
      <c r="C822" s="42"/>
      <c r="D822" s="38"/>
      <c r="E822" s="39"/>
      <c r="F822" s="40"/>
      <c r="G822" s="38"/>
      <c r="H822" s="40"/>
      <c r="I822" s="40"/>
      <c r="J822" s="41"/>
      <c r="K822" s="38"/>
    </row>
    <row r="823" ht="12.75" customHeight="1">
      <c r="A823" s="35"/>
      <c r="B823" s="36"/>
      <c r="C823" s="42"/>
      <c r="D823" s="38"/>
      <c r="E823" s="39"/>
      <c r="F823" s="40"/>
      <c r="G823" s="38"/>
      <c r="H823" s="40"/>
      <c r="I823" s="40"/>
      <c r="J823" s="41"/>
      <c r="K823" s="38"/>
    </row>
    <row r="824" ht="12.75" customHeight="1">
      <c r="A824" s="35"/>
      <c r="B824" s="36"/>
      <c r="C824" s="42"/>
      <c r="D824" s="38"/>
      <c r="E824" s="39"/>
      <c r="F824" s="40"/>
      <c r="G824" s="38"/>
      <c r="H824" s="40"/>
      <c r="I824" s="40"/>
      <c r="J824" s="41"/>
      <c r="K824" s="38"/>
    </row>
    <row r="825" ht="12.75" customHeight="1">
      <c r="A825" s="35"/>
      <c r="B825" s="36"/>
      <c r="C825" s="42"/>
      <c r="D825" s="38"/>
      <c r="E825" s="39"/>
      <c r="F825" s="40"/>
      <c r="G825" s="38"/>
      <c r="H825" s="40"/>
      <c r="I825" s="40"/>
      <c r="J825" s="41"/>
      <c r="K825" s="38"/>
    </row>
    <row r="826" ht="12.75" customHeight="1">
      <c r="A826" s="35"/>
      <c r="B826" s="36"/>
      <c r="C826" s="42"/>
      <c r="D826" s="38"/>
      <c r="E826" s="39"/>
      <c r="F826" s="40"/>
      <c r="G826" s="38"/>
      <c r="H826" s="40"/>
      <c r="I826" s="40"/>
      <c r="J826" s="41"/>
      <c r="K826" s="38"/>
    </row>
    <row r="827" ht="12.75" customHeight="1">
      <c r="A827" s="35"/>
      <c r="B827" s="36"/>
      <c r="C827" s="42"/>
      <c r="D827" s="38"/>
      <c r="E827" s="39"/>
      <c r="F827" s="40"/>
      <c r="G827" s="38"/>
      <c r="H827" s="40"/>
      <c r="I827" s="40"/>
      <c r="J827" s="41"/>
      <c r="K827" s="38"/>
    </row>
    <row r="828" ht="12.75" customHeight="1">
      <c r="A828" s="35"/>
      <c r="B828" s="36"/>
      <c r="C828" s="42"/>
      <c r="D828" s="38"/>
      <c r="E828" s="39"/>
      <c r="F828" s="40"/>
      <c r="G828" s="38"/>
      <c r="H828" s="40"/>
      <c r="I828" s="40"/>
      <c r="J828" s="41"/>
      <c r="K828" s="38"/>
    </row>
    <row r="829" ht="12.75" customHeight="1">
      <c r="A829" s="35"/>
      <c r="B829" s="36"/>
      <c r="C829" s="42"/>
      <c r="D829" s="38"/>
      <c r="E829" s="39"/>
      <c r="F829" s="40"/>
      <c r="G829" s="38"/>
      <c r="H829" s="40"/>
      <c r="I829" s="40"/>
      <c r="J829" s="41"/>
      <c r="K829" s="38"/>
    </row>
    <row r="830" ht="12.75" customHeight="1">
      <c r="A830" s="35"/>
      <c r="B830" s="36"/>
      <c r="C830" s="42"/>
      <c r="D830" s="38"/>
      <c r="E830" s="39"/>
      <c r="F830" s="40"/>
      <c r="G830" s="38"/>
      <c r="H830" s="40"/>
      <c r="I830" s="40"/>
      <c r="J830" s="41"/>
      <c r="K830" s="38"/>
    </row>
    <row r="831" ht="12.75" customHeight="1">
      <c r="A831" s="35"/>
      <c r="B831" s="36"/>
      <c r="C831" s="42"/>
      <c r="D831" s="38"/>
      <c r="E831" s="39"/>
      <c r="F831" s="40"/>
      <c r="G831" s="38"/>
      <c r="H831" s="40"/>
      <c r="I831" s="40"/>
      <c r="J831" s="41"/>
      <c r="K831" s="38"/>
    </row>
    <row r="832" ht="12.75" customHeight="1">
      <c r="A832" s="35"/>
      <c r="B832" s="36"/>
      <c r="C832" s="42"/>
      <c r="D832" s="38"/>
      <c r="E832" s="39"/>
      <c r="F832" s="40"/>
      <c r="G832" s="38"/>
      <c r="H832" s="40"/>
      <c r="I832" s="40"/>
      <c r="J832" s="41"/>
      <c r="K832" s="38"/>
    </row>
    <row r="833" ht="12.75" customHeight="1">
      <c r="A833" s="35"/>
      <c r="B833" s="36"/>
      <c r="C833" s="42"/>
      <c r="D833" s="38"/>
      <c r="E833" s="39"/>
      <c r="F833" s="40"/>
      <c r="G833" s="38"/>
      <c r="H833" s="40"/>
      <c r="I833" s="40"/>
      <c r="J833" s="41"/>
      <c r="K833" s="38"/>
    </row>
    <row r="834" ht="12.75" customHeight="1">
      <c r="A834" s="35"/>
      <c r="B834" s="36"/>
      <c r="C834" s="42"/>
      <c r="D834" s="38"/>
      <c r="E834" s="39"/>
      <c r="F834" s="40"/>
      <c r="G834" s="38"/>
      <c r="H834" s="40"/>
      <c r="I834" s="40"/>
      <c r="J834" s="41"/>
      <c r="K834" s="38"/>
    </row>
    <row r="835" ht="12.75" customHeight="1">
      <c r="A835" s="35"/>
      <c r="B835" s="36"/>
      <c r="C835" s="42"/>
      <c r="D835" s="38"/>
      <c r="E835" s="39"/>
      <c r="F835" s="40"/>
      <c r="G835" s="38"/>
      <c r="H835" s="40"/>
      <c r="I835" s="40"/>
      <c r="J835" s="41"/>
      <c r="K835" s="38"/>
    </row>
    <row r="836" ht="12.75" customHeight="1">
      <c r="A836" s="35"/>
      <c r="B836" s="36"/>
      <c r="C836" s="42"/>
      <c r="D836" s="38"/>
      <c r="E836" s="39"/>
      <c r="F836" s="40"/>
      <c r="G836" s="38"/>
      <c r="H836" s="40"/>
      <c r="I836" s="40"/>
      <c r="J836" s="41"/>
      <c r="K836" s="38"/>
    </row>
    <row r="837" ht="12.75" customHeight="1">
      <c r="A837" s="35"/>
      <c r="B837" s="36"/>
      <c r="C837" s="42"/>
      <c r="D837" s="38"/>
      <c r="E837" s="39"/>
      <c r="F837" s="40"/>
      <c r="G837" s="38"/>
      <c r="H837" s="40"/>
      <c r="I837" s="40"/>
      <c r="J837" s="41"/>
      <c r="K837" s="38"/>
    </row>
    <row r="838" ht="12.75" customHeight="1">
      <c r="A838" s="35"/>
      <c r="B838" s="36"/>
      <c r="C838" s="42"/>
      <c r="D838" s="38"/>
      <c r="E838" s="39"/>
      <c r="F838" s="40"/>
      <c r="G838" s="38"/>
      <c r="H838" s="40"/>
      <c r="I838" s="40"/>
      <c r="J838" s="41"/>
      <c r="K838" s="38"/>
    </row>
    <row r="839" ht="12.75" customHeight="1">
      <c r="A839" s="35"/>
      <c r="B839" s="36"/>
      <c r="C839" s="42"/>
      <c r="D839" s="38"/>
      <c r="E839" s="39"/>
      <c r="F839" s="40"/>
      <c r="G839" s="38"/>
      <c r="H839" s="40"/>
      <c r="I839" s="40"/>
      <c r="J839" s="41"/>
      <c r="K839" s="38"/>
    </row>
    <row r="840" ht="12.75" customHeight="1">
      <c r="A840" s="35"/>
      <c r="B840" s="36"/>
      <c r="C840" s="42"/>
      <c r="D840" s="38"/>
      <c r="E840" s="39"/>
      <c r="F840" s="40"/>
      <c r="G840" s="38"/>
      <c r="H840" s="40"/>
      <c r="I840" s="40"/>
      <c r="J840" s="41"/>
      <c r="K840" s="38"/>
    </row>
    <row r="841" ht="12.75" customHeight="1">
      <c r="A841" s="35"/>
      <c r="B841" s="36"/>
      <c r="C841" s="42"/>
      <c r="D841" s="38"/>
      <c r="E841" s="39"/>
      <c r="F841" s="40"/>
      <c r="G841" s="38"/>
      <c r="H841" s="40"/>
      <c r="I841" s="40"/>
      <c r="J841" s="41"/>
      <c r="K841" s="38"/>
    </row>
    <row r="842" ht="12.75" customHeight="1">
      <c r="A842" s="35"/>
      <c r="B842" s="36"/>
      <c r="C842" s="42"/>
      <c r="D842" s="38"/>
      <c r="E842" s="39"/>
      <c r="F842" s="40"/>
      <c r="G842" s="38"/>
      <c r="H842" s="40"/>
      <c r="I842" s="40"/>
      <c r="J842" s="41"/>
      <c r="K842" s="38"/>
    </row>
    <row r="843" ht="12.75" customHeight="1">
      <c r="A843" s="35"/>
      <c r="B843" s="36"/>
      <c r="C843" s="42"/>
      <c r="D843" s="38"/>
      <c r="E843" s="39"/>
      <c r="F843" s="40"/>
      <c r="G843" s="38"/>
      <c r="H843" s="40"/>
      <c r="I843" s="40"/>
      <c r="J843" s="41"/>
      <c r="K843" s="38"/>
    </row>
    <row r="844" ht="12.75" customHeight="1">
      <c r="A844" s="35"/>
      <c r="B844" s="36"/>
      <c r="C844" s="42"/>
      <c r="D844" s="38"/>
      <c r="E844" s="39"/>
      <c r="F844" s="40"/>
      <c r="G844" s="38"/>
      <c r="H844" s="40"/>
      <c r="I844" s="40"/>
      <c r="J844" s="41"/>
      <c r="K844" s="38"/>
    </row>
    <row r="845" ht="12.75" customHeight="1">
      <c r="A845" s="35"/>
      <c r="B845" s="36"/>
      <c r="C845" s="42"/>
      <c r="D845" s="38"/>
      <c r="E845" s="39"/>
      <c r="F845" s="40"/>
      <c r="G845" s="38"/>
      <c r="H845" s="40"/>
      <c r="I845" s="40"/>
      <c r="J845" s="41"/>
      <c r="K845" s="38"/>
    </row>
    <row r="846" ht="12.75" customHeight="1">
      <c r="A846" s="35"/>
      <c r="B846" s="36"/>
      <c r="C846" s="42"/>
      <c r="D846" s="38"/>
      <c r="E846" s="39"/>
      <c r="F846" s="40"/>
      <c r="G846" s="38"/>
      <c r="H846" s="40"/>
      <c r="I846" s="40"/>
      <c r="J846" s="41"/>
      <c r="K846" s="38"/>
    </row>
    <row r="847" ht="12.75" customHeight="1">
      <c r="A847" s="35"/>
      <c r="B847" s="36"/>
      <c r="C847" s="42"/>
      <c r="D847" s="38"/>
      <c r="E847" s="39"/>
      <c r="F847" s="40"/>
      <c r="G847" s="38"/>
      <c r="H847" s="40"/>
      <c r="I847" s="40"/>
      <c r="J847" s="41"/>
      <c r="K847" s="38"/>
    </row>
    <row r="848" ht="12.75" customHeight="1">
      <c r="A848" s="35"/>
      <c r="B848" s="36"/>
      <c r="C848" s="42"/>
      <c r="D848" s="38"/>
      <c r="E848" s="39"/>
      <c r="F848" s="40"/>
      <c r="G848" s="38"/>
      <c r="H848" s="40"/>
      <c r="I848" s="40"/>
      <c r="J848" s="41"/>
      <c r="K848" s="38"/>
    </row>
    <row r="849" ht="12.75" customHeight="1">
      <c r="A849" s="35"/>
      <c r="B849" s="36"/>
      <c r="C849" s="42"/>
      <c r="D849" s="38"/>
      <c r="E849" s="39"/>
      <c r="F849" s="40"/>
      <c r="G849" s="38"/>
      <c r="H849" s="40"/>
      <c r="I849" s="40"/>
      <c r="J849" s="41"/>
      <c r="K849" s="38"/>
    </row>
    <row r="850" ht="12.75" customHeight="1">
      <c r="A850" s="35"/>
      <c r="B850" s="36"/>
      <c r="C850" s="42"/>
      <c r="D850" s="38"/>
      <c r="E850" s="39"/>
      <c r="F850" s="40"/>
      <c r="G850" s="38"/>
      <c r="H850" s="40"/>
      <c r="I850" s="40"/>
      <c r="J850" s="41"/>
      <c r="K850" s="38"/>
    </row>
    <row r="851" ht="12.75" customHeight="1">
      <c r="A851" s="35"/>
      <c r="B851" s="36"/>
      <c r="C851" s="42"/>
      <c r="D851" s="38"/>
      <c r="E851" s="39"/>
      <c r="F851" s="40"/>
      <c r="G851" s="38"/>
      <c r="H851" s="40"/>
      <c r="I851" s="40"/>
      <c r="J851" s="41"/>
      <c r="K851" s="38"/>
    </row>
    <row r="852" ht="12.75" customHeight="1">
      <c r="A852" s="35"/>
      <c r="B852" s="36"/>
      <c r="C852" s="42"/>
      <c r="D852" s="38"/>
      <c r="E852" s="39"/>
      <c r="F852" s="40"/>
      <c r="G852" s="38"/>
      <c r="H852" s="40"/>
      <c r="I852" s="40"/>
      <c r="J852" s="41"/>
      <c r="K852" s="38"/>
    </row>
    <row r="853" ht="12.75" customHeight="1">
      <c r="A853" s="35"/>
      <c r="B853" s="36"/>
      <c r="C853" s="42"/>
      <c r="D853" s="38"/>
      <c r="E853" s="39"/>
      <c r="F853" s="40"/>
      <c r="G853" s="38"/>
      <c r="H853" s="40"/>
      <c r="I853" s="40"/>
      <c r="J853" s="41"/>
      <c r="K853" s="38"/>
    </row>
    <row r="854" ht="12.75" customHeight="1">
      <c r="A854" s="35"/>
      <c r="B854" s="36"/>
      <c r="C854" s="42"/>
      <c r="D854" s="38"/>
      <c r="E854" s="39"/>
      <c r="F854" s="40"/>
      <c r="G854" s="38"/>
      <c r="H854" s="40"/>
      <c r="I854" s="40"/>
      <c r="J854" s="41"/>
      <c r="K854" s="38"/>
    </row>
    <row r="855" ht="12.75" customHeight="1">
      <c r="A855" s="35"/>
      <c r="B855" s="36"/>
      <c r="C855" s="42"/>
      <c r="D855" s="38"/>
      <c r="E855" s="39"/>
      <c r="F855" s="40"/>
      <c r="G855" s="38"/>
      <c r="H855" s="40"/>
      <c r="I855" s="40"/>
      <c r="J855" s="41"/>
      <c r="K855" s="38"/>
    </row>
    <row r="856" ht="12.75" customHeight="1">
      <c r="A856" s="35"/>
      <c r="B856" s="36"/>
      <c r="C856" s="42"/>
      <c r="D856" s="38"/>
      <c r="E856" s="39"/>
      <c r="F856" s="40"/>
      <c r="G856" s="38"/>
      <c r="H856" s="40"/>
      <c r="I856" s="40"/>
      <c r="J856" s="41"/>
      <c r="K856" s="38"/>
    </row>
    <row r="857" ht="12.75" customHeight="1">
      <c r="A857" s="35"/>
      <c r="B857" s="36"/>
      <c r="C857" s="42"/>
      <c r="D857" s="38"/>
      <c r="E857" s="39"/>
      <c r="F857" s="40"/>
      <c r="G857" s="38"/>
      <c r="H857" s="40"/>
      <c r="I857" s="40"/>
      <c r="J857" s="41"/>
      <c r="K857" s="38"/>
    </row>
    <row r="858" ht="12.75" customHeight="1">
      <c r="A858" s="35"/>
      <c r="B858" s="36"/>
      <c r="C858" s="42"/>
      <c r="D858" s="38"/>
      <c r="E858" s="39"/>
      <c r="F858" s="40"/>
      <c r="G858" s="38"/>
      <c r="H858" s="40"/>
      <c r="I858" s="40"/>
      <c r="J858" s="41"/>
      <c r="K858" s="38"/>
    </row>
    <row r="859" ht="12.75" customHeight="1">
      <c r="A859" s="35"/>
      <c r="B859" s="36"/>
      <c r="C859" s="42"/>
      <c r="D859" s="38"/>
      <c r="E859" s="39"/>
      <c r="F859" s="40"/>
      <c r="G859" s="38"/>
      <c r="H859" s="40"/>
      <c r="I859" s="40"/>
      <c r="J859" s="41"/>
      <c r="K859" s="38"/>
    </row>
    <row r="860" ht="12.75" customHeight="1">
      <c r="A860" s="35"/>
      <c r="B860" s="36"/>
      <c r="C860" s="42"/>
      <c r="D860" s="38"/>
      <c r="E860" s="39"/>
      <c r="F860" s="40"/>
      <c r="G860" s="38"/>
      <c r="H860" s="40"/>
      <c r="I860" s="40"/>
      <c r="J860" s="41"/>
      <c r="K860" s="38"/>
    </row>
    <row r="861" ht="12.75" customHeight="1">
      <c r="A861" s="35"/>
      <c r="B861" s="36"/>
      <c r="C861" s="42"/>
      <c r="D861" s="38"/>
      <c r="E861" s="39"/>
      <c r="F861" s="40"/>
      <c r="G861" s="38"/>
      <c r="H861" s="40"/>
      <c r="I861" s="40"/>
      <c r="J861" s="41"/>
      <c r="K861" s="38"/>
    </row>
    <row r="862" ht="12.75" customHeight="1">
      <c r="A862" s="35"/>
      <c r="B862" s="36"/>
      <c r="C862" s="42"/>
      <c r="D862" s="38"/>
      <c r="E862" s="39"/>
      <c r="F862" s="40"/>
      <c r="G862" s="38"/>
      <c r="H862" s="40"/>
      <c r="I862" s="40"/>
      <c r="J862" s="41"/>
      <c r="K862" s="38"/>
    </row>
    <row r="863" ht="12.75" customHeight="1">
      <c r="A863" s="35"/>
      <c r="B863" s="36"/>
      <c r="C863" s="42"/>
      <c r="D863" s="38"/>
      <c r="E863" s="39"/>
      <c r="F863" s="40"/>
      <c r="G863" s="38"/>
      <c r="H863" s="40"/>
      <c r="I863" s="40"/>
      <c r="J863" s="41"/>
      <c r="K863" s="38"/>
    </row>
    <row r="864" ht="12.75" customHeight="1">
      <c r="A864" s="35"/>
      <c r="B864" s="36"/>
      <c r="C864" s="42"/>
      <c r="D864" s="38"/>
      <c r="E864" s="39"/>
      <c r="F864" s="40"/>
      <c r="G864" s="38"/>
      <c r="H864" s="40"/>
      <c r="I864" s="40"/>
      <c r="J864" s="41"/>
      <c r="K864" s="38"/>
    </row>
    <row r="865" ht="12.75" customHeight="1">
      <c r="A865" s="35"/>
      <c r="B865" s="36"/>
      <c r="C865" s="42"/>
      <c r="D865" s="38"/>
      <c r="E865" s="39"/>
      <c r="F865" s="40"/>
      <c r="G865" s="38"/>
      <c r="H865" s="40"/>
      <c r="I865" s="40"/>
      <c r="J865" s="41"/>
      <c r="K865" s="38"/>
    </row>
    <row r="866" ht="12.75" customHeight="1">
      <c r="A866" s="35"/>
      <c r="B866" s="36"/>
      <c r="C866" s="42"/>
      <c r="D866" s="38"/>
      <c r="E866" s="39"/>
      <c r="F866" s="40"/>
      <c r="G866" s="38"/>
      <c r="H866" s="40"/>
      <c r="I866" s="40"/>
      <c r="J866" s="41"/>
      <c r="K866" s="38"/>
    </row>
    <row r="867" ht="12.75" customHeight="1">
      <c r="A867" s="35"/>
      <c r="B867" s="36"/>
      <c r="C867" s="42"/>
      <c r="D867" s="38"/>
      <c r="E867" s="39"/>
      <c r="F867" s="40"/>
      <c r="G867" s="38"/>
      <c r="H867" s="40"/>
      <c r="I867" s="40"/>
      <c r="J867" s="41"/>
      <c r="K867" s="38"/>
    </row>
    <row r="868" ht="12.75" customHeight="1">
      <c r="A868" s="35"/>
      <c r="B868" s="36"/>
      <c r="C868" s="42"/>
      <c r="D868" s="38"/>
      <c r="E868" s="39"/>
      <c r="F868" s="40"/>
      <c r="G868" s="38"/>
      <c r="H868" s="40"/>
      <c r="I868" s="40"/>
      <c r="J868" s="41"/>
      <c r="K868" s="38"/>
    </row>
    <row r="869" ht="12.75" customHeight="1">
      <c r="A869" s="35"/>
      <c r="B869" s="36"/>
      <c r="C869" s="42"/>
      <c r="D869" s="38"/>
      <c r="E869" s="39"/>
      <c r="F869" s="40"/>
      <c r="G869" s="38"/>
      <c r="H869" s="40"/>
      <c r="I869" s="40"/>
      <c r="J869" s="41"/>
      <c r="K869" s="38"/>
    </row>
    <row r="870" ht="12.75" customHeight="1">
      <c r="A870" s="35"/>
      <c r="B870" s="36"/>
      <c r="C870" s="42"/>
      <c r="D870" s="38"/>
      <c r="E870" s="39"/>
      <c r="F870" s="40"/>
      <c r="G870" s="38"/>
      <c r="H870" s="40"/>
      <c r="I870" s="40"/>
      <c r="J870" s="41"/>
      <c r="K870" s="38"/>
    </row>
    <row r="871" ht="12.75" customHeight="1">
      <c r="A871" s="35"/>
      <c r="B871" s="36"/>
      <c r="C871" s="42"/>
      <c r="D871" s="38"/>
      <c r="E871" s="39"/>
      <c r="F871" s="40"/>
      <c r="G871" s="38"/>
      <c r="H871" s="40"/>
      <c r="I871" s="40"/>
      <c r="J871" s="41"/>
      <c r="K871" s="38"/>
    </row>
    <row r="872" ht="12.75" customHeight="1">
      <c r="A872" s="35"/>
      <c r="B872" s="36"/>
      <c r="C872" s="42"/>
      <c r="D872" s="38"/>
      <c r="E872" s="39"/>
      <c r="F872" s="40"/>
      <c r="G872" s="38"/>
      <c r="H872" s="40"/>
      <c r="I872" s="40"/>
      <c r="J872" s="41"/>
      <c r="K872" s="38"/>
    </row>
    <row r="873" ht="12.75" customHeight="1">
      <c r="A873" s="35"/>
      <c r="B873" s="36"/>
      <c r="C873" s="42"/>
      <c r="D873" s="38"/>
      <c r="E873" s="39"/>
      <c r="F873" s="40"/>
      <c r="G873" s="38"/>
      <c r="H873" s="40"/>
      <c r="I873" s="40"/>
      <c r="J873" s="41"/>
      <c r="K873" s="38"/>
    </row>
    <row r="874" ht="12.75" customHeight="1">
      <c r="A874" s="35"/>
      <c r="B874" s="36"/>
      <c r="C874" s="42"/>
      <c r="D874" s="38"/>
      <c r="E874" s="39"/>
      <c r="F874" s="40"/>
      <c r="G874" s="38"/>
      <c r="H874" s="40"/>
      <c r="I874" s="40"/>
      <c r="J874" s="41"/>
      <c r="K874" s="38"/>
    </row>
    <row r="875" ht="12.75" customHeight="1">
      <c r="A875" s="35"/>
      <c r="B875" s="36"/>
      <c r="C875" s="42"/>
      <c r="D875" s="38"/>
      <c r="E875" s="39"/>
      <c r="F875" s="40"/>
      <c r="G875" s="38"/>
      <c r="H875" s="40"/>
      <c r="I875" s="40"/>
      <c r="J875" s="41"/>
      <c r="K875" s="38"/>
    </row>
    <row r="876" ht="12.75" customHeight="1">
      <c r="A876" s="35"/>
      <c r="B876" s="36"/>
      <c r="C876" s="42"/>
      <c r="D876" s="38"/>
      <c r="E876" s="39"/>
      <c r="F876" s="40"/>
      <c r="G876" s="38"/>
      <c r="H876" s="40"/>
      <c r="I876" s="40"/>
      <c r="J876" s="41"/>
      <c r="K876" s="38"/>
    </row>
    <row r="877" ht="12.75" customHeight="1">
      <c r="A877" s="35"/>
      <c r="B877" s="36"/>
      <c r="C877" s="42"/>
      <c r="D877" s="38"/>
      <c r="E877" s="39"/>
      <c r="F877" s="40"/>
      <c r="G877" s="38"/>
      <c r="H877" s="40"/>
      <c r="I877" s="40"/>
      <c r="J877" s="41"/>
      <c r="K877" s="38"/>
    </row>
    <row r="878" ht="12.75" customHeight="1">
      <c r="A878" s="35"/>
      <c r="B878" s="36"/>
      <c r="C878" s="42"/>
      <c r="D878" s="38"/>
      <c r="E878" s="39"/>
      <c r="F878" s="40"/>
      <c r="G878" s="38"/>
      <c r="H878" s="40"/>
      <c r="I878" s="40"/>
      <c r="J878" s="41"/>
      <c r="K878" s="38"/>
    </row>
    <row r="879" ht="12.75" customHeight="1">
      <c r="A879" s="35"/>
      <c r="B879" s="36"/>
      <c r="C879" s="42"/>
      <c r="D879" s="38"/>
      <c r="E879" s="39"/>
      <c r="F879" s="40"/>
      <c r="G879" s="38"/>
      <c r="H879" s="40"/>
      <c r="I879" s="40"/>
      <c r="J879" s="41"/>
      <c r="K879" s="38"/>
    </row>
    <row r="880" ht="12.75" customHeight="1">
      <c r="A880" s="35"/>
      <c r="B880" s="36"/>
      <c r="C880" s="42"/>
      <c r="D880" s="38"/>
      <c r="E880" s="39"/>
      <c r="F880" s="40"/>
      <c r="G880" s="38"/>
      <c r="H880" s="40"/>
      <c r="I880" s="40"/>
      <c r="J880" s="41"/>
      <c r="K880" s="38"/>
    </row>
    <row r="881" ht="12.75" customHeight="1">
      <c r="A881" s="35"/>
      <c r="B881" s="36"/>
      <c r="C881" s="42"/>
      <c r="D881" s="38"/>
      <c r="E881" s="39"/>
      <c r="F881" s="40"/>
      <c r="G881" s="38"/>
      <c r="H881" s="40"/>
      <c r="I881" s="40"/>
      <c r="J881" s="41"/>
      <c r="K881" s="38"/>
    </row>
    <row r="882" ht="12.75" customHeight="1">
      <c r="A882" s="35"/>
      <c r="B882" s="36"/>
      <c r="C882" s="42"/>
      <c r="D882" s="38"/>
      <c r="E882" s="39"/>
      <c r="F882" s="40"/>
      <c r="G882" s="38"/>
      <c r="H882" s="40"/>
      <c r="I882" s="40"/>
      <c r="J882" s="41"/>
      <c r="K882" s="38"/>
    </row>
    <row r="883" ht="12.75" customHeight="1">
      <c r="A883" s="35"/>
      <c r="B883" s="36"/>
      <c r="C883" s="42"/>
      <c r="D883" s="38"/>
      <c r="E883" s="39"/>
      <c r="F883" s="40"/>
      <c r="G883" s="38"/>
      <c r="H883" s="40"/>
      <c r="I883" s="40"/>
      <c r="J883" s="41"/>
      <c r="K883" s="38"/>
    </row>
    <row r="884" ht="12.75" customHeight="1">
      <c r="A884" s="35"/>
      <c r="B884" s="36"/>
      <c r="C884" s="42"/>
      <c r="D884" s="38"/>
      <c r="E884" s="39"/>
      <c r="F884" s="40"/>
      <c r="G884" s="38"/>
      <c r="H884" s="40"/>
      <c r="I884" s="40"/>
      <c r="J884" s="41"/>
      <c r="K884" s="38"/>
    </row>
    <row r="885" ht="12.75" customHeight="1">
      <c r="A885" s="35"/>
      <c r="B885" s="36"/>
      <c r="C885" s="42"/>
      <c r="D885" s="38"/>
      <c r="E885" s="39"/>
      <c r="F885" s="40"/>
      <c r="G885" s="38"/>
      <c r="H885" s="40"/>
      <c r="I885" s="40"/>
      <c r="J885" s="41"/>
      <c r="K885" s="38"/>
    </row>
    <row r="886" ht="12.75" customHeight="1">
      <c r="A886" s="35"/>
      <c r="B886" s="36"/>
      <c r="C886" s="42"/>
      <c r="D886" s="38"/>
      <c r="E886" s="39"/>
      <c r="F886" s="40"/>
      <c r="G886" s="38"/>
      <c r="H886" s="40"/>
      <c r="I886" s="40"/>
      <c r="J886" s="41"/>
      <c r="K886" s="38"/>
    </row>
    <row r="887" ht="12.75" customHeight="1">
      <c r="A887" s="35"/>
      <c r="B887" s="36"/>
      <c r="C887" s="42"/>
      <c r="D887" s="38"/>
      <c r="E887" s="39"/>
      <c r="F887" s="40"/>
      <c r="G887" s="38"/>
      <c r="H887" s="40"/>
      <c r="I887" s="40"/>
      <c r="J887" s="41"/>
      <c r="K887" s="38"/>
    </row>
    <row r="888" ht="12.75" customHeight="1">
      <c r="A888" s="35"/>
      <c r="B888" s="36"/>
      <c r="C888" s="42"/>
      <c r="D888" s="38"/>
      <c r="E888" s="39"/>
      <c r="F888" s="40"/>
      <c r="G888" s="38"/>
      <c r="H888" s="40"/>
      <c r="I888" s="40"/>
      <c r="J888" s="41"/>
      <c r="K888" s="38"/>
    </row>
    <row r="889" ht="12.75" customHeight="1">
      <c r="A889" s="35"/>
      <c r="B889" s="36"/>
      <c r="C889" s="42"/>
      <c r="D889" s="38"/>
      <c r="E889" s="39"/>
      <c r="F889" s="40"/>
      <c r="G889" s="38"/>
      <c r="H889" s="40"/>
      <c r="I889" s="40"/>
      <c r="J889" s="41"/>
      <c r="K889" s="38"/>
    </row>
    <row r="890" ht="12.75" customHeight="1">
      <c r="A890" s="35"/>
      <c r="B890" s="36"/>
      <c r="C890" s="42"/>
      <c r="D890" s="38"/>
      <c r="E890" s="39"/>
      <c r="F890" s="40"/>
      <c r="G890" s="38"/>
      <c r="H890" s="40"/>
      <c r="I890" s="40"/>
      <c r="J890" s="41"/>
      <c r="K890" s="38"/>
    </row>
  </sheetData>
  <autoFilter ref="$A$1:$K$405"/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2.75"/>
    <col customWidth="1" min="2" max="2" width="21.5"/>
    <col customWidth="1" min="3" max="3" width="17.13"/>
    <col customWidth="1" min="4" max="4" width="18.75"/>
    <col customWidth="1" min="5" max="5" width="22.0"/>
    <col customWidth="1" min="6" max="6" width="23.38"/>
    <col customWidth="1" min="7" max="7" width="15.63"/>
    <col customWidth="1" min="8" max="8" width="21.75"/>
    <col customWidth="1" min="9" max="9" width="18.5"/>
    <col customWidth="1" min="10" max="10" width="13.13"/>
    <col customWidth="1" min="11" max="11" width="14.13"/>
    <col customWidth="1" min="12" max="13" width="17.25"/>
    <col customWidth="1" min="14" max="33" width="11.5"/>
  </cols>
  <sheetData>
    <row r="1" ht="12.0" customHeight="1">
      <c r="A1" s="1" t="s">
        <v>1727</v>
      </c>
      <c r="B1" s="43" t="s">
        <v>1728</v>
      </c>
      <c r="C1" s="43" t="s">
        <v>1729</v>
      </c>
      <c r="D1" s="43" t="s">
        <v>1730</v>
      </c>
      <c r="E1" s="43" t="s">
        <v>2</v>
      </c>
      <c r="F1" s="43" t="s">
        <v>1731</v>
      </c>
      <c r="G1" s="44" t="s">
        <v>1732</v>
      </c>
      <c r="H1" s="45" t="s">
        <v>1733</v>
      </c>
      <c r="I1" s="45" t="s">
        <v>1734</v>
      </c>
      <c r="J1" s="43" t="s">
        <v>1735</v>
      </c>
      <c r="K1" s="3" t="s">
        <v>1736</v>
      </c>
      <c r="L1" s="46" t="s">
        <v>1737</v>
      </c>
      <c r="M1" s="3" t="s">
        <v>1738</v>
      </c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</row>
    <row r="2" ht="12.0" customHeight="1">
      <c r="A2" s="48" t="s">
        <v>1739</v>
      </c>
      <c r="B2" s="49">
        <v>45660.0</v>
      </c>
      <c r="C2" s="50" t="s">
        <v>1740</v>
      </c>
      <c r="D2" s="51" t="s">
        <v>1741</v>
      </c>
      <c r="E2" s="50" t="s">
        <v>418</v>
      </c>
      <c r="F2" s="52" t="s">
        <v>1742</v>
      </c>
      <c r="G2" s="53" t="s">
        <v>1743</v>
      </c>
      <c r="H2" s="54">
        <v>45299.0</v>
      </c>
      <c r="I2" s="17" t="s">
        <v>1744</v>
      </c>
      <c r="J2" s="50" t="s">
        <v>1745</v>
      </c>
      <c r="K2" s="55" t="s">
        <v>1746</v>
      </c>
      <c r="L2" s="48" t="s">
        <v>1747</v>
      </c>
      <c r="M2" s="56"/>
    </row>
    <row r="3" ht="12.0" customHeight="1">
      <c r="A3" s="48" t="s">
        <v>1748</v>
      </c>
      <c r="B3" s="49">
        <v>45660.0</v>
      </c>
      <c r="C3" s="50" t="s">
        <v>1740</v>
      </c>
      <c r="D3" s="51" t="s">
        <v>1749</v>
      </c>
      <c r="E3" s="50" t="s">
        <v>33</v>
      </c>
      <c r="F3" s="52" t="s">
        <v>1750</v>
      </c>
      <c r="G3" s="53" t="s">
        <v>1751</v>
      </c>
      <c r="H3" s="54">
        <v>45658.0</v>
      </c>
      <c r="I3" s="17" t="s">
        <v>1697</v>
      </c>
      <c r="J3" s="50" t="s">
        <v>1752</v>
      </c>
      <c r="K3" s="55" t="s">
        <v>1753</v>
      </c>
      <c r="L3" s="48" t="s">
        <v>1747</v>
      </c>
      <c r="M3" s="56"/>
    </row>
    <row r="4" ht="12.0" customHeight="1">
      <c r="A4" s="48" t="s">
        <v>1754</v>
      </c>
      <c r="B4" s="49">
        <v>45660.0</v>
      </c>
      <c r="C4" s="50" t="s">
        <v>1740</v>
      </c>
      <c r="D4" s="57" t="s">
        <v>1755</v>
      </c>
      <c r="E4" s="50" t="s">
        <v>329</v>
      </c>
      <c r="F4" s="52"/>
      <c r="G4" s="53" t="s">
        <v>1756</v>
      </c>
      <c r="H4" s="54">
        <v>45416.0</v>
      </c>
      <c r="I4" s="7">
        <v>45751.0</v>
      </c>
      <c r="J4" s="50" t="s">
        <v>1745</v>
      </c>
      <c r="K4" s="55" t="s">
        <v>1757</v>
      </c>
      <c r="L4" s="48" t="s">
        <v>1747</v>
      </c>
      <c r="M4" s="56"/>
    </row>
    <row r="5" ht="12.0" customHeight="1">
      <c r="A5" s="48" t="s">
        <v>1758</v>
      </c>
      <c r="B5" s="49">
        <v>45665.0</v>
      </c>
      <c r="C5" s="50" t="s">
        <v>1740</v>
      </c>
      <c r="D5" s="57" t="s">
        <v>1759</v>
      </c>
      <c r="E5" s="50" t="s">
        <v>117</v>
      </c>
      <c r="F5" s="52" t="s">
        <v>1760</v>
      </c>
      <c r="G5" s="53" t="s">
        <v>1761</v>
      </c>
      <c r="H5" s="54">
        <v>45870.0</v>
      </c>
      <c r="I5" s="17" t="s">
        <v>1762</v>
      </c>
      <c r="J5" s="50" t="s">
        <v>1745</v>
      </c>
      <c r="K5" s="55" t="s">
        <v>1763</v>
      </c>
      <c r="L5" s="48" t="s">
        <v>1764</v>
      </c>
      <c r="M5" s="56"/>
    </row>
    <row r="6" ht="12.0" customHeight="1">
      <c r="A6" s="48" t="s">
        <v>1765</v>
      </c>
      <c r="B6" s="49">
        <v>45666.0</v>
      </c>
      <c r="C6" s="50" t="s">
        <v>1740</v>
      </c>
      <c r="D6" s="57" t="s">
        <v>1766</v>
      </c>
      <c r="E6" s="50" t="s">
        <v>1767</v>
      </c>
      <c r="F6" s="52" t="s">
        <v>1768</v>
      </c>
      <c r="G6" s="53" t="s">
        <v>1769</v>
      </c>
      <c r="H6" s="54">
        <v>45931.0</v>
      </c>
      <c r="I6" s="17" t="s">
        <v>1770</v>
      </c>
      <c r="J6" s="50" t="s">
        <v>1745</v>
      </c>
      <c r="K6" s="55" t="s">
        <v>1771</v>
      </c>
      <c r="L6" s="48" t="s">
        <v>1772</v>
      </c>
      <c r="M6" s="56"/>
    </row>
    <row r="7" ht="12.0" customHeight="1">
      <c r="A7" s="48" t="s">
        <v>1773</v>
      </c>
      <c r="B7" s="49">
        <v>45674.0</v>
      </c>
      <c r="C7" s="50" t="s">
        <v>1740</v>
      </c>
      <c r="D7" s="57" t="s">
        <v>1774</v>
      </c>
      <c r="E7" s="50" t="s">
        <v>89</v>
      </c>
      <c r="F7" s="52" t="s">
        <v>1775</v>
      </c>
      <c r="G7" s="53" t="s">
        <v>1776</v>
      </c>
      <c r="H7" s="50" t="s">
        <v>1777</v>
      </c>
      <c r="I7" s="17" t="s">
        <v>1778</v>
      </c>
      <c r="J7" s="50" t="s">
        <v>1745</v>
      </c>
      <c r="K7" s="55" t="s">
        <v>1779</v>
      </c>
      <c r="L7" s="48" t="s">
        <v>1780</v>
      </c>
      <c r="M7" s="56"/>
    </row>
    <row r="8" ht="12.0" customHeight="1">
      <c r="A8" s="48" t="s">
        <v>1781</v>
      </c>
      <c r="B8" s="49">
        <v>45674.0</v>
      </c>
      <c r="C8" s="50" t="s">
        <v>1740</v>
      </c>
      <c r="D8" s="57" t="s">
        <v>1782</v>
      </c>
      <c r="E8" s="50" t="s">
        <v>84</v>
      </c>
      <c r="F8" s="52" t="s">
        <v>1783</v>
      </c>
      <c r="G8" s="53" t="s">
        <v>1784</v>
      </c>
      <c r="H8" s="50" t="s">
        <v>1785</v>
      </c>
      <c r="I8" s="17" t="s">
        <v>1778</v>
      </c>
      <c r="J8" s="50" t="s">
        <v>1745</v>
      </c>
      <c r="K8" s="55" t="s">
        <v>1786</v>
      </c>
      <c r="L8" s="48" t="s">
        <v>1747</v>
      </c>
      <c r="M8" s="56"/>
    </row>
    <row r="9" ht="12.0" customHeight="1">
      <c r="A9" s="48" t="s">
        <v>1787</v>
      </c>
      <c r="B9" s="49">
        <v>45677.0</v>
      </c>
      <c r="C9" s="50" t="s">
        <v>1740</v>
      </c>
      <c r="D9" s="57" t="s">
        <v>1788</v>
      </c>
      <c r="E9" s="50" t="s">
        <v>63</v>
      </c>
      <c r="F9" s="52" t="s">
        <v>1789</v>
      </c>
      <c r="G9" s="53" t="s">
        <v>1790</v>
      </c>
      <c r="H9" s="50" t="s">
        <v>1791</v>
      </c>
      <c r="I9" s="17" t="s">
        <v>1791</v>
      </c>
      <c r="J9" s="50" t="s">
        <v>1745</v>
      </c>
      <c r="K9" s="55" t="s">
        <v>1792</v>
      </c>
      <c r="L9" s="48" t="s">
        <v>1764</v>
      </c>
      <c r="M9" s="56"/>
    </row>
    <row r="10" ht="12.0" customHeight="1">
      <c r="A10" s="48" t="s">
        <v>1793</v>
      </c>
      <c r="B10" s="49">
        <v>45677.0</v>
      </c>
      <c r="C10" s="50" t="s">
        <v>1740</v>
      </c>
      <c r="D10" s="57" t="s">
        <v>1794</v>
      </c>
      <c r="E10" s="50" t="s">
        <v>58</v>
      </c>
      <c r="F10" s="52" t="s">
        <v>1789</v>
      </c>
      <c r="G10" s="58" t="s">
        <v>1795</v>
      </c>
      <c r="H10" s="50" t="s">
        <v>1791</v>
      </c>
      <c r="I10" s="17" t="s">
        <v>1791</v>
      </c>
      <c r="J10" s="59" t="s">
        <v>1745</v>
      </c>
      <c r="K10" s="55" t="s">
        <v>1792</v>
      </c>
      <c r="L10" s="48" t="s">
        <v>1764</v>
      </c>
      <c r="M10" s="60"/>
    </row>
    <row r="11" ht="12.0" customHeight="1">
      <c r="A11" s="48" t="s">
        <v>1796</v>
      </c>
      <c r="B11" s="50" t="s">
        <v>1778</v>
      </c>
      <c r="C11" s="50" t="s">
        <v>1740</v>
      </c>
      <c r="D11" s="57" t="s">
        <v>1797</v>
      </c>
      <c r="E11" s="50" t="s">
        <v>122</v>
      </c>
      <c r="F11" s="52" t="s">
        <v>1798</v>
      </c>
      <c r="G11" s="58" t="s">
        <v>1799</v>
      </c>
      <c r="H11" s="54">
        <v>45690.0</v>
      </c>
      <c r="I11" s="17" t="s">
        <v>1800</v>
      </c>
      <c r="J11" s="59" t="s">
        <v>1745</v>
      </c>
      <c r="K11" s="55" t="s">
        <v>1801</v>
      </c>
      <c r="L11" s="48" t="s">
        <v>1747</v>
      </c>
      <c r="M11" s="60"/>
    </row>
    <row r="12" ht="12.0" customHeight="1">
      <c r="A12" s="48" t="s">
        <v>1802</v>
      </c>
      <c r="B12" s="50" t="s">
        <v>1778</v>
      </c>
      <c r="C12" s="50" t="s">
        <v>1740</v>
      </c>
      <c r="D12" s="57" t="s">
        <v>1803</v>
      </c>
      <c r="E12" s="50" t="s">
        <v>1804</v>
      </c>
      <c r="F12" s="52"/>
      <c r="G12" s="58" t="s">
        <v>1776</v>
      </c>
      <c r="H12" s="61"/>
      <c r="I12" s="62"/>
      <c r="J12" s="59" t="s">
        <v>1745</v>
      </c>
      <c r="K12" s="55" t="s">
        <v>1805</v>
      </c>
      <c r="L12" s="48" t="s">
        <v>1747</v>
      </c>
      <c r="M12" s="60"/>
    </row>
    <row r="13" ht="12.0" customHeight="1">
      <c r="A13" s="48" t="s">
        <v>1806</v>
      </c>
      <c r="B13" s="50" t="s">
        <v>1778</v>
      </c>
      <c r="C13" s="50" t="s">
        <v>1740</v>
      </c>
      <c r="D13" s="57" t="s">
        <v>1807</v>
      </c>
      <c r="E13" s="50" t="s">
        <v>244</v>
      </c>
      <c r="F13" s="52"/>
      <c r="G13" s="53" t="s">
        <v>1808</v>
      </c>
      <c r="H13" s="61"/>
      <c r="I13" s="62"/>
      <c r="J13" s="50" t="s">
        <v>1745</v>
      </c>
      <c r="K13" s="55" t="s">
        <v>1809</v>
      </c>
      <c r="L13" s="48" t="s">
        <v>1772</v>
      </c>
      <c r="M13" s="56"/>
    </row>
    <row r="14" ht="12.0" customHeight="1">
      <c r="A14" s="48" t="s">
        <v>1810</v>
      </c>
      <c r="B14" s="50" t="s">
        <v>1778</v>
      </c>
      <c r="C14" s="50" t="s">
        <v>1740</v>
      </c>
      <c r="D14" s="57" t="s">
        <v>1811</v>
      </c>
      <c r="E14" s="50" t="s">
        <v>239</v>
      </c>
      <c r="F14" s="52"/>
      <c r="G14" s="53" t="s">
        <v>1812</v>
      </c>
      <c r="H14" s="61"/>
      <c r="I14" s="62"/>
      <c r="J14" s="50" t="s">
        <v>1745</v>
      </c>
      <c r="K14" s="55" t="s">
        <v>1809</v>
      </c>
      <c r="L14" s="48" t="s">
        <v>1772</v>
      </c>
      <c r="M14" s="56"/>
    </row>
    <row r="15" ht="12.0" customHeight="1">
      <c r="A15" s="48" t="s">
        <v>1813</v>
      </c>
      <c r="B15" s="49">
        <v>45659.0</v>
      </c>
      <c r="C15" s="50" t="s">
        <v>1740</v>
      </c>
      <c r="D15" s="57" t="s">
        <v>1814</v>
      </c>
      <c r="E15" s="50" t="s">
        <v>520</v>
      </c>
      <c r="F15" s="52" t="s">
        <v>1815</v>
      </c>
      <c r="G15" s="53" t="s">
        <v>1799</v>
      </c>
      <c r="H15" s="54">
        <v>45659.0</v>
      </c>
      <c r="I15" s="17" t="s">
        <v>1816</v>
      </c>
      <c r="J15" s="50" t="s">
        <v>1745</v>
      </c>
      <c r="K15" s="60"/>
      <c r="L15" s="48" t="s">
        <v>1747</v>
      </c>
      <c r="M15" s="56"/>
    </row>
    <row r="16" ht="12.0" customHeight="1">
      <c r="A16" s="48" t="s">
        <v>1817</v>
      </c>
      <c r="B16" s="50" t="s">
        <v>1818</v>
      </c>
      <c r="C16" s="50" t="s">
        <v>1740</v>
      </c>
      <c r="D16" s="57" t="s">
        <v>1819</v>
      </c>
      <c r="E16" s="50" t="s">
        <v>179</v>
      </c>
      <c r="F16" s="52" t="s">
        <v>1820</v>
      </c>
      <c r="G16" s="53" t="s">
        <v>1784</v>
      </c>
      <c r="H16" s="50" t="s">
        <v>1818</v>
      </c>
      <c r="I16" s="17" t="s">
        <v>1821</v>
      </c>
      <c r="J16" s="50" t="s">
        <v>1745</v>
      </c>
      <c r="K16" s="60"/>
      <c r="L16" s="48" t="s">
        <v>1747</v>
      </c>
      <c r="M16" s="56"/>
    </row>
    <row r="17" ht="12.0" customHeight="1">
      <c r="A17" s="48" t="s">
        <v>1822</v>
      </c>
      <c r="B17" s="49">
        <v>45659.0</v>
      </c>
      <c r="C17" s="50" t="s">
        <v>1740</v>
      </c>
      <c r="D17" s="57" t="s">
        <v>1823</v>
      </c>
      <c r="E17" s="50" t="s">
        <v>137</v>
      </c>
      <c r="F17" s="52" t="s">
        <v>1824</v>
      </c>
      <c r="G17" s="53" t="s">
        <v>1751</v>
      </c>
      <c r="H17" s="54">
        <v>45659.0</v>
      </c>
      <c r="I17" s="17" t="s">
        <v>1697</v>
      </c>
      <c r="J17" s="50" t="s">
        <v>1752</v>
      </c>
      <c r="K17" s="60"/>
      <c r="L17" s="48" t="s">
        <v>1747</v>
      </c>
      <c r="M17" s="50" t="s">
        <v>1825</v>
      </c>
    </row>
    <row r="18" ht="12.0" customHeight="1">
      <c r="A18" s="48" t="s">
        <v>1826</v>
      </c>
      <c r="B18" s="49">
        <v>45659.0</v>
      </c>
      <c r="C18" s="50" t="s">
        <v>1740</v>
      </c>
      <c r="D18" s="57" t="s">
        <v>1827</v>
      </c>
      <c r="E18" s="50" t="s">
        <v>1828</v>
      </c>
      <c r="F18" s="52" t="s">
        <v>1829</v>
      </c>
      <c r="G18" s="53" t="s">
        <v>1830</v>
      </c>
      <c r="H18" s="61"/>
      <c r="I18" s="62"/>
      <c r="J18" s="50" t="s">
        <v>1745</v>
      </c>
      <c r="K18" s="60"/>
      <c r="L18" s="48" t="s">
        <v>1764</v>
      </c>
      <c r="M18" s="50" t="s">
        <v>1831</v>
      </c>
    </row>
    <row r="19" ht="12.0" customHeight="1">
      <c r="A19" s="48" t="s">
        <v>1832</v>
      </c>
      <c r="B19" s="49">
        <v>45932.0</v>
      </c>
      <c r="C19" s="50" t="s">
        <v>1740</v>
      </c>
      <c r="D19" s="57" t="s">
        <v>1833</v>
      </c>
      <c r="E19" s="50" t="s">
        <v>150</v>
      </c>
      <c r="F19" s="52" t="s">
        <v>1834</v>
      </c>
      <c r="G19" s="58" t="s">
        <v>1835</v>
      </c>
      <c r="H19" s="54">
        <v>45932.0</v>
      </c>
      <c r="I19" s="7">
        <v>45934.0</v>
      </c>
      <c r="J19" s="59" t="s">
        <v>1745</v>
      </c>
      <c r="K19" s="60"/>
      <c r="L19" s="48" t="s">
        <v>1764</v>
      </c>
      <c r="M19" s="60"/>
    </row>
    <row r="20" ht="12.0" customHeight="1">
      <c r="A20" s="48" t="s">
        <v>1836</v>
      </c>
      <c r="B20" s="49">
        <v>45779.0</v>
      </c>
      <c r="C20" s="50" t="s">
        <v>1740</v>
      </c>
      <c r="D20" s="57" t="s">
        <v>1837</v>
      </c>
      <c r="E20" s="50" t="s">
        <v>170</v>
      </c>
      <c r="F20" s="52" t="s">
        <v>1838</v>
      </c>
      <c r="G20" s="58" t="s">
        <v>1839</v>
      </c>
      <c r="H20" s="54">
        <v>45779.0</v>
      </c>
      <c r="I20" s="17" t="s">
        <v>1840</v>
      </c>
      <c r="J20" s="59" t="s">
        <v>1745</v>
      </c>
      <c r="K20" s="60"/>
      <c r="L20" s="48" t="s">
        <v>1764</v>
      </c>
      <c r="M20" s="60"/>
    </row>
    <row r="21" ht="12.0" customHeight="1">
      <c r="A21" s="48" t="s">
        <v>1841</v>
      </c>
      <c r="B21" s="49">
        <v>45689.0</v>
      </c>
      <c r="C21" s="50" t="s">
        <v>1740</v>
      </c>
      <c r="D21" s="57" t="s">
        <v>1842</v>
      </c>
      <c r="E21" s="50" t="s">
        <v>165</v>
      </c>
      <c r="F21" s="52" t="s">
        <v>1843</v>
      </c>
      <c r="G21" s="58" t="s">
        <v>1844</v>
      </c>
      <c r="H21" s="54">
        <v>45689.0</v>
      </c>
      <c r="I21" s="17" t="s">
        <v>1770</v>
      </c>
      <c r="J21" s="59" t="s">
        <v>1745</v>
      </c>
      <c r="K21" s="60"/>
      <c r="L21" s="48" t="s">
        <v>1764</v>
      </c>
      <c r="M21" s="60"/>
    </row>
    <row r="22" ht="12.0" customHeight="1">
      <c r="A22" s="48" t="s">
        <v>1845</v>
      </c>
      <c r="B22" s="49">
        <v>45659.0</v>
      </c>
      <c r="C22" s="50" t="s">
        <v>1740</v>
      </c>
      <c r="D22" s="57" t="s">
        <v>1846</v>
      </c>
      <c r="E22" s="50" t="s">
        <v>212</v>
      </c>
      <c r="F22" s="52" t="s">
        <v>1847</v>
      </c>
      <c r="G22" s="58" t="s">
        <v>1848</v>
      </c>
      <c r="H22" s="54">
        <v>45659.0</v>
      </c>
      <c r="I22" s="17" t="s">
        <v>1821</v>
      </c>
      <c r="J22" s="59" t="s">
        <v>1745</v>
      </c>
      <c r="K22" s="60"/>
      <c r="L22" s="48" t="s">
        <v>1764</v>
      </c>
      <c r="M22" s="60"/>
    </row>
    <row r="23" ht="12.0" customHeight="1">
      <c r="A23" s="48" t="s">
        <v>298</v>
      </c>
      <c r="B23" s="49">
        <v>45933.0</v>
      </c>
      <c r="C23" s="50" t="s">
        <v>1740</v>
      </c>
      <c r="D23" s="57" t="s">
        <v>1849</v>
      </c>
      <c r="E23" s="50" t="s">
        <v>297</v>
      </c>
      <c r="F23" s="52" t="s">
        <v>1850</v>
      </c>
      <c r="G23" s="58" t="s">
        <v>1784</v>
      </c>
      <c r="H23" s="54">
        <v>45933.0</v>
      </c>
      <c r="I23" s="17" t="s">
        <v>1851</v>
      </c>
      <c r="J23" s="59" t="s">
        <v>1745</v>
      </c>
      <c r="K23" s="60"/>
      <c r="L23" s="48" t="s">
        <v>1747</v>
      </c>
      <c r="M23" s="60"/>
    </row>
    <row r="24" ht="12.0" customHeight="1">
      <c r="A24" s="48" t="s">
        <v>1852</v>
      </c>
      <c r="B24" s="49">
        <v>45933.0</v>
      </c>
      <c r="C24" s="50" t="s">
        <v>1740</v>
      </c>
      <c r="D24" s="57" t="s">
        <v>1853</v>
      </c>
      <c r="E24" s="50" t="s">
        <v>234</v>
      </c>
      <c r="F24" s="52"/>
      <c r="G24" s="58" t="s">
        <v>1854</v>
      </c>
      <c r="H24" s="61"/>
      <c r="I24" s="62"/>
      <c r="J24" s="59" t="s">
        <v>1745</v>
      </c>
      <c r="K24" s="60"/>
      <c r="L24" s="48" t="s">
        <v>1772</v>
      </c>
      <c r="M24" s="60"/>
    </row>
    <row r="25" ht="12.0" customHeight="1">
      <c r="A25" s="48" t="s">
        <v>1855</v>
      </c>
      <c r="B25" s="49">
        <v>45933.0</v>
      </c>
      <c r="C25" s="50" t="s">
        <v>1740</v>
      </c>
      <c r="D25" s="57" t="s">
        <v>1856</v>
      </c>
      <c r="E25" s="50" t="s">
        <v>378</v>
      </c>
      <c r="F25" s="52"/>
      <c r="G25" s="58" t="s">
        <v>1857</v>
      </c>
      <c r="H25" s="61"/>
      <c r="I25" s="62"/>
      <c r="J25" s="59" t="s">
        <v>1745</v>
      </c>
      <c r="K25" s="60"/>
      <c r="L25" s="48" t="s">
        <v>1764</v>
      </c>
      <c r="M25" s="60"/>
    </row>
    <row r="26" ht="12.0" customHeight="1">
      <c r="A26" s="48" t="s">
        <v>1858</v>
      </c>
      <c r="B26" s="49">
        <v>45757.0</v>
      </c>
      <c r="C26" s="50" t="s">
        <v>1740</v>
      </c>
      <c r="D26" s="57" t="s">
        <v>1859</v>
      </c>
      <c r="E26" s="50" t="s">
        <v>1860</v>
      </c>
      <c r="F26" s="52"/>
      <c r="G26" s="58" t="s">
        <v>1861</v>
      </c>
      <c r="H26" s="54">
        <v>45661.0</v>
      </c>
      <c r="I26" s="17" t="s">
        <v>1862</v>
      </c>
      <c r="J26" s="59" t="s">
        <v>1745</v>
      </c>
      <c r="K26" s="55" t="s">
        <v>1863</v>
      </c>
      <c r="L26" s="48" t="s">
        <v>1772</v>
      </c>
      <c r="M26" s="55" t="s">
        <v>1864</v>
      </c>
    </row>
    <row r="27" ht="12.0" customHeight="1">
      <c r="A27" s="48" t="s">
        <v>1865</v>
      </c>
      <c r="B27" s="49">
        <v>45757.0</v>
      </c>
      <c r="C27" s="50" t="s">
        <v>1740</v>
      </c>
      <c r="D27" s="57" t="s">
        <v>1866</v>
      </c>
      <c r="E27" s="50" t="s">
        <v>1867</v>
      </c>
      <c r="F27" s="52"/>
      <c r="G27" s="58" t="s">
        <v>1861</v>
      </c>
      <c r="H27" s="61"/>
      <c r="I27" s="62"/>
      <c r="J27" s="59" t="s">
        <v>1745</v>
      </c>
      <c r="K27" s="55" t="s">
        <v>1863</v>
      </c>
      <c r="L27" s="48" t="s">
        <v>1772</v>
      </c>
      <c r="M27" s="55" t="s">
        <v>1864</v>
      </c>
    </row>
    <row r="28" ht="12.0" customHeight="1">
      <c r="A28" s="48" t="s">
        <v>1868</v>
      </c>
      <c r="B28" s="49">
        <v>45757.0</v>
      </c>
      <c r="C28" s="50" t="s">
        <v>1740</v>
      </c>
      <c r="D28" s="57" t="s">
        <v>1869</v>
      </c>
      <c r="E28" s="63" t="s">
        <v>1717</v>
      </c>
      <c r="F28" s="52"/>
      <c r="G28" s="58" t="s">
        <v>1861</v>
      </c>
      <c r="H28" s="61"/>
      <c r="I28" s="62"/>
      <c r="J28" s="59" t="s">
        <v>1745</v>
      </c>
      <c r="K28" s="55" t="s">
        <v>1863</v>
      </c>
      <c r="L28" s="48" t="s">
        <v>1772</v>
      </c>
      <c r="M28" s="55" t="s">
        <v>1864</v>
      </c>
    </row>
    <row r="29" ht="12.0" customHeight="1">
      <c r="A29" s="48" t="s">
        <v>1870</v>
      </c>
      <c r="B29" s="49">
        <v>45757.0</v>
      </c>
      <c r="C29" s="50" t="s">
        <v>1740</v>
      </c>
      <c r="D29" s="57" t="s">
        <v>1871</v>
      </c>
      <c r="E29" s="50" t="s">
        <v>548</v>
      </c>
      <c r="F29" s="52"/>
      <c r="G29" s="58" t="s">
        <v>1784</v>
      </c>
      <c r="H29" s="61"/>
      <c r="I29" s="62"/>
      <c r="J29" s="59" t="s">
        <v>1745</v>
      </c>
      <c r="K29" s="60"/>
      <c r="L29" s="48" t="s">
        <v>1747</v>
      </c>
      <c r="M29" s="60"/>
    </row>
    <row r="30" ht="12.0" customHeight="1">
      <c r="B30" s="49">
        <v>45757.0</v>
      </c>
      <c r="C30" s="50" t="s">
        <v>1740</v>
      </c>
      <c r="D30" s="57" t="s">
        <v>1872</v>
      </c>
      <c r="E30" s="50" t="s">
        <v>567</v>
      </c>
      <c r="F30" s="52"/>
      <c r="G30" s="58" t="s">
        <v>1873</v>
      </c>
      <c r="H30" s="61"/>
      <c r="I30" s="62"/>
      <c r="J30" s="59" t="s">
        <v>1745</v>
      </c>
      <c r="K30" s="60"/>
      <c r="L30" s="48" t="s">
        <v>1764</v>
      </c>
      <c r="M30" s="60"/>
    </row>
    <row r="31" ht="12.0" customHeight="1">
      <c r="A31" s="48" t="s">
        <v>1874</v>
      </c>
      <c r="B31" s="49">
        <v>45757.0</v>
      </c>
      <c r="C31" s="50" t="s">
        <v>1740</v>
      </c>
      <c r="D31" s="57" t="s">
        <v>1875</v>
      </c>
      <c r="E31" s="50" t="s">
        <v>443</v>
      </c>
      <c r="F31" s="52"/>
      <c r="G31" s="58" t="s">
        <v>1776</v>
      </c>
      <c r="H31" s="61"/>
      <c r="I31" s="62"/>
      <c r="J31" s="59" t="s">
        <v>1745</v>
      </c>
      <c r="K31" s="60"/>
      <c r="L31" s="48" t="s">
        <v>1780</v>
      </c>
      <c r="M31" s="60"/>
    </row>
    <row r="32" ht="12.0" customHeight="1">
      <c r="A32" s="48" t="s">
        <v>1876</v>
      </c>
      <c r="B32" s="49">
        <v>45757.0</v>
      </c>
      <c r="C32" s="50" t="s">
        <v>1740</v>
      </c>
      <c r="D32" s="57" t="s">
        <v>1877</v>
      </c>
      <c r="E32" s="50" t="s">
        <v>361</v>
      </c>
      <c r="F32" s="52"/>
      <c r="G32" s="58" t="s">
        <v>1878</v>
      </c>
      <c r="H32" s="61"/>
      <c r="I32" s="62"/>
      <c r="J32" s="59" t="s">
        <v>1745</v>
      </c>
      <c r="K32" s="60"/>
      <c r="L32" s="48" t="s">
        <v>1747</v>
      </c>
      <c r="M32" s="60"/>
    </row>
    <row r="33" ht="12.0" customHeight="1">
      <c r="A33" s="48" t="s">
        <v>1879</v>
      </c>
      <c r="B33" s="49">
        <v>45757.0</v>
      </c>
      <c r="C33" s="50" t="s">
        <v>1740</v>
      </c>
      <c r="D33" s="57" t="s">
        <v>1880</v>
      </c>
      <c r="E33" s="50" t="s">
        <v>1881</v>
      </c>
      <c r="F33" s="52"/>
      <c r="G33" s="58" t="s">
        <v>1882</v>
      </c>
      <c r="H33" s="61"/>
      <c r="I33" s="62"/>
      <c r="J33" s="59" t="s">
        <v>1745</v>
      </c>
      <c r="K33" s="60"/>
      <c r="L33" s="48" t="s">
        <v>1764</v>
      </c>
      <c r="M33" s="60"/>
    </row>
    <row r="34" ht="12.0" customHeight="1">
      <c r="A34" s="48" t="s">
        <v>1883</v>
      </c>
      <c r="B34" s="49">
        <v>45757.0</v>
      </c>
      <c r="C34" s="50" t="s">
        <v>1740</v>
      </c>
      <c r="D34" s="57" t="s">
        <v>1884</v>
      </c>
      <c r="E34" s="64" t="s">
        <v>388</v>
      </c>
      <c r="F34" s="52"/>
      <c r="G34" s="58" t="s">
        <v>1885</v>
      </c>
      <c r="H34" s="61"/>
      <c r="I34" s="62"/>
      <c r="J34" s="59" t="s">
        <v>1745</v>
      </c>
      <c r="K34" s="60"/>
      <c r="L34" s="48" t="s">
        <v>1764</v>
      </c>
      <c r="M34" s="60"/>
    </row>
    <row r="35" ht="12.0" customHeight="1">
      <c r="A35" s="48" t="s">
        <v>1886</v>
      </c>
      <c r="B35" s="49">
        <v>45757.0</v>
      </c>
      <c r="C35" s="50" t="s">
        <v>1740</v>
      </c>
      <c r="D35" s="57" t="s">
        <v>1887</v>
      </c>
      <c r="E35" s="50" t="s">
        <v>373</v>
      </c>
      <c r="F35" s="52"/>
      <c r="G35" s="58" t="s">
        <v>1888</v>
      </c>
      <c r="H35" s="61"/>
      <c r="I35" s="62"/>
      <c r="J35" s="59" t="s">
        <v>1745</v>
      </c>
      <c r="K35" s="60"/>
      <c r="L35" s="48" t="s">
        <v>1764</v>
      </c>
      <c r="M35" s="60"/>
    </row>
    <row r="36" ht="12.0" customHeight="1">
      <c r="A36" s="48" t="s">
        <v>1889</v>
      </c>
      <c r="B36" s="49">
        <v>45757.0</v>
      </c>
      <c r="C36" s="50" t="s">
        <v>1740</v>
      </c>
      <c r="D36" s="57" t="s">
        <v>1890</v>
      </c>
      <c r="E36" s="50" t="s">
        <v>757</v>
      </c>
      <c r="F36" s="52"/>
      <c r="G36" s="58" t="s">
        <v>1776</v>
      </c>
      <c r="H36" s="61"/>
      <c r="I36" s="62"/>
      <c r="J36" s="59" t="s">
        <v>1745</v>
      </c>
      <c r="K36" s="60"/>
      <c r="L36" s="48" t="s">
        <v>1780</v>
      </c>
      <c r="M36" s="60"/>
    </row>
    <row r="37" ht="12.0" customHeight="1">
      <c r="A37" s="48" t="s">
        <v>1891</v>
      </c>
      <c r="B37" s="49">
        <v>45757.0</v>
      </c>
      <c r="C37" s="50" t="s">
        <v>1740</v>
      </c>
      <c r="D37" s="57" t="s">
        <v>1892</v>
      </c>
      <c r="E37" s="50" t="s">
        <v>399</v>
      </c>
      <c r="F37" s="52"/>
      <c r="G37" s="65" t="s">
        <v>1893</v>
      </c>
      <c r="H37" s="61"/>
      <c r="I37" s="62"/>
      <c r="J37" s="17" t="s">
        <v>1745</v>
      </c>
      <c r="K37" s="60"/>
      <c r="L37" s="48" t="s">
        <v>1764</v>
      </c>
      <c r="M37" s="66"/>
    </row>
    <row r="38" ht="12.0" customHeight="1">
      <c r="A38" s="48" t="s">
        <v>1894</v>
      </c>
      <c r="B38" s="49">
        <v>45757.0</v>
      </c>
      <c r="C38" s="50" t="s">
        <v>1740</v>
      </c>
      <c r="D38" s="57" t="s">
        <v>1895</v>
      </c>
      <c r="E38" s="50" t="s">
        <v>404</v>
      </c>
      <c r="F38" s="52"/>
      <c r="G38" s="58" t="s">
        <v>1896</v>
      </c>
      <c r="H38" s="61"/>
      <c r="I38" s="62"/>
      <c r="J38" s="59" t="s">
        <v>1745</v>
      </c>
      <c r="K38" s="60"/>
      <c r="L38" s="48" t="s">
        <v>1747</v>
      </c>
      <c r="M38" s="60"/>
    </row>
    <row r="39" ht="12.0" customHeight="1">
      <c r="A39" s="48" t="s">
        <v>620</v>
      </c>
      <c r="B39" s="49">
        <v>45757.0</v>
      </c>
      <c r="C39" s="50" t="s">
        <v>1740</v>
      </c>
      <c r="D39" s="57" t="s">
        <v>1897</v>
      </c>
      <c r="E39" s="50" t="s">
        <v>619</v>
      </c>
      <c r="F39" s="52"/>
      <c r="G39" s="58" t="s">
        <v>1898</v>
      </c>
      <c r="H39" s="61"/>
      <c r="I39" s="62"/>
      <c r="J39" s="59" t="s">
        <v>1745</v>
      </c>
      <c r="K39" s="60"/>
      <c r="L39" s="48" t="s">
        <v>1764</v>
      </c>
      <c r="M39" s="60"/>
    </row>
    <row r="40" ht="12.0" customHeight="1">
      <c r="A40" s="48" t="s">
        <v>1899</v>
      </c>
      <c r="B40" s="49">
        <v>45757.0</v>
      </c>
      <c r="C40" s="50" t="s">
        <v>1740</v>
      </c>
      <c r="D40" s="57" t="s">
        <v>1900</v>
      </c>
      <c r="E40" s="50" t="s">
        <v>409</v>
      </c>
      <c r="F40" s="52"/>
      <c r="G40" s="58" t="s">
        <v>1901</v>
      </c>
      <c r="H40" s="61"/>
      <c r="I40" s="62"/>
      <c r="J40" s="59" t="s">
        <v>1745</v>
      </c>
      <c r="K40" s="66"/>
      <c r="L40" s="48" t="s">
        <v>1764</v>
      </c>
      <c r="M40" s="60"/>
    </row>
    <row r="41" ht="12.0" customHeight="1">
      <c r="A41" s="48" t="s">
        <v>1902</v>
      </c>
      <c r="B41" s="49">
        <v>45757.0</v>
      </c>
      <c r="C41" s="50" t="s">
        <v>1740</v>
      </c>
      <c r="D41" s="57" t="s">
        <v>1903</v>
      </c>
      <c r="E41" s="50" t="s">
        <v>506</v>
      </c>
      <c r="F41" s="52"/>
      <c r="G41" s="58" t="s">
        <v>1904</v>
      </c>
      <c r="H41" s="61"/>
      <c r="I41" s="62"/>
      <c r="J41" s="59" t="s">
        <v>1745</v>
      </c>
      <c r="K41" s="60"/>
      <c r="L41" s="48" t="s">
        <v>1764</v>
      </c>
      <c r="M41" s="60"/>
    </row>
    <row r="42" ht="12.0" customHeight="1">
      <c r="A42" s="48" t="s">
        <v>1905</v>
      </c>
      <c r="B42" s="49">
        <v>45757.0</v>
      </c>
      <c r="C42" s="50" t="s">
        <v>1740</v>
      </c>
      <c r="D42" s="57" t="s">
        <v>1906</v>
      </c>
      <c r="E42" s="50" t="s">
        <v>475</v>
      </c>
      <c r="F42" s="52"/>
      <c r="G42" s="53" t="s">
        <v>1907</v>
      </c>
      <c r="H42" s="61"/>
      <c r="I42" s="62"/>
      <c r="J42" s="59" t="s">
        <v>1745</v>
      </c>
      <c r="K42" s="67"/>
      <c r="L42" s="48" t="s">
        <v>1764</v>
      </c>
      <c r="M42" s="56"/>
    </row>
    <row r="43" ht="12.0" customHeight="1">
      <c r="A43" s="48" t="s">
        <v>1908</v>
      </c>
      <c r="B43" s="49">
        <v>45757.0</v>
      </c>
      <c r="C43" s="50" t="s">
        <v>1740</v>
      </c>
      <c r="D43" s="57" t="s">
        <v>1909</v>
      </c>
      <c r="E43" s="50" t="s">
        <v>1196</v>
      </c>
      <c r="F43" s="52"/>
      <c r="G43" s="53" t="s">
        <v>1910</v>
      </c>
      <c r="H43" s="50">
        <v>2025.0</v>
      </c>
      <c r="I43" s="17">
        <v>2026.0</v>
      </c>
      <c r="J43" s="17" t="s">
        <v>1745</v>
      </c>
      <c r="K43" s="67"/>
      <c r="L43" s="48" t="s">
        <v>1747</v>
      </c>
      <c r="M43" s="56"/>
    </row>
    <row r="44" ht="12.0" customHeight="1">
      <c r="A44" s="48" t="s">
        <v>1911</v>
      </c>
      <c r="B44" s="49">
        <v>45757.0</v>
      </c>
      <c r="C44" s="50" t="s">
        <v>1740</v>
      </c>
      <c r="D44" s="57" t="s">
        <v>1912</v>
      </c>
      <c r="E44" s="50" t="s">
        <v>487</v>
      </c>
      <c r="F44" s="52"/>
      <c r="G44" s="53" t="s">
        <v>1885</v>
      </c>
      <c r="H44" s="54">
        <v>45661.0</v>
      </c>
      <c r="I44" s="17" t="s">
        <v>1913</v>
      </c>
      <c r="J44" s="17" t="s">
        <v>1745</v>
      </c>
      <c r="K44" s="67"/>
      <c r="L44" s="48" t="s">
        <v>1764</v>
      </c>
      <c r="M44" s="56"/>
    </row>
    <row r="45" ht="12.0" customHeight="1">
      <c r="A45" s="48" t="s">
        <v>1914</v>
      </c>
      <c r="B45" s="49">
        <v>45757.0</v>
      </c>
      <c r="C45" s="50" t="s">
        <v>1740</v>
      </c>
      <c r="D45" s="57" t="s">
        <v>1915</v>
      </c>
      <c r="E45" s="50" t="s">
        <v>493</v>
      </c>
      <c r="F45" s="52"/>
      <c r="G45" s="53" t="s">
        <v>1916</v>
      </c>
      <c r="H45" s="54">
        <v>45661.0</v>
      </c>
      <c r="I45" s="17" t="s">
        <v>1913</v>
      </c>
      <c r="J45" s="17" t="s">
        <v>1745</v>
      </c>
      <c r="K45" s="67"/>
      <c r="L45" s="48" t="s">
        <v>1764</v>
      </c>
      <c r="M45" s="56"/>
    </row>
    <row r="46" ht="12.0" customHeight="1">
      <c r="A46" s="48" t="s">
        <v>1917</v>
      </c>
      <c r="B46" s="49">
        <v>45757.0</v>
      </c>
      <c r="C46" s="50" t="s">
        <v>1740</v>
      </c>
      <c r="D46" s="57" t="s">
        <v>1918</v>
      </c>
      <c r="E46" s="50" t="s">
        <v>543</v>
      </c>
      <c r="F46" s="52"/>
      <c r="G46" s="53" t="s">
        <v>1919</v>
      </c>
      <c r="H46" s="61"/>
      <c r="I46" s="62"/>
      <c r="J46" s="17" t="s">
        <v>1745</v>
      </c>
      <c r="K46" s="67"/>
      <c r="L46" s="48" t="s">
        <v>1780</v>
      </c>
      <c r="M46" s="56"/>
    </row>
    <row r="47" ht="12.0" customHeight="1">
      <c r="A47" s="48" t="s">
        <v>1920</v>
      </c>
      <c r="B47" s="49">
        <v>45757.0</v>
      </c>
      <c r="C47" s="50" t="s">
        <v>1740</v>
      </c>
      <c r="D47" s="57" t="s">
        <v>1921</v>
      </c>
      <c r="E47" s="50" t="s">
        <v>855</v>
      </c>
      <c r="F47" s="52"/>
      <c r="G47" s="53" t="s">
        <v>1922</v>
      </c>
      <c r="H47" s="50" t="s">
        <v>1923</v>
      </c>
      <c r="I47" s="17" t="s">
        <v>1924</v>
      </c>
      <c r="J47" s="17" t="s">
        <v>1745</v>
      </c>
      <c r="K47" s="68" t="s">
        <v>1925</v>
      </c>
      <c r="L47" s="48" t="s">
        <v>1764</v>
      </c>
      <c r="M47" s="56"/>
    </row>
    <row r="48" ht="12.0" customHeight="1">
      <c r="A48" s="48" t="s">
        <v>1926</v>
      </c>
      <c r="B48" s="49">
        <v>45757.0</v>
      </c>
      <c r="C48" s="50" t="s">
        <v>1740</v>
      </c>
      <c r="D48" s="57" t="s">
        <v>1927</v>
      </c>
      <c r="E48" s="50" t="s">
        <v>511</v>
      </c>
      <c r="F48" s="52"/>
      <c r="G48" s="53" t="s">
        <v>1928</v>
      </c>
      <c r="H48" s="50" t="s">
        <v>1929</v>
      </c>
      <c r="I48" s="17" t="s">
        <v>1930</v>
      </c>
      <c r="J48" s="17" t="s">
        <v>1745</v>
      </c>
      <c r="K48" s="68" t="s">
        <v>1925</v>
      </c>
      <c r="L48" s="48" t="s">
        <v>1764</v>
      </c>
      <c r="M48" s="56"/>
    </row>
    <row r="49" ht="12.0" customHeight="1">
      <c r="A49" s="48" t="s">
        <v>1931</v>
      </c>
      <c r="B49" s="49">
        <v>45757.0</v>
      </c>
      <c r="C49" s="50" t="s">
        <v>1740</v>
      </c>
      <c r="D49" s="57" t="s">
        <v>1932</v>
      </c>
      <c r="E49" s="50" t="s">
        <v>490</v>
      </c>
      <c r="F49" s="52"/>
      <c r="G49" s="53" t="s">
        <v>1933</v>
      </c>
      <c r="H49" s="50" t="s">
        <v>1934</v>
      </c>
      <c r="I49" s="7">
        <v>45753.0</v>
      </c>
      <c r="J49" s="17" t="s">
        <v>1745</v>
      </c>
      <c r="K49" s="68" t="s">
        <v>1925</v>
      </c>
      <c r="L49" s="48" t="s">
        <v>1764</v>
      </c>
      <c r="M49" s="56"/>
    </row>
    <row r="50" ht="12.0" customHeight="1">
      <c r="A50" s="48" t="s">
        <v>1935</v>
      </c>
      <c r="B50" s="49">
        <v>45757.0</v>
      </c>
      <c r="C50" s="50" t="s">
        <v>1740</v>
      </c>
      <c r="D50" s="57" t="s">
        <v>1936</v>
      </c>
      <c r="E50" s="50" t="s">
        <v>1937</v>
      </c>
      <c r="F50" s="52"/>
      <c r="G50" s="53" t="s">
        <v>1938</v>
      </c>
      <c r="H50" s="50" t="s">
        <v>1939</v>
      </c>
      <c r="I50" s="7">
        <v>45967.0</v>
      </c>
      <c r="J50" s="17" t="s">
        <v>1745</v>
      </c>
      <c r="K50" s="68" t="s">
        <v>1925</v>
      </c>
      <c r="L50" s="48" t="s">
        <v>1764</v>
      </c>
      <c r="M50" s="56"/>
    </row>
    <row r="51" ht="12.0" customHeight="1">
      <c r="A51" s="48" t="s">
        <v>1940</v>
      </c>
      <c r="B51" s="49">
        <v>45757.0</v>
      </c>
      <c r="C51" s="50" t="s">
        <v>1740</v>
      </c>
      <c r="D51" s="57" t="s">
        <v>1941</v>
      </c>
      <c r="E51" s="50" t="s">
        <v>1942</v>
      </c>
      <c r="F51" s="52"/>
      <c r="G51" s="53" t="s">
        <v>1943</v>
      </c>
      <c r="H51" s="54">
        <v>45967.0</v>
      </c>
      <c r="I51" s="17" t="s">
        <v>1944</v>
      </c>
      <c r="J51" s="17" t="s">
        <v>1745</v>
      </c>
      <c r="K51" s="68" t="s">
        <v>1945</v>
      </c>
      <c r="L51" s="48" t="s">
        <v>1764</v>
      </c>
      <c r="M51" s="56"/>
    </row>
    <row r="52" ht="12.0" customHeight="1">
      <c r="A52" s="48" t="s">
        <v>1946</v>
      </c>
      <c r="B52" s="49">
        <v>45757.0</v>
      </c>
      <c r="C52" s="50" t="s">
        <v>1740</v>
      </c>
      <c r="D52" s="57" t="s">
        <v>1947</v>
      </c>
      <c r="E52" s="50" t="s">
        <v>538</v>
      </c>
      <c r="F52" s="52"/>
      <c r="G52" s="53" t="s">
        <v>1948</v>
      </c>
      <c r="H52" s="54">
        <v>45936.0</v>
      </c>
      <c r="I52" s="7">
        <v>45936.0</v>
      </c>
      <c r="J52" s="17" t="s">
        <v>1745</v>
      </c>
      <c r="K52" s="68" t="s">
        <v>1925</v>
      </c>
      <c r="L52" s="48" t="s">
        <v>1764</v>
      </c>
      <c r="M52" s="56"/>
    </row>
    <row r="53" ht="12.0" customHeight="1">
      <c r="A53" s="48" t="s">
        <v>1949</v>
      </c>
      <c r="B53" s="49">
        <v>45757.0</v>
      </c>
      <c r="C53" s="50" t="s">
        <v>1740</v>
      </c>
      <c r="D53" s="57" t="s">
        <v>1950</v>
      </c>
      <c r="E53" s="50" t="s">
        <v>1951</v>
      </c>
      <c r="F53" s="52"/>
      <c r="G53" s="53" t="s">
        <v>1952</v>
      </c>
      <c r="H53" s="54">
        <v>45694.0</v>
      </c>
      <c r="I53" s="17" t="s">
        <v>1953</v>
      </c>
      <c r="J53" s="17" t="s">
        <v>1745</v>
      </c>
      <c r="K53" s="67"/>
      <c r="L53" s="48" t="s">
        <v>1764</v>
      </c>
      <c r="M53" s="56"/>
    </row>
    <row r="54" ht="12.0" customHeight="1">
      <c r="A54" s="48" t="s">
        <v>1949</v>
      </c>
      <c r="B54" s="49">
        <v>45757.0</v>
      </c>
      <c r="C54" s="50" t="s">
        <v>1740</v>
      </c>
      <c r="D54" s="57" t="s">
        <v>1954</v>
      </c>
      <c r="E54" s="50" t="s">
        <v>533</v>
      </c>
      <c r="F54" s="52"/>
      <c r="G54" s="53" t="s">
        <v>1955</v>
      </c>
      <c r="H54" s="54">
        <v>45753.0</v>
      </c>
      <c r="I54" s="7">
        <v>45753.0</v>
      </c>
      <c r="J54" s="17" t="s">
        <v>1745</v>
      </c>
      <c r="K54" s="67"/>
      <c r="L54" s="48" t="s">
        <v>1764</v>
      </c>
      <c r="M54" s="56"/>
    </row>
    <row r="55" ht="12.0" customHeight="1">
      <c r="A55" s="48" t="s">
        <v>1956</v>
      </c>
      <c r="B55" s="49">
        <v>45757.0</v>
      </c>
      <c r="C55" s="50" t="s">
        <v>1740</v>
      </c>
      <c r="D55" s="69" t="s">
        <v>1957</v>
      </c>
      <c r="E55" s="50" t="s">
        <v>1958</v>
      </c>
      <c r="F55" s="52"/>
      <c r="G55" s="53" t="s">
        <v>1959</v>
      </c>
      <c r="H55" s="54">
        <v>45663.0</v>
      </c>
      <c r="I55" s="7">
        <v>45665.0</v>
      </c>
      <c r="J55" s="17" t="s">
        <v>1745</v>
      </c>
      <c r="K55" s="68" t="s">
        <v>1960</v>
      </c>
      <c r="L55" s="48" t="s">
        <v>1961</v>
      </c>
      <c r="M55" s="50" t="s">
        <v>1962</v>
      </c>
    </row>
    <row r="56" ht="12.0" customHeight="1">
      <c r="A56" s="48" t="s">
        <v>1963</v>
      </c>
      <c r="B56" s="50" t="s">
        <v>1964</v>
      </c>
      <c r="C56" s="50" t="s">
        <v>1740</v>
      </c>
      <c r="D56" s="57" t="s">
        <v>1965</v>
      </c>
      <c r="E56" s="50" t="s">
        <v>614</v>
      </c>
      <c r="F56" s="52"/>
      <c r="G56" s="53" t="s">
        <v>1966</v>
      </c>
      <c r="H56" s="50" t="s">
        <v>1964</v>
      </c>
      <c r="I56" s="17" t="s">
        <v>1964</v>
      </c>
      <c r="J56" s="17" t="s">
        <v>1745</v>
      </c>
      <c r="K56" s="68" t="s">
        <v>1967</v>
      </c>
      <c r="L56" s="48" t="s">
        <v>1764</v>
      </c>
      <c r="M56" s="56"/>
    </row>
    <row r="57" ht="12.0" customHeight="1">
      <c r="A57" s="48" t="s">
        <v>1968</v>
      </c>
      <c r="B57" s="50" t="s">
        <v>1964</v>
      </c>
      <c r="C57" s="50" t="s">
        <v>1740</v>
      </c>
      <c r="D57" s="57" t="s">
        <v>1969</v>
      </c>
      <c r="E57" s="50" t="s">
        <v>1970</v>
      </c>
      <c r="F57" s="52"/>
      <c r="G57" s="53" t="s">
        <v>1776</v>
      </c>
      <c r="H57" s="61"/>
      <c r="I57" s="62"/>
      <c r="J57" s="17" t="s">
        <v>1745</v>
      </c>
      <c r="K57" s="68" t="s">
        <v>1971</v>
      </c>
      <c r="L57" s="48" t="s">
        <v>1780</v>
      </c>
      <c r="M57" s="56"/>
    </row>
    <row r="58" ht="12.0" customHeight="1">
      <c r="A58" s="48" t="s">
        <v>1972</v>
      </c>
      <c r="B58" s="50" t="s">
        <v>1964</v>
      </c>
      <c r="C58" s="50" t="s">
        <v>1740</v>
      </c>
      <c r="D58" s="57" t="s">
        <v>1973</v>
      </c>
      <c r="E58" s="50" t="s">
        <v>597</v>
      </c>
      <c r="F58" s="52"/>
      <c r="G58" s="53" t="s">
        <v>1776</v>
      </c>
      <c r="H58" s="61"/>
      <c r="I58" s="62"/>
      <c r="J58" s="17" t="s">
        <v>1745</v>
      </c>
      <c r="K58" s="68" t="s">
        <v>1971</v>
      </c>
      <c r="L58" s="48" t="s">
        <v>1780</v>
      </c>
      <c r="M58" s="56"/>
    </row>
    <row r="59" ht="12.0" customHeight="1">
      <c r="A59" s="48" t="s">
        <v>1974</v>
      </c>
      <c r="B59" s="50" t="s">
        <v>1964</v>
      </c>
      <c r="C59" s="50" t="s">
        <v>1740</v>
      </c>
      <c r="D59" s="57" t="s">
        <v>1975</v>
      </c>
      <c r="E59" s="50" t="s">
        <v>592</v>
      </c>
      <c r="F59" s="52"/>
      <c r="G59" s="53" t="s">
        <v>1776</v>
      </c>
      <c r="H59" s="61"/>
      <c r="I59" s="62"/>
      <c r="J59" s="17" t="s">
        <v>1745</v>
      </c>
      <c r="K59" s="68" t="s">
        <v>1971</v>
      </c>
      <c r="L59" s="48" t="s">
        <v>1780</v>
      </c>
      <c r="M59" s="56"/>
    </row>
    <row r="60" ht="12.0" customHeight="1">
      <c r="A60" s="48" t="s">
        <v>1976</v>
      </c>
      <c r="B60" s="50" t="s">
        <v>1964</v>
      </c>
      <c r="C60" s="50" t="s">
        <v>1740</v>
      </c>
      <c r="D60" s="57" t="s">
        <v>1977</v>
      </c>
      <c r="E60" s="50" t="s">
        <v>626</v>
      </c>
      <c r="F60" s="52"/>
      <c r="G60" s="53" t="s">
        <v>1784</v>
      </c>
      <c r="H60" s="61"/>
      <c r="I60" s="62"/>
      <c r="J60" s="17" t="s">
        <v>1745</v>
      </c>
      <c r="K60" s="68" t="s">
        <v>1978</v>
      </c>
      <c r="L60" s="48" t="s">
        <v>1780</v>
      </c>
      <c r="M60" s="56"/>
    </row>
    <row r="61" ht="12.0" customHeight="1">
      <c r="A61" s="48" t="s">
        <v>1979</v>
      </c>
      <c r="B61" s="49">
        <v>45782.0</v>
      </c>
      <c r="C61" s="50" t="s">
        <v>1740</v>
      </c>
      <c r="D61" s="57" t="s">
        <v>1980</v>
      </c>
      <c r="E61" s="50" t="s">
        <v>1030</v>
      </c>
      <c r="F61" s="52"/>
      <c r="G61" s="53" t="s">
        <v>1784</v>
      </c>
      <c r="H61" s="54">
        <v>45782.0</v>
      </c>
      <c r="I61" s="7">
        <v>45782.0</v>
      </c>
      <c r="J61" s="17" t="s">
        <v>1745</v>
      </c>
      <c r="K61" s="68" t="s">
        <v>1981</v>
      </c>
      <c r="L61" s="48" t="s">
        <v>1747</v>
      </c>
      <c r="M61" s="56"/>
    </row>
    <row r="62" ht="12.0" customHeight="1">
      <c r="A62" s="48" t="s">
        <v>1982</v>
      </c>
      <c r="B62" s="49">
        <v>45723.0</v>
      </c>
      <c r="C62" s="50" t="s">
        <v>1740</v>
      </c>
      <c r="D62" s="57" t="s">
        <v>1983</v>
      </c>
      <c r="E62" s="50" t="s">
        <v>634</v>
      </c>
      <c r="F62" s="52"/>
      <c r="G62" s="53" t="s">
        <v>1984</v>
      </c>
      <c r="H62" s="54">
        <v>45723.0</v>
      </c>
      <c r="I62" s="7">
        <v>45998.0</v>
      </c>
      <c r="J62" s="17" t="s">
        <v>1752</v>
      </c>
      <c r="K62" s="68" t="s">
        <v>1985</v>
      </c>
      <c r="L62" s="48" t="s">
        <v>1747</v>
      </c>
      <c r="M62" s="56"/>
    </row>
    <row r="63" ht="12.0" customHeight="1">
      <c r="A63" s="48" t="s">
        <v>1986</v>
      </c>
      <c r="B63" s="50" t="s">
        <v>1964</v>
      </c>
      <c r="C63" s="50" t="s">
        <v>1740</v>
      </c>
      <c r="D63" s="57" t="s">
        <v>1987</v>
      </c>
      <c r="E63" s="50" t="s">
        <v>661</v>
      </c>
      <c r="F63" s="52"/>
      <c r="G63" s="53" t="s">
        <v>1988</v>
      </c>
      <c r="H63" s="50" t="s">
        <v>1964</v>
      </c>
      <c r="I63" s="17" t="s">
        <v>1964</v>
      </c>
      <c r="J63" s="17" t="s">
        <v>1745</v>
      </c>
      <c r="K63" s="68" t="s">
        <v>1925</v>
      </c>
      <c r="L63" s="48" t="s">
        <v>1764</v>
      </c>
      <c r="M63" s="56"/>
    </row>
    <row r="64" ht="12.0" customHeight="1">
      <c r="A64" s="48" t="s">
        <v>1989</v>
      </c>
      <c r="B64" s="49">
        <v>45936.0</v>
      </c>
      <c r="C64" s="50" t="s">
        <v>1740</v>
      </c>
      <c r="D64" s="57" t="s">
        <v>1990</v>
      </c>
      <c r="E64" s="50" t="s">
        <v>671</v>
      </c>
      <c r="F64" s="52" t="s">
        <v>1991</v>
      </c>
      <c r="G64" s="53" t="s">
        <v>1992</v>
      </c>
      <c r="H64" s="54">
        <v>45936.0</v>
      </c>
      <c r="I64" s="7">
        <v>45664.0</v>
      </c>
      <c r="J64" s="17" t="s">
        <v>1745</v>
      </c>
      <c r="K64" s="68" t="s">
        <v>1925</v>
      </c>
      <c r="L64" s="48" t="s">
        <v>1764</v>
      </c>
      <c r="M64" s="56"/>
    </row>
    <row r="65" ht="12.0" customHeight="1">
      <c r="A65" s="48" t="s">
        <v>1993</v>
      </c>
      <c r="B65" s="50" t="s">
        <v>1994</v>
      </c>
      <c r="C65" s="50" t="s">
        <v>1740</v>
      </c>
      <c r="D65" s="57" t="s">
        <v>1995</v>
      </c>
      <c r="E65" s="50" t="s">
        <v>676</v>
      </c>
      <c r="F65" s="52"/>
      <c r="G65" s="53" t="s">
        <v>1996</v>
      </c>
      <c r="H65" s="50" t="s">
        <v>1994</v>
      </c>
      <c r="I65" s="7">
        <v>45664.0</v>
      </c>
      <c r="J65" s="17" t="s">
        <v>1745</v>
      </c>
      <c r="K65" s="68" t="s">
        <v>1925</v>
      </c>
      <c r="L65" s="48" t="s">
        <v>1764</v>
      </c>
      <c r="M65" s="56"/>
    </row>
    <row r="66" ht="12.0" customHeight="1">
      <c r="A66" s="48" t="s">
        <v>1997</v>
      </c>
      <c r="B66" s="50" t="s">
        <v>1964</v>
      </c>
      <c r="C66" s="50" t="s">
        <v>1740</v>
      </c>
      <c r="D66" s="57" t="s">
        <v>1998</v>
      </c>
      <c r="E66" s="50" t="s">
        <v>666</v>
      </c>
      <c r="F66" s="52"/>
      <c r="G66" s="53" t="s">
        <v>1999</v>
      </c>
      <c r="H66" s="50" t="s">
        <v>1964</v>
      </c>
      <c r="I66" s="17" t="s">
        <v>1964</v>
      </c>
      <c r="J66" s="17" t="s">
        <v>1745</v>
      </c>
      <c r="K66" s="68" t="s">
        <v>1925</v>
      </c>
      <c r="L66" s="48" t="s">
        <v>1764</v>
      </c>
      <c r="M66" s="56"/>
    </row>
    <row r="67" ht="12.0" customHeight="1">
      <c r="A67" s="48" t="s">
        <v>2000</v>
      </c>
      <c r="B67" s="50" t="s">
        <v>2001</v>
      </c>
      <c r="C67" s="50" t="s">
        <v>1740</v>
      </c>
      <c r="D67" s="57" t="s">
        <v>2002</v>
      </c>
      <c r="E67" s="50" t="s">
        <v>681</v>
      </c>
      <c r="F67" s="52"/>
      <c r="G67" s="53" t="s">
        <v>2003</v>
      </c>
      <c r="H67" s="50" t="s">
        <v>2001</v>
      </c>
      <c r="I67" s="17" t="s">
        <v>2001</v>
      </c>
      <c r="J67" s="17" t="s">
        <v>1745</v>
      </c>
      <c r="K67" s="68" t="s">
        <v>1925</v>
      </c>
      <c r="L67" s="48" t="s">
        <v>1764</v>
      </c>
      <c r="M67" s="56"/>
    </row>
    <row r="68" ht="12.0" customHeight="1">
      <c r="A68" s="48" t="s">
        <v>2004</v>
      </c>
      <c r="B68" s="49">
        <v>45695.0</v>
      </c>
      <c r="C68" s="50" t="s">
        <v>1740</v>
      </c>
      <c r="D68" s="57" t="s">
        <v>2005</v>
      </c>
      <c r="E68" s="50" t="s">
        <v>686</v>
      </c>
      <c r="F68" s="52"/>
      <c r="G68" s="53" t="s">
        <v>2006</v>
      </c>
      <c r="H68" s="54">
        <v>45695.0</v>
      </c>
      <c r="I68" s="7">
        <v>45695.0</v>
      </c>
      <c r="J68" s="17" t="s">
        <v>1745</v>
      </c>
      <c r="K68" s="68" t="s">
        <v>1925</v>
      </c>
      <c r="L68" s="48" t="s">
        <v>1764</v>
      </c>
      <c r="M68" s="56"/>
    </row>
    <row r="69" ht="12.0" customHeight="1">
      <c r="A69" s="48" t="s">
        <v>2007</v>
      </c>
      <c r="B69" s="50" t="s">
        <v>1994</v>
      </c>
      <c r="C69" s="50" t="s">
        <v>1740</v>
      </c>
      <c r="D69" s="57" t="s">
        <v>2008</v>
      </c>
      <c r="E69" s="50" t="s">
        <v>690</v>
      </c>
      <c r="F69" s="52"/>
      <c r="G69" s="53" t="s">
        <v>2009</v>
      </c>
      <c r="H69" s="50" t="s">
        <v>1994</v>
      </c>
      <c r="I69" s="17" t="s">
        <v>1994</v>
      </c>
      <c r="J69" s="17" t="s">
        <v>1745</v>
      </c>
      <c r="K69" s="68" t="s">
        <v>1925</v>
      </c>
      <c r="L69" s="48" t="s">
        <v>1764</v>
      </c>
      <c r="M69" s="56"/>
    </row>
    <row r="70" ht="12.0" customHeight="1">
      <c r="A70" s="48" t="s">
        <v>2010</v>
      </c>
      <c r="B70" s="49">
        <v>45907.0</v>
      </c>
      <c r="C70" s="50" t="s">
        <v>1740</v>
      </c>
      <c r="D70" s="57" t="s">
        <v>2011</v>
      </c>
      <c r="E70" s="50" t="s">
        <v>700</v>
      </c>
      <c r="F70" s="52"/>
      <c r="G70" s="53" t="s">
        <v>1885</v>
      </c>
      <c r="H70" s="54">
        <v>45907.0</v>
      </c>
      <c r="I70" s="7">
        <v>45907.0</v>
      </c>
      <c r="J70" s="17" t="s">
        <v>1745</v>
      </c>
      <c r="K70" s="68" t="s">
        <v>1925</v>
      </c>
      <c r="L70" s="48" t="s">
        <v>1764</v>
      </c>
      <c r="M70" s="56"/>
    </row>
    <row r="71" ht="12.0" customHeight="1">
      <c r="A71" s="48" t="s">
        <v>2012</v>
      </c>
      <c r="B71" s="49">
        <v>45907.0</v>
      </c>
      <c r="C71" s="50" t="s">
        <v>1740</v>
      </c>
      <c r="D71" s="57" t="s">
        <v>2013</v>
      </c>
      <c r="E71" s="50" t="s">
        <v>695</v>
      </c>
      <c r="F71" s="52"/>
      <c r="G71" s="53" t="s">
        <v>2014</v>
      </c>
      <c r="H71" s="54">
        <v>45907.0</v>
      </c>
      <c r="I71" s="7">
        <v>45907.0</v>
      </c>
      <c r="J71" s="17" t="s">
        <v>1745</v>
      </c>
      <c r="K71" s="68" t="s">
        <v>1925</v>
      </c>
      <c r="L71" s="48" t="s">
        <v>1764</v>
      </c>
      <c r="M71" s="56"/>
    </row>
    <row r="72" ht="12.0" customHeight="1">
      <c r="A72" s="48" t="s">
        <v>2015</v>
      </c>
      <c r="B72" s="49">
        <v>45695.0</v>
      </c>
      <c r="C72" s="50" t="s">
        <v>1740</v>
      </c>
      <c r="D72" s="57" t="s">
        <v>2016</v>
      </c>
      <c r="E72" s="50" t="s">
        <v>718</v>
      </c>
      <c r="F72" s="52"/>
      <c r="G72" s="53" t="s">
        <v>2017</v>
      </c>
      <c r="H72" s="54">
        <v>45695.0</v>
      </c>
      <c r="I72" s="7">
        <v>45665.0</v>
      </c>
      <c r="J72" s="17" t="s">
        <v>1745</v>
      </c>
      <c r="K72" s="68" t="s">
        <v>1925</v>
      </c>
      <c r="L72" s="48" t="s">
        <v>1764</v>
      </c>
      <c r="M72" s="56"/>
    </row>
    <row r="73" ht="12.0" customHeight="1">
      <c r="A73" s="48" t="s">
        <v>2018</v>
      </c>
      <c r="B73" s="50" t="s">
        <v>707</v>
      </c>
      <c r="C73" s="50" t="s">
        <v>1740</v>
      </c>
      <c r="D73" s="57" t="s">
        <v>2019</v>
      </c>
      <c r="E73" s="50" t="s">
        <v>2020</v>
      </c>
      <c r="F73" s="52"/>
      <c r="G73" s="53" t="s">
        <v>1933</v>
      </c>
      <c r="H73" s="50" t="s">
        <v>707</v>
      </c>
      <c r="I73" s="17" t="s">
        <v>827</v>
      </c>
      <c r="J73" s="17" t="s">
        <v>1745</v>
      </c>
      <c r="K73" s="68" t="s">
        <v>1925</v>
      </c>
      <c r="L73" s="48" t="s">
        <v>1764</v>
      </c>
      <c r="M73" s="56"/>
    </row>
    <row r="74" ht="12.0" customHeight="1">
      <c r="A74" s="48" t="s">
        <v>2021</v>
      </c>
      <c r="B74" s="49">
        <v>45863.0</v>
      </c>
      <c r="C74" s="50" t="s">
        <v>1740</v>
      </c>
      <c r="D74" s="57" t="s">
        <v>2022</v>
      </c>
      <c r="E74" s="50" t="s">
        <v>1542</v>
      </c>
      <c r="F74" s="52"/>
      <c r="G74" s="53" t="s">
        <v>2023</v>
      </c>
      <c r="H74" s="61"/>
      <c r="I74" s="62"/>
      <c r="J74" s="17" t="s">
        <v>1745</v>
      </c>
      <c r="K74" s="68" t="s">
        <v>2024</v>
      </c>
      <c r="L74" s="48" t="s">
        <v>1780</v>
      </c>
      <c r="M74" s="56"/>
    </row>
    <row r="75" ht="12.0" customHeight="1">
      <c r="A75" s="48" t="s">
        <v>2025</v>
      </c>
      <c r="B75" s="49">
        <v>45866.0</v>
      </c>
      <c r="C75" s="50" t="s">
        <v>1740</v>
      </c>
      <c r="D75" s="57" t="s">
        <v>2026</v>
      </c>
      <c r="E75" s="50" t="s">
        <v>963</v>
      </c>
      <c r="F75" s="52"/>
      <c r="G75" s="53" t="s">
        <v>2027</v>
      </c>
      <c r="H75" s="50" t="s">
        <v>2028</v>
      </c>
      <c r="I75" s="17" t="s">
        <v>2029</v>
      </c>
      <c r="J75" s="17" t="s">
        <v>1745</v>
      </c>
      <c r="K75" s="68" t="s">
        <v>2030</v>
      </c>
      <c r="L75" s="48" t="s">
        <v>1764</v>
      </c>
      <c r="M75" s="56"/>
    </row>
    <row r="76" ht="12.0" customHeight="1">
      <c r="A76" s="48" t="s">
        <v>2031</v>
      </c>
      <c r="B76" s="50" t="s">
        <v>2032</v>
      </c>
      <c r="C76" s="50" t="s">
        <v>1740</v>
      </c>
      <c r="D76" s="57" t="s">
        <v>2033</v>
      </c>
      <c r="E76" s="50" t="s">
        <v>1010</v>
      </c>
      <c r="F76" s="52"/>
      <c r="G76" s="53" t="s">
        <v>1799</v>
      </c>
      <c r="H76" s="54">
        <v>45785.0</v>
      </c>
      <c r="I76" s="62"/>
      <c r="J76" s="17" t="s">
        <v>1745</v>
      </c>
      <c r="K76" s="68" t="s">
        <v>2034</v>
      </c>
      <c r="L76" s="48" t="s">
        <v>1780</v>
      </c>
      <c r="M76" s="56"/>
    </row>
    <row r="77" ht="12.0" customHeight="1">
      <c r="A77" s="48" t="s">
        <v>2035</v>
      </c>
      <c r="B77" s="50" t="s">
        <v>2032</v>
      </c>
      <c r="C77" s="50" t="s">
        <v>1740</v>
      </c>
      <c r="D77" s="57" t="s">
        <v>2036</v>
      </c>
      <c r="E77" s="50" t="s">
        <v>828</v>
      </c>
      <c r="F77" s="52" t="s">
        <v>2037</v>
      </c>
      <c r="G77" s="53" t="s">
        <v>1776</v>
      </c>
      <c r="H77" s="54">
        <v>45755.0</v>
      </c>
      <c r="I77" s="7">
        <v>45908.0</v>
      </c>
      <c r="J77" s="17" t="s">
        <v>1745</v>
      </c>
      <c r="K77" s="68" t="s">
        <v>2038</v>
      </c>
      <c r="L77" s="48" t="s">
        <v>1747</v>
      </c>
      <c r="M77" s="56"/>
    </row>
    <row r="78" ht="12.0" customHeight="1">
      <c r="A78" s="48" t="s">
        <v>2039</v>
      </c>
      <c r="B78" s="50" t="s">
        <v>2040</v>
      </c>
      <c r="C78" s="50" t="s">
        <v>1740</v>
      </c>
      <c r="D78" s="57" t="s">
        <v>2041</v>
      </c>
      <c r="E78" s="50" t="s">
        <v>840</v>
      </c>
      <c r="F78" s="52"/>
      <c r="G78" s="53" t="s">
        <v>1784</v>
      </c>
      <c r="H78" s="54">
        <v>45846.0</v>
      </c>
      <c r="I78" s="17" t="s">
        <v>2042</v>
      </c>
      <c r="J78" s="17" t="s">
        <v>1745</v>
      </c>
      <c r="K78" s="68" t="s">
        <v>2038</v>
      </c>
      <c r="L78" s="48" t="s">
        <v>1747</v>
      </c>
      <c r="M78" s="56"/>
    </row>
    <row r="79" ht="12.0" customHeight="1">
      <c r="A79" s="48" t="s">
        <v>2043</v>
      </c>
      <c r="B79" s="50" t="s">
        <v>2040</v>
      </c>
      <c r="C79" s="50" t="s">
        <v>1740</v>
      </c>
      <c r="D79" s="57" t="s">
        <v>2044</v>
      </c>
      <c r="E79" s="50" t="s">
        <v>762</v>
      </c>
      <c r="F79" s="52" t="s">
        <v>2045</v>
      </c>
      <c r="G79" s="53" t="s">
        <v>2046</v>
      </c>
      <c r="H79" s="50" t="s">
        <v>713</v>
      </c>
      <c r="I79" s="7">
        <v>45908.0</v>
      </c>
      <c r="J79" s="17" t="s">
        <v>1745</v>
      </c>
      <c r="K79" s="68" t="s">
        <v>2047</v>
      </c>
      <c r="L79" s="48" t="s">
        <v>1764</v>
      </c>
      <c r="M79" s="56"/>
    </row>
    <row r="80" ht="12.0" customHeight="1">
      <c r="A80" s="48" t="s">
        <v>2048</v>
      </c>
      <c r="B80" s="50" t="s">
        <v>2040</v>
      </c>
      <c r="C80" s="50" t="s">
        <v>1740</v>
      </c>
      <c r="D80" s="57" t="s">
        <v>2049</v>
      </c>
      <c r="E80" s="50" t="s">
        <v>735</v>
      </c>
      <c r="F80" s="52"/>
      <c r="G80" s="53" t="s">
        <v>2050</v>
      </c>
      <c r="H80" s="50" t="s">
        <v>2051</v>
      </c>
      <c r="I80" s="17" t="s">
        <v>2051</v>
      </c>
      <c r="J80" s="17" t="s">
        <v>1745</v>
      </c>
      <c r="K80" s="68" t="s">
        <v>2047</v>
      </c>
      <c r="L80" s="48" t="s">
        <v>1764</v>
      </c>
      <c r="M80" s="56"/>
    </row>
    <row r="81" ht="12.0" customHeight="1">
      <c r="A81" s="48" t="s">
        <v>2052</v>
      </c>
      <c r="B81" s="50" t="s">
        <v>2040</v>
      </c>
      <c r="C81" s="50" t="s">
        <v>1740</v>
      </c>
      <c r="D81" s="57" t="s">
        <v>2053</v>
      </c>
      <c r="E81" s="50" t="s">
        <v>740</v>
      </c>
      <c r="F81" s="52" t="s">
        <v>2037</v>
      </c>
      <c r="G81" s="53" t="s">
        <v>2054</v>
      </c>
      <c r="H81" s="54">
        <v>45937.0</v>
      </c>
      <c r="I81" s="7">
        <v>45908.0</v>
      </c>
      <c r="J81" s="17" t="s">
        <v>1745</v>
      </c>
      <c r="K81" s="68" t="s">
        <v>2047</v>
      </c>
      <c r="L81" s="48" t="s">
        <v>1764</v>
      </c>
      <c r="M81" s="56"/>
    </row>
    <row r="82" ht="12.0" customHeight="1">
      <c r="A82" s="48" t="s">
        <v>2055</v>
      </c>
      <c r="B82" s="50" t="s">
        <v>2056</v>
      </c>
      <c r="C82" s="50" t="s">
        <v>1740</v>
      </c>
      <c r="D82" s="57" t="s">
        <v>2057</v>
      </c>
      <c r="E82" s="50" t="s">
        <v>1392</v>
      </c>
      <c r="F82" s="52" t="s">
        <v>2058</v>
      </c>
      <c r="G82" s="53" t="s">
        <v>1776</v>
      </c>
      <c r="H82" s="50" t="s">
        <v>2059</v>
      </c>
      <c r="I82" s="17" t="s">
        <v>2060</v>
      </c>
      <c r="J82" s="17" t="s">
        <v>1745</v>
      </c>
      <c r="K82" s="68" t="s">
        <v>2061</v>
      </c>
      <c r="L82" s="48" t="s">
        <v>1780</v>
      </c>
      <c r="M82" s="56"/>
    </row>
    <row r="83" ht="12.0" customHeight="1">
      <c r="A83" s="70" t="s">
        <v>2062</v>
      </c>
      <c r="B83" s="71" t="s">
        <v>2063</v>
      </c>
      <c r="C83" s="50" t="s">
        <v>1740</v>
      </c>
      <c r="D83" s="57" t="s">
        <v>2064</v>
      </c>
      <c r="E83" s="50" t="s">
        <v>1337</v>
      </c>
      <c r="F83" s="72" t="s">
        <v>2065</v>
      </c>
      <c r="G83" s="73" t="s">
        <v>2066</v>
      </c>
      <c r="H83" s="74"/>
      <c r="I83" s="74"/>
      <c r="J83" s="75" t="s">
        <v>1745</v>
      </c>
      <c r="K83" s="70" t="s">
        <v>2067</v>
      </c>
      <c r="L83" s="76" t="s">
        <v>1780</v>
      </c>
      <c r="M83" s="56"/>
    </row>
    <row r="84" ht="12.0" customHeight="1">
      <c r="A84" s="70" t="s">
        <v>2068</v>
      </c>
      <c r="B84" s="71" t="s">
        <v>2069</v>
      </c>
      <c r="C84" s="50" t="s">
        <v>1740</v>
      </c>
      <c r="D84" s="57" t="s">
        <v>2070</v>
      </c>
      <c r="E84" s="50" t="s">
        <v>779</v>
      </c>
      <c r="F84" s="72" t="s">
        <v>2071</v>
      </c>
      <c r="G84" s="73" t="s">
        <v>2046</v>
      </c>
      <c r="H84" s="77">
        <v>45694.0</v>
      </c>
      <c r="I84" s="77">
        <v>45665.0</v>
      </c>
      <c r="J84" s="75" t="s">
        <v>1745</v>
      </c>
      <c r="K84" s="70" t="s">
        <v>2047</v>
      </c>
      <c r="L84" s="76" t="s">
        <v>1764</v>
      </c>
      <c r="M84" s="56"/>
    </row>
    <row r="85" ht="12.0" customHeight="1">
      <c r="A85" s="70" t="s">
        <v>2072</v>
      </c>
      <c r="B85" s="71" t="s">
        <v>2069</v>
      </c>
      <c r="C85" s="50" t="s">
        <v>1740</v>
      </c>
      <c r="D85" s="57" t="s">
        <v>2073</v>
      </c>
      <c r="E85" s="50" t="s">
        <v>782</v>
      </c>
      <c r="F85" s="72" t="s">
        <v>2074</v>
      </c>
      <c r="G85" s="73" t="s">
        <v>2075</v>
      </c>
      <c r="H85" s="77">
        <v>45785.0</v>
      </c>
      <c r="I85" s="74"/>
      <c r="J85" s="75" t="s">
        <v>1745</v>
      </c>
      <c r="K85" s="70" t="s">
        <v>2047</v>
      </c>
      <c r="L85" s="76" t="s">
        <v>1764</v>
      </c>
      <c r="M85" s="56"/>
    </row>
    <row r="86" ht="12.0" customHeight="1">
      <c r="A86" s="70" t="s">
        <v>2076</v>
      </c>
      <c r="B86" s="71" t="s">
        <v>2077</v>
      </c>
      <c r="C86" s="50" t="s">
        <v>1740</v>
      </c>
      <c r="D86" s="57" t="s">
        <v>2078</v>
      </c>
      <c r="E86" s="50" t="s">
        <v>895</v>
      </c>
      <c r="F86" s="78"/>
      <c r="G86" s="73" t="s">
        <v>2079</v>
      </c>
      <c r="H86" s="79" t="s">
        <v>2080</v>
      </c>
      <c r="I86" s="71" t="s">
        <v>2081</v>
      </c>
      <c r="J86" s="75" t="s">
        <v>1745</v>
      </c>
      <c r="K86" s="70" t="s">
        <v>2082</v>
      </c>
      <c r="L86" s="76" t="s">
        <v>1747</v>
      </c>
      <c r="M86" s="56"/>
    </row>
    <row r="87" ht="12.0" customHeight="1">
      <c r="A87" s="70" t="s">
        <v>2083</v>
      </c>
      <c r="B87" s="80">
        <v>45901.0</v>
      </c>
      <c r="C87" s="50" t="s">
        <v>1740</v>
      </c>
      <c r="D87" s="57" t="s">
        <v>2084</v>
      </c>
      <c r="E87" s="50" t="s">
        <v>873</v>
      </c>
      <c r="F87" s="78"/>
      <c r="G87" s="73" t="s">
        <v>2085</v>
      </c>
      <c r="H87" s="81" t="s">
        <v>787</v>
      </c>
      <c r="I87" s="82">
        <v>45756.0</v>
      </c>
      <c r="J87" s="75" t="s">
        <v>1745</v>
      </c>
      <c r="K87" s="70" t="s">
        <v>2047</v>
      </c>
      <c r="L87" s="76" t="s">
        <v>1764</v>
      </c>
      <c r="M87" s="56"/>
    </row>
    <row r="88" ht="12.0" customHeight="1">
      <c r="A88" s="70" t="s">
        <v>2086</v>
      </c>
      <c r="B88" s="80">
        <v>45901.0</v>
      </c>
      <c r="C88" s="50" t="s">
        <v>1740</v>
      </c>
      <c r="D88" s="57" t="s">
        <v>2087</v>
      </c>
      <c r="E88" s="50" t="s">
        <v>878</v>
      </c>
      <c r="F88" s="72" t="s">
        <v>2088</v>
      </c>
      <c r="G88" s="73" t="s">
        <v>2089</v>
      </c>
      <c r="H88" s="71" t="s">
        <v>2090</v>
      </c>
      <c r="I88" s="71" t="s">
        <v>839</v>
      </c>
      <c r="J88" s="75" t="s">
        <v>1745</v>
      </c>
      <c r="K88" s="70" t="s">
        <v>2047</v>
      </c>
      <c r="L88" s="76" t="s">
        <v>1764</v>
      </c>
      <c r="M88" s="56"/>
    </row>
    <row r="89" ht="12.0" customHeight="1">
      <c r="A89" s="70" t="s">
        <v>2091</v>
      </c>
      <c r="B89" s="80">
        <v>45901.0</v>
      </c>
      <c r="C89" s="50" t="s">
        <v>1740</v>
      </c>
      <c r="D89" s="57" t="s">
        <v>2092</v>
      </c>
      <c r="E89" s="50" t="s">
        <v>865</v>
      </c>
      <c r="F89" s="72" t="s">
        <v>2093</v>
      </c>
      <c r="G89" s="73" t="s">
        <v>2094</v>
      </c>
      <c r="H89" s="77">
        <v>45999.0</v>
      </c>
      <c r="I89" s="81" t="s">
        <v>839</v>
      </c>
      <c r="J89" s="75" t="s">
        <v>1745</v>
      </c>
      <c r="K89" s="70" t="s">
        <v>2047</v>
      </c>
      <c r="L89" s="76" t="s">
        <v>1764</v>
      </c>
      <c r="M89" s="56"/>
    </row>
    <row r="90" ht="12.0" customHeight="1">
      <c r="A90" s="70" t="s">
        <v>2095</v>
      </c>
      <c r="B90" s="80">
        <v>45901.0</v>
      </c>
      <c r="C90" s="50" t="s">
        <v>1740</v>
      </c>
      <c r="D90" s="57" t="s">
        <v>2096</v>
      </c>
      <c r="E90" s="50" t="s">
        <v>870</v>
      </c>
      <c r="F90" s="72" t="s">
        <v>2097</v>
      </c>
      <c r="G90" s="73" t="s">
        <v>1885</v>
      </c>
      <c r="H90" s="71" t="s">
        <v>2090</v>
      </c>
      <c r="I90" s="71" t="s">
        <v>2090</v>
      </c>
      <c r="J90" s="75" t="s">
        <v>1745</v>
      </c>
      <c r="K90" s="70" t="s">
        <v>2047</v>
      </c>
      <c r="L90" s="76" t="s">
        <v>1764</v>
      </c>
      <c r="M90" s="56"/>
    </row>
    <row r="91" ht="12.0" customHeight="1">
      <c r="A91" s="70" t="s">
        <v>2098</v>
      </c>
      <c r="B91" s="80">
        <v>45901.0</v>
      </c>
      <c r="C91" s="50" t="s">
        <v>1740</v>
      </c>
      <c r="D91" s="57" t="s">
        <v>2099</v>
      </c>
      <c r="E91" s="50" t="s">
        <v>860</v>
      </c>
      <c r="F91" s="72" t="s">
        <v>2100</v>
      </c>
      <c r="G91" s="73" t="s">
        <v>2101</v>
      </c>
      <c r="H91" s="77">
        <v>45755.0</v>
      </c>
      <c r="I91" s="77">
        <v>45755.0</v>
      </c>
      <c r="J91" s="75" t="s">
        <v>1745</v>
      </c>
      <c r="K91" s="70" t="s">
        <v>1764</v>
      </c>
      <c r="L91" s="76" t="s">
        <v>1764</v>
      </c>
      <c r="M91" s="56"/>
    </row>
    <row r="92" ht="12.0" customHeight="1">
      <c r="A92" s="70" t="s">
        <v>2102</v>
      </c>
      <c r="B92" s="80">
        <v>45978.0</v>
      </c>
      <c r="C92" s="50" t="s">
        <v>1740</v>
      </c>
      <c r="D92" s="57" t="s">
        <v>2103</v>
      </c>
      <c r="E92" s="50" t="s">
        <v>1272</v>
      </c>
      <c r="F92" s="72" t="s">
        <v>2104</v>
      </c>
      <c r="G92" s="73" t="s">
        <v>1885</v>
      </c>
      <c r="H92" s="77">
        <v>45758.0</v>
      </c>
      <c r="I92" s="77">
        <v>45758.0</v>
      </c>
      <c r="J92" s="75" t="s">
        <v>1745</v>
      </c>
      <c r="K92" s="70" t="s">
        <v>1764</v>
      </c>
      <c r="L92" s="76" t="s">
        <v>1764</v>
      </c>
      <c r="M92" s="56"/>
    </row>
    <row r="93" ht="12.0" customHeight="1">
      <c r="A93" s="70" t="s">
        <v>2105</v>
      </c>
      <c r="B93" s="80">
        <v>45978.0</v>
      </c>
      <c r="C93" s="50" t="s">
        <v>1740</v>
      </c>
      <c r="D93" s="57" t="s">
        <v>2106</v>
      </c>
      <c r="E93" s="50" t="s">
        <v>1281</v>
      </c>
      <c r="F93" s="72" t="s">
        <v>2107</v>
      </c>
      <c r="G93" s="73" t="s">
        <v>2108</v>
      </c>
      <c r="H93" s="77">
        <v>45819.0</v>
      </c>
      <c r="I93" s="77">
        <v>45819.0</v>
      </c>
      <c r="J93" s="75" t="s">
        <v>1745</v>
      </c>
      <c r="K93" s="70" t="s">
        <v>1764</v>
      </c>
      <c r="L93" s="76" t="s">
        <v>1764</v>
      </c>
      <c r="M93" s="56"/>
    </row>
    <row r="94" ht="12.0" customHeight="1">
      <c r="A94" s="70" t="s">
        <v>2109</v>
      </c>
      <c r="B94" s="80">
        <v>45978.0</v>
      </c>
      <c r="C94" s="50" t="s">
        <v>1740</v>
      </c>
      <c r="D94" s="57" t="s">
        <v>2110</v>
      </c>
      <c r="E94" s="50" t="s">
        <v>1260</v>
      </c>
      <c r="F94" s="72" t="s">
        <v>2111</v>
      </c>
      <c r="G94" s="73" t="s">
        <v>2112</v>
      </c>
      <c r="H94" s="71" t="s">
        <v>2113</v>
      </c>
      <c r="I94" s="71" t="s">
        <v>1137</v>
      </c>
      <c r="J94" s="75" t="s">
        <v>1745</v>
      </c>
      <c r="K94" s="70" t="s">
        <v>1764</v>
      </c>
      <c r="L94" s="76" t="s">
        <v>1764</v>
      </c>
      <c r="M94" s="56"/>
    </row>
    <row r="95" ht="12.0" customHeight="1">
      <c r="A95" s="70" t="s">
        <v>2114</v>
      </c>
      <c r="B95" s="80">
        <v>45978.0</v>
      </c>
      <c r="C95" s="50" t="s">
        <v>1740</v>
      </c>
      <c r="D95" s="57" t="s">
        <v>2115</v>
      </c>
      <c r="E95" s="50" t="s">
        <v>1287</v>
      </c>
      <c r="F95" s="72" t="s">
        <v>2116</v>
      </c>
      <c r="G95" s="73" t="s">
        <v>2117</v>
      </c>
      <c r="H95" s="71" t="s">
        <v>1098</v>
      </c>
      <c r="I95" s="77">
        <v>45972.0</v>
      </c>
      <c r="J95" s="75" t="s">
        <v>1745</v>
      </c>
      <c r="K95" s="70" t="s">
        <v>1764</v>
      </c>
      <c r="L95" s="76" t="s">
        <v>1764</v>
      </c>
      <c r="M95" s="56"/>
    </row>
    <row r="96" ht="12.0" customHeight="1">
      <c r="A96" s="70" t="s">
        <v>2118</v>
      </c>
      <c r="B96" s="80">
        <v>45978.0</v>
      </c>
      <c r="C96" s="50" t="s">
        <v>1740</v>
      </c>
      <c r="D96" s="57" t="s">
        <v>2119</v>
      </c>
      <c r="E96" s="50" t="s">
        <v>1275</v>
      </c>
      <c r="F96" s="78"/>
      <c r="G96" s="73" t="s">
        <v>2120</v>
      </c>
      <c r="H96" s="71" t="s">
        <v>2121</v>
      </c>
      <c r="I96" s="71" t="s">
        <v>2121</v>
      </c>
      <c r="J96" s="75" t="s">
        <v>1745</v>
      </c>
      <c r="K96" s="70" t="s">
        <v>1764</v>
      </c>
      <c r="L96" s="76" t="s">
        <v>1764</v>
      </c>
      <c r="M96" s="56"/>
    </row>
    <row r="97" ht="12.0" customHeight="1">
      <c r="A97" s="70" t="s">
        <v>2122</v>
      </c>
      <c r="B97" s="80">
        <v>45978.0</v>
      </c>
      <c r="C97" s="50" t="s">
        <v>1740</v>
      </c>
      <c r="D97" s="57" t="s">
        <v>2123</v>
      </c>
      <c r="E97" s="50" t="s">
        <v>1266</v>
      </c>
      <c r="F97" s="78"/>
      <c r="G97" s="73" t="s">
        <v>2124</v>
      </c>
      <c r="H97" s="77">
        <v>45726.0</v>
      </c>
      <c r="I97" s="77">
        <v>45940.0</v>
      </c>
      <c r="J97" s="75" t="s">
        <v>1745</v>
      </c>
      <c r="K97" s="70" t="s">
        <v>1764</v>
      </c>
      <c r="L97" s="76" t="s">
        <v>1764</v>
      </c>
      <c r="M97" s="56"/>
    </row>
    <row r="98" ht="12.0" customHeight="1">
      <c r="A98" s="72"/>
      <c r="B98" s="83"/>
      <c r="C98" s="50" t="s">
        <v>1740</v>
      </c>
      <c r="D98" s="57" t="s">
        <v>2125</v>
      </c>
      <c r="E98" s="50" t="s">
        <v>2126</v>
      </c>
      <c r="F98" s="78"/>
      <c r="G98" s="84"/>
      <c r="H98" s="74"/>
      <c r="I98" s="74"/>
      <c r="J98" s="85"/>
      <c r="K98" s="72"/>
      <c r="L98" s="86"/>
      <c r="M98" s="56"/>
    </row>
    <row r="99" ht="12.0" customHeight="1">
      <c r="A99" s="72"/>
      <c r="B99" s="83"/>
      <c r="C99" s="50" t="s">
        <v>1740</v>
      </c>
      <c r="D99" s="57" t="s">
        <v>2127</v>
      </c>
      <c r="E99" s="50" t="s">
        <v>2128</v>
      </c>
      <c r="F99" s="78"/>
      <c r="G99" s="84"/>
      <c r="H99" s="74"/>
      <c r="I99" s="74"/>
      <c r="J99" s="85"/>
      <c r="K99" s="72"/>
      <c r="L99" s="86"/>
      <c r="M99" s="56"/>
    </row>
    <row r="100" ht="12.0" customHeight="1">
      <c r="A100" s="72"/>
      <c r="B100" s="83"/>
      <c r="C100" s="50" t="s">
        <v>1740</v>
      </c>
      <c r="D100" s="57" t="s">
        <v>2129</v>
      </c>
      <c r="E100" s="50" t="s">
        <v>2130</v>
      </c>
      <c r="F100" s="78"/>
      <c r="G100" s="84"/>
      <c r="H100" s="74"/>
      <c r="I100" s="74"/>
      <c r="J100" s="85"/>
      <c r="K100" s="72"/>
      <c r="L100" s="86"/>
      <c r="M100" s="56"/>
    </row>
    <row r="101" ht="12.0" customHeight="1">
      <c r="A101" s="70" t="s">
        <v>2131</v>
      </c>
      <c r="B101" s="80">
        <v>45911.0</v>
      </c>
      <c r="C101" s="50" t="s">
        <v>1740</v>
      </c>
      <c r="D101" s="57" t="s">
        <v>2132</v>
      </c>
      <c r="E101" s="50" t="s">
        <v>941</v>
      </c>
      <c r="F101" s="78"/>
      <c r="G101" s="73" t="s">
        <v>2133</v>
      </c>
      <c r="H101" s="71" t="s">
        <v>2134</v>
      </c>
      <c r="I101" s="71" t="s">
        <v>2134</v>
      </c>
      <c r="J101" s="75" t="s">
        <v>1745</v>
      </c>
      <c r="K101" s="70" t="s">
        <v>2047</v>
      </c>
      <c r="L101" s="76" t="s">
        <v>1764</v>
      </c>
      <c r="M101" s="56"/>
    </row>
    <row r="102" ht="12.0" customHeight="1">
      <c r="A102" s="87" t="s">
        <v>2135</v>
      </c>
      <c r="B102" s="88">
        <v>45911.0</v>
      </c>
      <c r="C102" s="50" t="s">
        <v>1740</v>
      </c>
      <c r="D102" s="57" t="s">
        <v>2136</v>
      </c>
      <c r="E102" s="50" t="s">
        <v>936</v>
      </c>
      <c r="F102" s="78"/>
      <c r="G102" s="89" t="s">
        <v>2137</v>
      </c>
      <c r="H102" s="81" t="s">
        <v>2090</v>
      </c>
      <c r="I102" s="81" t="s">
        <v>2090</v>
      </c>
      <c r="J102" s="90" t="s">
        <v>1745</v>
      </c>
      <c r="K102" s="87" t="s">
        <v>2047</v>
      </c>
      <c r="L102" s="91" t="s">
        <v>1764</v>
      </c>
      <c r="M102" s="56"/>
    </row>
    <row r="103" ht="12.0" customHeight="1">
      <c r="A103" s="87" t="s">
        <v>947</v>
      </c>
      <c r="B103" s="88">
        <v>45911.0</v>
      </c>
      <c r="C103" s="50" t="s">
        <v>1740</v>
      </c>
      <c r="D103" s="57" t="s">
        <v>2138</v>
      </c>
      <c r="E103" s="50" t="s">
        <v>946</v>
      </c>
      <c r="F103" s="78"/>
      <c r="G103" s="89" t="s">
        <v>1922</v>
      </c>
      <c r="H103" s="82">
        <v>45666.0</v>
      </c>
      <c r="I103" s="82">
        <v>45667.0</v>
      </c>
      <c r="J103" s="90" t="s">
        <v>1745</v>
      </c>
      <c r="K103" s="87" t="s">
        <v>2047</v>
      </c>
      <c r="L103" s="91" t="s">
        <v>1764</v>
      </c>
      <c r="M103" s="56"/>
    </row>
    <row r="104" ht="12.0" customHeight="1">
      <c r="A104" s="87" t="s">
        <v>2139</v>
      </c>
      <c r="B104" s="88">
        <v>45911.0</v>
      </c>
      <c r="C104" s="50" t="s">
        <v>1740</v>
      </c>
      <c r="D104" s="57" t="s">
        <v>2140</v>
      </c>
      <c r="E104" s="50" t="s">
        <v>949</v>
      </c>
      <c r="F104" s="78"/>
      <c r="G104" s="89" t="s">
        <v>2141</v>
      </c>
      <c r="H104" s="82">
        <v>45666.0</v>
      </c>
      <c r="I104" s="82">
        <v>45667.0</v>
      </c>
      <c r="J104" s="90" t="s">
        <v>1745</v>
      </c>
      <c r="K104" s="87" t="s">
        <v>2047</v>
      </c>
      <c r="L104" s="91" t="s">
        <v>1764</v>
      </c>
      <c r="M104" s="56"/>
    </row>
    <row r="105" ht="12.0" customHeight="1">
      <c r="A105" s="70" t="s">
        <v>2142</v>
      </c>
      <c r="B105" s="80">
        <v>45911.0</v>
      </c>
      <c r="C105" s="50" t="s">
        <v>1740</v>
      </c>
      <c r="D105" s="57" t="s">
        <v>2143</v>
      </c>
      <c r="E105" s="50" t="s">
        <v>954</v>
      </c>
      <c r="F105" s="72" t="s">
        <v>2144</v>
      </c>
      <c r="G105" s="73" t="s">
        <v>2145</v>
      </c>
      <c r="H105" s="77">
        <v>45908.0</v>
      </c>
      <c r="I105" s="77">
        <v>45908.0</v>
      </c>
      <c r="J105" s="75" t="s">
        <v>1745</v>
      </c>
      <c r="K105" s="70" t="s">
        <v>2047</v>
      </c>
      <c r="L105" s="76" t="s">
        <v>1764</v>
      </c>
      <c r="M105" s="56"/>
    </row>
    <row r="106" ht="12.0" customHeight="1">
      <c r="A106" s="70" t="s">
        <v>2146</v>
      </c>
      <c r="B106" s="80">
        <v>45912.0</v>
      </c>
      <c r="C106" s="50" t="s">
        <v>1740</v>
      </c>
      <c r="D106" s="57" t="s">
        <v>2147</v>
      </c>
      <c r="E106" s="50" t="s">
        <v>996</v>
      </c>
      <c r="F106" s="72" t="s">
        <v>2148</v>
      </c>
      <c r="G106" s="73" t="s">
        <v>2079</v>
      </c>
      <c r="H106" s="77">
        <v>45939.0</v>
      </c>
      <c r="I106" s="71" t="s">
        <v>2149</v>
      </c>
      <c r="J106" s="75" t="s">
        <v>1745</v>
      </c>
      <c r="K106" s="70" t="s">
        <v>2150</v>
      </c>
      <c r="L106" s="76" t="s">
        <v>1747</v>
      </c>
      <c r="M106" s="56"/>
    </row>
    <row r="107" ht="12.0" customHeight="1">
      <c r="A107" s="70" t="s">
        <v>2151</v>
      </c>
      <c r="B107" s="80">
        <v>45912.0</v>
      </c>
      <c r="C107" s="50" t="s">
        <v>1740</v>
      </c>
      <c r="D107" s="57" t="s">
        <v>2152</v>
      </c>
      <c r="E107" s="50" t="s">
        <v>978</v>
      </c>
      <c r="F107" s="72" t="s">
        <v>2153</v>
      </c>
      <c r="G107" s="73" t="s">
        <v>2154</v>
      </c>
      <c r="H107" s="77">
        <v>45969.0</v>
      </c>
      <c r="I107" s="77">
        <v>46699.0</v>
      </c>
      <c r="J107" s="75" t="s">
        <v>1745</v>
      </c>
      <c r="K107" s="70" t="s">
        <v>2047</v>
      </c>
      <c r="L107" s="76" t="s">
        <v>1764</v>
      </c>
      <c r="M107" s="56"/>
    </row>
    <row r="108" ht="12.0" customHeight="1">
      <c r="A108" s="70" t="s">
        <v>2155</v>
      </c>
      <c r="B108" s="80">
        <v>45916.0</v>
      </c>
      <c r="C108" s="50" t="s">
        <v>1740</v>
      </c>
      <c r="D108" s="57" t="s">
        <v>2156</v>
      </c>
      <c r="E108" s="50" t="s">
        <v>1070</v>
      </c>
      <c r="F108" s="72" t="s">
        <v>2157</v>
      </c>
      <c r="G108" s="73" t="s">
        <v>2158</v>
      </c>
      <c r="H108" s="77">
        <v>45666.0</v>
      </c>
      <c r="I108" s="71" t="s">
        <v>1697</v>
      </c>
      <c r="J108" s="75" t="s">
        <v>1745</v>
      </c>
      <c r="K108" s="70" t="s">
        <v>2047</v>
      </c>
      <c r="L108" s="76" t="s">
        <v>1764</v>
      </c>
      <c r="M108" s="56"/>
    </row>
    <row r="109" ht="12.0" customHeight="1">
      <c r="A109" s="70" t="s">
        <v>2159</v>
      </c>
      <c r="B109" s="80">
        <v>45918.0</v>
      </c>
      <c r="C109" s="50" t="s">
        <v>1740</v>
      </c>
      <c r="D109" s="57" t="s">
        <v>2160</v>
      </c>
      <c r="E109" s="50" t="s">
        <v>2161</v>
      </c>
      <c r="F109" s="72" t="s">
        <v>2162</v>
      </c>
      <c r="G109" s="73" t="s">
        <v>2163</v>
      </c>
      <c r="H109" s="71" t="s">
        <v>968</v>
      </c>
      <c r="I109" s="71" t="s">
        <v>968</v>
      </c>
      <c r="J109" s="75" t="s">
        <v>1745</v>
      </c>
      <c r="K109" s="70" t="s">
        <v>2164</v>
      </c>
      <c r="L109" s="76" t="s">
        <v>1780</v>
      </c>
      <c r="M109" s="56"/>
    </row>
    <row r="110" ht="12.0" customHeight="1">
      <c r="A110" s="70" t="s">
        <v>2165</v>
      </c>
      <c r="B110" s="80">
        <v>45922.0</v>
      </c>
      <c r="C110" s="50" t="s">
        <v>1740</v>
      </c>
      <c r="D110" s="57" t="s">
        <v>2166</v>
      </c>
      <c r="E110" s="50" t="s">
        <v>1092</v>
      </c>
      <c r="F110" s="72" t="s">
        <v>2167</v>
      </c>
      <c r="G110" s="73" t="s">
        <v>2168</v>
      </c>
      <c r="H110" s="71" t="s">
        <v>973</v>
      </c>
      <c r="I110" s="71" t="s">
        <v>973</v>
      </c>
      <c r="J110" s="75" t="s">
        <v>1745</v>
      </c>
      <c r="K110" s="70" t="s">
        <v>2169</v>
      </c>
      <c r="L110" s="76" t="s">
        <v>1780</v>
      </c>
      <c r="M110" s="56"/>
    </row>
    <row r="111" ht="12.0" customHeight="1">
      <c r="A111" s="70" t="s">
        <v>2170</v>
      </c>
      <c r="B111" s="80">
        <v>45930.0</v>
      </c>
      <c r="C111" s="50" t="s">
        <v>1740</v>
      </c>
      <c r="D111" s="57" t="s">
        <v>2171</v>
      </c>
      <c r="E111" s="50" t="s">
        <v>1121</v>
      </c>
      <c r="F111" s="72" t="s">
        <v>2172</v>
      </c>
      <c r="G111" s="73" t="s">
        <v>2173</v>
      </c>
      <c r="H111" s="77">
        <v>45658.0</v>
      </c>
      <c r="I111" s="71" t="s">
        <v>2149</v>
      </c>
      <c r="J111" s="75" t="s">
        <v>1745</v>
      </c>
      <c r="K111" s="70" t="s">
        <v>2174</v>
      </c>
      <c r="L111" s="76" t="s">
        <v>1764</v>
      </c>
      <c r="M111" s="56"/>
    </row>
    <row r="112" ht="12.0" customHeight="1">
      <c r="A112" s="70" t="s">
        <v>2175</v>
      </c>
      <c r="B112" s="71" t="s">
        <v>2176</v>
      </c>
      <c r="C112" s="50" t="s">
        <v>1740</v>
      </c>
      <c r="D112" s="57" t="s">
        <v>2177</v>
      </c>
      <c r="E112" s="50" t="s">
        <v>1138</v>
      </c>
      <c r="F112" s="72" t="s">
        <v>2178</v>
      </c>
      <c r="G112" s="73" t="s">
        <v>2179</v>
      </c>
      <c r="H112" s="71" t="s">
        <v>2180</v>
      </c>
      <c r="I112" s="71" t="s">
        <v>2180</v>
      </c>
      <c r="J112" s="75" t="s">
        <v>1745</v>
      </c>
      <c r="K112" s="70" t="s">
        <v>2181</v>
      </c>
      <c r="L112" s="76" t="s">
        <v>1764</v>
      </c>
      <c r="M112" s="56"/>
    </row>
    <row r="113" ht="12.0" customHeight="1">
      <c r="A113" s="70" t="s">
        <v>2182</v>
      </c>
      <c r="B113" s="71" t="s">
        <v>2176</v>
      </c>
      <c r="C113" s="50" t="s">
        <v>1740</v>
      </c>
      <c r="D113" s="57" t="s">
        <v>2183</v>
      </c>
      <c r="E113" s="50" t="s">
        <v>1059</v>
      </c>
      <c r="F113" s="78"/>
      <c r="G113" s="73" t="s">
        <v>2184</v>
      </c>
      <c r="H113" s="77">
        <v>46000.0</v>
      </c>
      <c r="I113" s="77">
        <v>46000.0</v>
      </c>
      <c r="J113" s="75" t="s">
        <v>1745</v>
      </c>
      <c r="K113" s="70" t="s">
        <v>2181</v>
      </c>
      <c r="L113" s="76" t="s">
        <v>1764</v>
      </c>
      <c r="M113" s="56"/>
    </row>
    <row r="114" ht="12.0" customHeight="1">
      <c r="A114" s="70" t="s">
        <v>2185</v>
      </c>
      <c r="B114" s="71" t="s">
        <v>2186</v>
      </c>
      <c r="C114" s="50" t="s">
        <v>1740</v>
      </c>
      <c r="D114" s="57" t="s">
        <v>2187</v>
      </c>
      <c r="E114" s="50" t="s">
        <v>1414</v>
      </c>
      <c r="F114" s="78"/>
      <c r="G114" s="73" t="s">
        <v>2188</v>
      </c>
      <c r="H114" s="77">
        <v>45910.0</v>
      </c>
      <c r="I114" s="77">
        <v>45878.0</v>
      </c>
      <c r="J114" s="75" t="s">
        <v>1745</v>
      </c>
      <c r="K114" s="70" t="s">
        <v>2189</v>
      </c>
      <c r="L114" s="76" t="s">
        <v>1764</v>
      </c>
      <c r="M114" s="56"/>
    </row>
    <row r="115" ht="12.0" customHeight="1">
      <c r="A115" s="70" t="s">
        <v>2190</v>
      </c>
      <c r="B115" s="71" t="s">
        <v>2186</v>
      </c>
      <c r="C115" s="50" t="s">
        <v>1740</v>
      </c>
      <c r="D115" s="57" t="s">
        <v>2191</v>
      </c>
      <c r="E115" s="50" t="s">
        <v>1376</v>
      </c>
      <c r="F115" s="72" t="s">
        <v>2192</v>
      </c>
      <c r="G115" s="73" t="s">
        <v>2193</v>
      </c>
      <c r="H115" s="71" t="s">
        <v>2113</v>
      </c>
      <c r="I115" s="77">
        <v>45728.0</v>
      </c>
      <c r="J115" s="75" t="s">
        <v>1745</v>
      </c>
      <c r="K115" s="70" t="s">
        <v>2194</v>
      </c>
      <c r="L115" s="76" t="s">
        <v>1747</v>
      </c>
      <c r="M115" s="56"/>
    </row>
    <row r="116" ht="12.0" customHeight="1">
      <c r="A116" s="70" t="s">
        <v>2195</v>
      </c>
      <c r="B116" s="71" t="s">
        <v>2186</v>
      </c>
      <c r="C116" s="50" t="s">
        <v>1740</v>
      </c>
      <c r="D116" s="57" t="s">
        <v>2196</v>
      </c>
      <c r="E116" s="50" t="s">
        <v>1365</v>
      </c>
      <c r="F116" s="78"/>
      <c r="G116" s="73" t="s">
        <v>1751</v>
      </c>
      <c r="H116" s="71" t="s">
        <v>2197</v>
      </c>
      <c r="I116" s="71" t="s">
        <v>1336</v>
      </c>
      <c r="J116" s="75" t="s">
        <v>1745</v>
      </c>
      <c r="K116" s="70" t="s">
        <v>2198</v>
      </c>
      <c r="L116" s="76" t="s">
        <v>1747</v>
      </c>
      <c r="M116" s="56"/>
    </row>
    <row r="117" ht="12.0" customHeight="1">
      <c r="A117" s="70" t="s">
        <v>2199</v>
      </c>
      <c r="B117" s="71" t="s">
        <v>2200</v>
      </c>
      <c r="C117" s="50" t="s">
        <v>1740</v>
      </c>
      <c r="D117" s="57" t="s">
        <v>2201</v>
      </c>
      <c r="E117" s="50" t="s">
        <v>1382</v>
      </c>
      <c r="F117" s="78"/>
      <c r="G117" s="73" t="s">
        <v>1784</v>
      </c>
      <c r="H117" s="71" t="s">
        <v>2113</v>
      </c>
      <c r="I117" s="71" t="s">
        <v>2113</v>
      </c>
      <c r="J117" s="75" t="s">
        <v>1745</v>
      </c>
      <c r="K117" s="70" t="s">
        <v>2202</v>
      </c>
      <c r="L117" s="76" t="s">
        <v>1780</v>
      </c>
      <c r="M117" s="56"/>
    </row>
    <row r="118" ht="12.0" customHeight="1">
      <c r="A118" s="70" t="s">
        <v>2203</v>
      </c>
      <c r="B118" s="71" t="s">
        <v>2204</v>
      </c>
      <c r="C118" s="50" t="s">
        <v>1740</v>
      </c>
      <c r="D118" s="57" t="s">
        <v>2205</v>
      </c>
      <c r="E118" s="50" t="s">
        <v>1099</v>
      </c>
      <c r="F118" s="72">
        <v>4.500228638E9</v>
      </c>
      <c r="G118" s="73" t="s">
        <v>2206</v>
      </c>
      <c r="H118" s="71" t="s">
        <v>1065</v>
      </c>
      <c r="I118" s="71" t="s">
        <v>1125</v>
      </c>
      <c r="J118" s="75" t="s">
        <v>1745</v>
      </c>
      <c r="K118" s="70" t="s">
        <v>2207</v>
      </c>
      <c r="L118" s="76" t="s">
        <v>1747</v>
      </c>
      <c r="M118" s="56"/>
    </row>
    <row r="119" ht="12.0" customHeight="1">
      <c r="A119" s="70" t="s">
        <v>2208</v>
      </c>
      <c r="B119" s="71" t="s">
        <v>2209</v>
      </c>
      <c r="C119" s="50" t="s">
        <v>1740</v>
      </c>
      <c r="D119" s="57" t="s">
        <v>2210</v>
      </c>
      <c r="E119" s="50" t="s">
        <v>1171</v>
      </c>
      <c r="F119" s="72" t="s">
        <v>2211</v>
      </c>
      <c r="G119" s="73" t="s">
        <v>2094</v>
      </c>
      <c r="H119" s="71" t="s">
        <v>2212</v>
      </c>
      <c r="I119" s="71" t="s">
        <v>1105</v>
      </c>
      <c r="J119" s="75" t="s">
        <v>1745</v>
      </c>
      <c r="K119" s="70" t="s">
        <v>2047</v>
      </c>
      <c r="L119" s="76" t="s">
        <v>1764</v>
      </c>
      <c r="M119" s="56"/>
    </row>
    <row r="120" ht="12.0" customHeight="1">
      <c r="A120" s="70" t="s">
        <v>2213</v>
      </c>
      <c r="B120" s="71" t="s">
        <v>2209</v>
      </c>
      <c r="C120" s="50" t="s">
        <v>1740</v>
      </c>
      <c r="D120" s="57" t="s">
        <v>2214</v>
      </c>
      <c r="E120" s="50" t="s">
        <v>1117</v>
      </c>
      <c r="F120" s="72" t="s">
        <v>2215</v>
      </c>
      <c r="G120" s="73" t="s">
        <v>1885</v>
      </c>
      <c r="H120" s="71" t="s">
        <v>2216</v>
      </c>
      <c r="I120" s="71" t="s">
        <v>2216</v>
      </c>
      <c r="J120" s="75" t="s">
        <v>1745</v>
      </c>
      <c r="K120" s="70" t="s">
        <v>2047</v>
      </c>
      <c r="L120" s="76" t="s">
        <v>1764</v>
      </c>
      <c r="M120" s="56"/>
    </row>
    <row r="121" ht="12.0" customHeight="1">
      <c r="A121" s="70" t="s">
        <v>2217</v>
      </c>
      <c r="B121" s="71" t="s">
        <v>2209</v>
      </c>
      <c r="C121" s="50" t="s">
        <v>1740</v>
      </c>
      <c r="D121" s="57" t="s">
        <v>2218</v>
      </c>
      <c r="E121" s="50" t="s">
        <v>1106</v>
      </c>
      <c r="F121" s="78"/>
      <c r="G121" s="73" t="s">
        <v>2219</v>
      </c>
      <c r="H121" s="77">
        <v>45910.0</v>
      </c>
      <c r="I121" s="77">
        <v>45910.0</v>
      </c>
      <c r="J121" s="75" t="s">
        <v>1745</v>
      </c>
      <c r="K121" s="70" t="s">
        <v>2047</v>
      </c>
      <c r="L121" s="76" t="s">
        <v>1764</v>
      </c>
      <c r="M121" s="56"/>
    </row>
    <row r="122" ht="12.0" customHeight="1">
      <c r="A122" s="70" t="s">
        <v>2220</v>
      </c>
      <c r="B122" s="71" t="s">
        <v>2209</v>
      </c>
      <c r="C122" s="50" t="s">
        <v>1740</v>
      </c>
      <c r="D122" s="57" t="s">
        <v>2221</v>
      </c>
      <c r="E122" s="50" t="s">
        <v>1112</v>
      </c>
      <c r="F122" s="72" t="s">
        <v>2222</v>
      </c>
      <c r="G122" s="73" t="s">
        <v>2223</v>
      </c>
      <c r="H122" s="77">
        <v>45879.0</v>
      </c>
      <c r="I122" s="77">
        <v>45879.0</v>
      </c>
      <c r="J122" s="75" t="s">
        <v>1745</v>
      </c>
      <c r="K122" s="70" t="s">
        <v>2047</v>
      </c>
      <c r="L122" s="76" t="s">
        <v>1764</v>
      </c>
      <c r="M122" s="56"/>
    </row>
    <row r="123" ht="12.0" customHeight="1">
      <c r="A123" s="70" t="s">
        <v>2224</v>
      </c>
      <c r="B123" s="71" t="s">
        <v>2209</v>
      </c>
      <c r="C123" s="50" t="s">
        <v>1740</v>
      </c>
      <c r="D123" s="57" t="s">
        <v>2225</v>
      </c>
      <c r="E123" s="50" t="s">
        <v>1217</v>
      </c>
      <c r="F123" s="72" t="s">
        <v>2226</v>
      </c>
      <c r="G123" s="73" t="s">
        <v>2227</v>
      </c>
      <c r="H123" s="77">
        <v>45939.0</v>
      </c>
      <c r="I123" s="71" t="s">
        <v>962</v>
      </c>
      <c r="J123" s="75" t="s">
        <v>1745</v>
      </c>
      <c r="K123" s="70" t="s">
        <v>2047</v>
      </c>
      <c r="L123" s="76" t="s">
        <v>1764</v>
      </c>
      <c r="M123" s="56"/>
    </row>
    <row r="124" ht="12.0" customHeight="1">
      <c r="A124" s="70" t="s">
        <v>2228</v>
      </c>
      <c r="B124" s="71" t="s">
        <v>2229</v>
      </c>
      <c r="C124" s="50" t="s">
        <v>1740</v>
      </c>
      <c r="D124" s="57" t="s">
        <v>2230</v>
      </c>
      <c r="E124" s="50" t="s">
        <v>1175</v>
      </c>
      <c r="F124" s="72" t="s">
        <v>2231</v>
      </c>
      <c r="G124" s="73" t="s">
        <v>2079</v>
      </c>
      <c r="H124" s="71" t="s">
        <v>2232</v>
      </c>
      <c r="I124" s="71" t="s">
        <v>1131</v>
      </c>
      <c r="J124" s="75" t="s">
        <v>1745</v>
      </c>
      <c r="K124" s="70" t="s">
        <v>2233</v>
      </c>
      <c r="L124" s="76" t="s">
        <v>1747</v>
      </c>
      <c r="M124" s="56"/>
    </row>
    <row r="125" ht="12.0" customHeight="1">
      <c r="A125" s="70" t="s">
        <v>2234</v>
      </c>
      <c r="B125" s="80">
        <v>45966.0</v>
      </c>
      <c r="C125" s="50" t="s">
        <v>1740</v>
      </c>
      <c r="D125" s="57" t="s">
        <v>2235</v>
      </c>
      <c r="E125" s="50" t="s">
        <v>1668</v>
      </c>
      <c r="F125" s="72" t="s">
        <v>2236</v>
      </c>
      <c r="G125" s="73" t="s">
        <v>2237</v>
      </c>
      <c r="H125" s="77">
        <v>45880.0</v>
      </c>
      <c r="I125" s="71" t="s">
        <v>1697</v>
      </c>
      <c r="J125" s="75" t="s">
        <v>1745</v>
      </c>
      <c r="K125" s="70" t="s">
        <v>2194</v>
      </c>
      <c r="L125" s="76" t="s">
        <v>1747</v>
      </c>
      <c r="M125" s="56"/>
    </row>
    <row r="126" ht="12.0" customHeight="1">
      <c r="A126" s="70" t="s">
        <v>2238</v>
      </c>
      <c r="B126" s="80">
        <v>45968.0</v>
      </c>
      <c r="C126" s="50" t="s">
        <v>1740</v>
      </c>
      <c r="D126" s="57" t="s">
        <v>2239</v>
      </c>
      <c r="E126" s="50" t="s">
        <v>1190</v>
      </c>
      <c r="F126" s="72" t="s">
        <v>2240</v>
      </c>
      <c r="G126" s="73" t="s">
        <v>2241</v>
      </c>
      <c r="H126" s="77">
        <v>45658.0</v>
      </c>
      <c r="I126" s="71" t="s">
        <v>2242</v>
      </c>
      <c r="J126" s="75" t="s">
        <v>1745</v>
      </c>
      <c r="K126" s="70" t="s">
        <v>2243</v>
      </c>
      <c r="L126" s="76" t="s">
        <v>1780</v>
      </c>
      <c r="M126" s="56"/>
    </row>
    <row r="127" ht="12.0" customHeight="1">
      <c r="A127" s="70" t="s">
        <v>2244</v>
      </c>
      <c r="B127" s="80">
        <v>45968.0</v>
      </c>
      <c r="C127" s="50" t="s">
        <v>1740</v>
      </c>
      <c r="D127" s="57" t="s">
        <v>2245</v>
      </c>
      <c r="E127" s="50" t="s">
        <v>1294</v>
      </c>
      <c r="F127" s="72" t="s">
        <v>2246</v>
      </c>
      <c r="G127" s="73" t="s">
        <v>2247</v>
      </c>
      <c r="H127" s="77">
        <v>45819.0</v>
      </c>
      <c r="I127" s="71" t="s">
        <v>2248</v>
      </c>
      <c r="J127" s="75" t="s">
        <v>1752</v>
      </c>
      <c r="K127" s="70" t="s">
        <v>2249</v>
      </c>
      <c r="L127" s="76" t="s">
        <v>1747</v>
      </c>
      <c r="M127" s="56"/>
    </row>
    <row r="128" ht="12.0" customHeight="1">
      <c r="A128" s="70" t="s">
        <v>2250</v>
      </c>
      <c r="B128" s="80">
        <v>45975.0</v>
      </c>
      <c r="C128" s="50" t="s">
        <v>1740</v>
      </c>
      <c r="D128" s="57" t="s">
        <v>2251</v>
      </c>
      <c r="E128" s="50" t="s">
        <v>1679</v>
      </c>
      <c r="F128" s="92" t="s">
        <v>2252</v>
      </c>
      <c r="G128" s="73" t="s">
        <v>2193</v>
      </c>
      <c r="H128" s="71" t="s">
        <v>1202</v>
      </c>
      <c r="I128" s="71" t="s">
        <v>2253</v>
      </c>
      <c r="J128" s="75" t="s">
        <v>1745</v>
      </c>
      <c r="K128" s="70" t="s">
        <v>2194</v>
      </c>
      <c r="L128" s="76" t="s">
        <v>1747</v>
      </c>
      <c r="M128" s="56"/>
    </row>
    <row r="129" ht="12.0" customHeight="1">
      <c r="A129" s="70" t="s">
        <v>2254</v>
      </c>
      <c r="B129" s="80">
        <v>45988.0</v>
      </c>
      <c r="C129" s="50" t="s">
        <v>1740</v>
      </c>
      <c r="D129" s="57" t="s">
        <v>2255</v>
      </c>
      <c r="E129" s="50" t="s">
        <v>1470</v>
      </c>
      <c r="F129" s="72" t="s">
        <v>2256</v>
      </c>
      <c r="G129" s="73" t="s">
        <v>1784</v>
      </c>
      <c r="H129" s="71" t="s">
        <v>2248</v>
      </c>
      <c r="I129" s="77">
        <v>45881.0</v>
      </c>
      <c r="J129" s="75" t="s">
        <v>1745</v>
      </c>
      <c r="K129" s="70" t="s">
        <v>2257</v>
      </c>
      <c r="L129" s="76" t="s">
        <v>1747</v>
      </c>
      <c r="M129" s="56"/>
    </row>
    <row r="130" ht="12.0" customHeight="1">
      <c r="A130" s="70" t="s">
        <v>2258</v>
      </c>
      <c r="B130" s="71" t="s">
        <v>2259</v>
      </c>
      <c r="C130" s="50" t="s">
        <v>1740</v>
      </c>
      <c r="D130" s="57" t="s">
        <v>2260</v>
      </c>
      <c r="E130" s="50" t="s">
        <v>2261</v>
      </c>
      <c r="F130" s="78"/>
      <c r="G130" s="73" t="s">
        <v>2262</v>
      </c>
      <c r="H130" s="77">
        <v>45669.0</v>
      </c>
      <c r="I130" s="71" t="s">
        <v>1697</v>
      </c>
      <c r="J130" s="75" t="s">
        <v>1745</v>
      </c>
      <c r="K130" s="70" t="s">
        <v>2263</v>
      </c>
      <c r="L130" s="76" t="s">
        <v>1764</v>
      </c>
      <c r="M130" s="56"/>
    </row>
    <row r="131" ht="12.0" customHeight="1">
      <c r="A131" s="70" t="s">
        <v>2264</v>
      </c>
      <c r="B131" s="71" t="s">
        <v>2265</v>
      </c>
      <c r="C131" s="50" t="s">
        <v>1740</v>
      </c>
      <c r="D131" s="57" t="s">
        <v>2266</v>
      </c>
      <c r="E131" s="50" t="s">
        <v>1398</v>
      </c>
      <c r="F131" s="72" t="s">
        <v>2267</v>
      </c>
      <c r="G131" s="73" t="s">
        <v>2268</v>
      </c>
      <c r="H131" s="71" t="s">
        <v>2269</v>
      </c>
      <c r="I131" s="71" t="s">
        <v>2270</v>
      </c>
      <c r="J131" s="75" t="s">
        <v>1745</v>
      </c>
      <c r="K131" s="70" t="s">
        <v>2271</v>
      </c>
      <c r="L131" s="76" t="s">
        <v>1747</v>
      </c>
      <c r="M131" s="56"/>
    </row>
    <row r="132" ht="12.0" customHeight="1">
      <c r="A132" s="70" t="s">
        <v>2272</v>
      </c>
      <c r="B132" s="71" t="s">
        <v>2273</v>
      </c>
      <c r="C132" s="50" t="s">
        <v>1740</v>
      </c>
      <c r="D132" s="57" t="s">
        <v>2274</v>
      </c>
      <c r="E132" s="50" t="s">
        <v>1422</v>
      </c>
      <c r="F132" s="78"/>
      <c r="G132" s="73" t="s">
        <v>2275</v>
      </c>
      <c r="H132" s="77">
        <v>45758.0</v>
      </c>
      <c r="I132" s="71" t="s">
        <v>1234</v>
      </c>
      <c r="J132" s="75" t="s">
        <v>1745</v>
      </c>
      <c r="K132" s="70" t="s">
        <v>2276</v>
      </c>
      <c r="L132" s="76" t="s">
        <v>1764</v>
      </c>
      <c r="M132" s="56"/>
    </row>
    <row r="133" ht="12.0" customHeight="1">
      <c r="A133" s="70" t="s">
        <v>2277</v>
      </c>
      <c r="B133" s="71" t="s">
        <v>2273</v>
      </c>
      <c r="C133" s="50" t="s">
        <v>1740</v>
      </c>
      <c r="D133" s="57" t="s">
        <v>2278</v>
      </c>
      <c r="E133" s="50" t="s">
        <v>1428</v>
      </c>
      <c r="F133" s="72" t="s">
        <v>2279</v>
      </c>
      <c r="G133" s="73" t="s">
        <v>2280</v>
      </c>
      <c r="H133" s="77">
        <v>45788.0</v>
      </c>
      <c r="I133" s="77">
        <v>45789.0</v>
      </c>
      <c r="J133" s="75" t="s">
        <v>1745</v>
      </c>
      <c r="K133" s="70" t="s">
        <v>2276</v>
      </c>
      <c r="L133" s="76" t="s">
        <v>1764</v>
      </c>
      <c r="M133" s="56"/>
    </row>
    <row r="134" ht="12.0" customHeight="1">
      <c r="A134" s="70" t="s">
        <v>2281</v>
      </c>
      <c r="B134" s="71" t="s">
        <v>2273</v>
      </c>
      <c r="C134" s="50" t="s">
        <v>1740</v>
      </c>
      <c r="D134" s="57" t="s">
        <v>2282</v>
      </c>
      <c r="E134" s="50" t="s">
        <v>1434</v>
      </c>
      <c r="F134" s="72" t="s">
        <v>2283</v>
      </c>
      <c r="G134" s="73" t="s">
        <v>2284</v>
      </c>
      <c r="H134" s="71" t="s">
        <v>2285</v>
      </c>
      <c r="I134" s="71" t="s">
        <v>1541</v>
      </c>
      <c r="J134" s="75" t="s">
        <v>1745</v>
      </c>
      <c r="K134" s="70" t="s">
        <v>2276</v>
      </c>
      <c r="L134" s="76" t="s">
        <v>1764</v>
      </c>
      <c r="M134" s="56"/>
    </row>
    <row r="135" ht="12.0" customHeight="1">
      <c r="A135" s="70" t="s">
        <v>2286</v>
      </c>
      <c r="B135" s="71" t="s">
        <v>2273</v>
      </c>
      <c r="C135" s="50" t="s">
        <v>1740</v>
      </c>
      <c r="D135" s="57" t="s">
        <v>2287</v>
      </c>
      <c r="E135" s="50" t="s">
        <v>1440</v>
      </c>
      <c r="F135" s="72" t="s">
        <v>2288</v>
      </c>
      <c r="G135" s="73" t="s">
        <v>2289</v>
      </c>
      <c r="H135" s="77">
        <v>45817.0</v>
      </c>
      <c r="I135" s="77">
        <v>45789.0</v>
      </c>
      <c r="J135" s="75" t="s">
        <v>1745</v>
      </c>
      <c r="K135" s="70" t="s">
        <v>2276</v>
      </c>
      <c r="L135" s="76" t="s">
        <v>1764</v>
      </c>
      <c r="M135" s="56"/>
    </row>
    <row r="136" ht="12.0" customHeight="1">
      <c r="A136" s="70" t="s">
        <v>2290</v>
      </c>
      <c r="B136" s="71" t="s">
        <v>2273</v>
      </c>
      <c r="C136" s="50" t="s">
        <v>1740</v>
      </c>
      <c r="D136" s="57" t="s">
        <v>2291</v>
      </c>
      <c r="E136" s="50" t="s">
        <v>1446</v>
      </c>
      <c r="F136" s="72" t="s">
        <v>2292</v>
      </c>
      <c r="G136" s="73" t="s">
        <v>2293</v>
      </c>
      <c r="H136" s="71" t="s">
        <v>1202</v>
      </c>
      <c r="I136" s="77">
        <v>46023.0</v>
      </c>
      <c r="J136" s="75" t="s">
        <v>1745</v>
      </c>
      <c r="K136" s="70" t="s">
        <v>2276</v>
      </c>
      <c r="L136" s="76" t="s">
        <v>1764</v>
      </c>
      <c r="M136" s="56"/>
    </row>
    <row r="137" ht="12.0" customHeight="1">
      <c r="A137" s="70" t="s">
        <v>2294</v>
      </c>
      <c r="B137" s="71" t="s">
        <v>2273</v>
      </c>
      <c r="C137" s="50" t="s">
        <v>1740</v>
      </c>
      <c r="D137" s="57" t="s">
        <v>2295</v>
      </c>
      <c r="E137" s="50" t="s">
        <v>1452</v>
      </c>
      <c r="F137" s="72" t="s">
        <v>2296</v>
      </c>
      <c r="G137" s="73" t="s">
        <v>2297</v>
      </c>
      <c r="H137" s="71" t="s">
        <v>1234</v>
      </c>
      <c r="I137" s="71" t="s">
        <v>2298</v>
      </c>
      <c r="J137" s="75" t="s">
        <v>1745</v>
      </c>
      <c r="K137" s="70" t="s">
        <v>2276</v>
      </c>
      <c r="L137" s="76" t="s">
        <v>1764</v>
      </c>
      <c r="M137" s="56"/>
    </row>
    <row r="138" ht="12.0" customHeight="1">
      <c r="A138" s="70" t="s">
        <v>2299</v>
      </c>
      <c r="B138" s="71" t="s">
        <v>2273</v>
      </c>
      <c r="C138" s="50" t="s">
        <v>1740</v>
      </c>
      <c r="D138" s="57" t="s">
        <v>2300</v>
      </c>
      <c r="E138" s="50" t="s">
        <v>1458</v>
      </c>
      <c r="F138" s="72" t="s">
        <v>2301</v>
      </c>
      <c r="G138" s="73" t="s">
        <v>2302</v>
      </c>
      <c r="H138" s="71" t="s">
        <v>1336</v>
      </c>
      <c r="I138" s="77">
        <v>46023.0</v>
      </c>
      <c r="J138" s="75" t="s">
        <v>1745</v>
      </c>
      <c r="K138" s="70" t="s">
        <v>2276</v>
      </c>
      <c r="L138" s="76" t="s">
        <v>1764</v>
      </c>
      <c r="M138" s="56"/>
    </row>
    <row r="139" ht="12.0" customHeight="1">
      <c r="A139" s="70" t="s">
        <v>2303</v>
      </c>
      <c r="B139" s="71" t="s">
        <v>2273</v>
      </c>
      <c r="C139" s="50" t="s">
        <v>1740</v>
      </c>
      <c r="D139" s="57" t="s">
        <v>2304</v>
      </c>
      <c r="E139" s="50" t="s">
        <v>1464</v>
      </c>
      <c r="F139" s="72" t="s">
        <v>2305</v>
      </c>
      <c r="G139" s="73" t="s">
        <v>2306</v>
      </c>
      <c r="H139" s="71" t="s">
        <v>1234</v>
      </c>
      <c r="I139" s="71" t="s">
        <v>1234</v>
      </c>
      <c r="J139" s="75" t="s">
        <v>1745</v>
      </c>
      <c r="K139" s="70" t="s">
        <v>2276</v>
      </c>
      <c r="L139" s="76" t="s">
        <v>1764</v>
      </c>
      <c r="M139" s="56"/>
    </row>
    <row r="140" ht="12.0" customHeight="1">
      <c r="A140" s="93" t="s">
        <v>2307</v>
      </c>
      <c r="B140" s="71" t="s">
        <v>2273</v>
      </c>
      <c r="C140" s="50" t="s">
        <v>1740</v>
      </c>
      <c r="D140" s="57" t="s">
        <v>2308</v>
      </c>
      <c r="E140" s="50" t="s">
        <v>2309</v>
      </c>
      <c r="F140" s="72" t="s">
        <v>2310</v>
      </c>
      <c r="G140" s="73" t="s">
        <v>2311</v>
      </c>
      <c r="H140" s="71" t="s">
        <v>2285</v>
      </c>
      <c r="I140" s="77">
        <v>46054.0</v>
      </c>
      <c r="J140" s="75" t="s">
        <v>1745</v>
      </c>
      <c r="K140" s="70" t="s">
        <v>2276</v>
      </c>
      <c r="L140" s="76" t="s">
        <v>1764</v>
      </c>
      <c r="M140" s="56"/>
    </row>
    <row r="141" ht="12.0" customHeight="1">
      <c r="A141" s="70" t="s">
        <v>2312</v>
      </c>
      <c r="B141" s="71" t="s">
        <v>2273</v>
      </c>
      <c r="C141" s="50" t="s">
        <v>1740</v>
      </c>
      <c r="D141" s="57" t="s">
        <v>2313</v>
      </c>
      <c r="E141" s="50" t="s">
        <v>2314</v>
      </c>
      <c r="F141" s="72" t="s">
        <v>2315</v>
      </c>
      <c r="G141" s="73" t="s">
        <v>2316</v>
      </c>
      <c r="H141" s="77">
        <v>45759.0</v>
      </c>
      <c r="I141" s="77">
        <v>46054.0</v>
      </c>
      <c r="J141" s="75" t="s">
        <v>1745</v>
      </c>
      <c r="K141" s="70" t="s">
        <v>2276</v>
      </c>
      <c r="L141" s="76" t="s">
        <v>1764</v>
      </c>
      <c r="M141" s="56"/>
    </row>
    <row r="142" ht="12.0" customHeight="1">
      <c r="A142" s="70" t="s">
        <v>2317</v>
      </c>
      <c r="B142" s="71" t="s">
        <v>2273</v>
      </c>
      <c r="C142" s="50" t="s">
        <v>1740</v>
      </c>
      <c r="D142" s="57" t="s">
        <v>2318</v>
      </c>
      <c r="E142" s="50" t="s">
        <v>2319</v>
      </c>
      <c r="F142" s="72" t="s">
        <v>2320</v>
      </c>
      <c r="G142" s="73" t="s">
        <v>2321</v>
      </c>
      <c r="H142" s="77">
        <v>45789.0</v>
      </c>
      <c r="I142" s="71" t="s">
        <v>1553</v>
      </c>
      <c r="J142" s="75" t="s">
        <v>1745</v>
      </c>
      <c r="K142" s="70" t="s">
        <v>2276</v>
      </c>
      <c r="L142" s="76" t="s">
        <v>1764</v>
      </c>
      <c r="M142" s="56"/>
    </row>
    <row r="143" ht="12.0" customHeight="1">
      <c r="A143" s="70" t="s">
        <v>2322</v>
      </c>
      <c r="B143" s="71" t="s">
        <v>2323</v>
      </c>
      <c r="C143" s="50" t="s">
        <v>1740</v>
      </c>
      <c r="D143" s="57" t="s">
        <v>2324</v>
      </c>
      <c r="E143" s="50" t="s">
        <v>1652</v>
      </c>
      <c r="F143" s="72" t="s">
        <v>2320</v>
      </c>
      <c r="G143" s="73" t="s">
        <v>2325</v>
      </c>
      <c r="H143" s="77">
        <v>45881.0</v>
      </c>
      <c r="I143" s="71" t="s">
        <v>1530</v>
      </c>
      <c r="J143" s="75" t="s">
        <v>1745</v>
      </c>
      <c r="K143" s="70" t="s">
        <v>2326</v>
      </c>
      <c r="L143" s="76" t="s">
        <v>1747</v>
      </c>
      <c r="M143" s="56"/>
    </row>
    <row r="144" ht="12.0" customHeight="1">
      <c r="A144" s="70" t="s">
        <v>2327</v>
      </c>
      <c r="B144" s="71" t="s">
        <v>2328</v>
      </c>
      <c r="C144" s="50" t="s">
        <v>1740</v>
      </c>
      <c r="D144" s="57" t="s">
        <v>2329</v>
      </c>
      <c r="E144" s="50" t="s">
        <v>1600</v>
      </c>
      <c r="F144" s="72" t="s">
        <v>2330</v>
      </c>
      <c r="G144" s="73" t="s">
        <v>1784</v>
      </c>
      <c r="H144" s="71" t="s">
        <v>2331</v>
      </c>
      <c r="I144" s="71" t="s">
        <v>2332</v>
      </c>
      <c r="J144" s="75" t="s">
        <v>1745</v>
      </c>
      <c r="K144" s="70" t="s">
        <v>2326</v>
      </c>
      <c r="L144" s="76" t="s">
        <v>1747</v>
      </c>
      <c r="M144" s="56"/>
    </row>
    <row r="145" ht="12.0" customHeight="1">
      <c r="A145" s="70" t="s">
        <v>2333</v>
      </c>
      <c r="B145" s="71" t="s">
        <v>2328</v>
      </c>
      <c r="C145" s="50" t="s">
        <v>1740</v>
      </c>
      <c r="D145" s="57" t="s">
        <v>2334</v>
      </c>
      <c r="E145" s="50" t="s">
        <v>1559</v>
      </c>
      <c r="F145" s="72" t="s">
        <v>2320</v>
      </c>
      <c r="G145" s="73" t="s">
        <v>2137</v>
      </c>
      <c r="H145" s="77">
        <v>45789.0</v>
      </c>
      <c r="I145" s="77">
        <v>45789.0</v>
      </c>
      <c r="J145" s="75" t="s">
        <v>1745</v>
      </c>
      <c r="K145" s="70" t="s">
        <v>2276</v>
      </c>
      <c r="L145" s="76" t="s">
        <v>1764</v>
      </c>
      <c r="M145" s="56"/>
    </row>
    <row r="146" ht="12.0" customHeight="1">
      <c r="A146" s="70" t="s">
        <v>2335</v>
      </c>
      <c r="B146" s="71" t="s">
        <v>2328</v>
      </c>
      <c r="C146" s="50" t="s">
        <v>1740</v>
      </c>
      <c r="D146" s="57" t="s">
        <v>2336</v>
      </c>
      <c r="E146" s="50" t="s">
        <v>1573</v>
      </c>
      <c r="F146" s="94" t="s">
        <v>2337</v>
      </c>
      <c r="G146" s="73" t="s">
        <v>2338</v>
      </c>
      <c r="H146" s="71" t="s">
        <v>2339</v>
      </c>
      <c r="I146" s="77">
        <v>45881.0</v>
      </c>
      <c r="J146" s="75" t="s">
        <v>1745</v>
      </c>
      <c r="K146" s="70" t="s">
        <v>2276</v>
      </c>
      <c r="L146" s="76" t="s">
        <v>1764</v>
      </c>
      <c r="M146" s="56"/>
    </row>
    <row r="147" ht="12.0" customHeight="1">
      <c r="A147" s="70" t="s">
        <v>2340</v>
      </c>
      <c r="B147" s="71" t="s">
        <v>2328</v>
      </c>
      <c r="C147" s="50" t="s">
        <v>1740</v>
      </c>
      <c r="D147" s="57" t="s">
        <v>2341</v>
      </c>
      <c r="E147" s="50" t="s">
        <v>1563</v>
      </c>
      <c r="F147" s="72" t="s">
        <v>2342</v>
      </c>
      <c r="G147" s="73" t="s">
        <v>2343</v>
      </c>
      <c r="H147" s="77">
        <v>45881.0</v>
      </c>
      <c r="I147" s="77">
        <v>45881.0</v>
      </c>
      <c r="J147" s="75" t="s">
        <v>1745</v>
      </c>
      <c r="K147" s="70" t="s">
        <v>2276</v>
      </c>
      <c r="L147" s="76" t="s">
        <v>1764</v>
      </c>
      <c r="M147" s="56"/>
    </row>
    <row r="148" ht="12.0" customHeight="1">
      <c r="A148" s="70" t="s">
        <v>2344</v>
      </c>
      <c r="B148" s="71" t="s">
        <v>2328</v>
      </c>
      <c r="C148" s="50" t="s">
        <v>1740</v>
      </c>
      <c r="D148" s="57" t="s">
        <v>2345</v>
      </c>
      <c r="E148" s="50" t="s">
        <v>2346</v>
      </c>
      <c r="F148" s="72" t="s">
        <v>2347</v>
      </c>
      <c r="G148" s="73" t="s">
        <v>2348</v>
      </c>
      <c r="H148" s="77">
        <v>45789.0</v>
      </c>
      <c r="I148" s="77">
        <v>45789.0</v>
      </c>
      <c r="J148" s="75" t="s">
        <v>1745</v>
      </c>
      <c r="K148" s="70" t="s">
        <v>2276</v>
      </c>
      <c r="L148" s="76" t="s">
        <v>1764</v>
      </c>
      <c r="M148" s="56"/>
    </row>
    <row r="149" ht="12.0" customHeight="1">
      <c r="A149" s="70" t="s">
        <v>2349</v>
      </c>
      <c r="B149" s="71" t="s">
        <v>2328</v>
      </c>
      <c r="C149" s="50" t="s">
        <v>1740</v>
      </c>
      <c r="D149" s="57" t="s">
        <v>2350</v>
      </c>
      <c r="E149" s="50" t="s">
        <v>1579</v>
      </c>
      <c r="F149" s="72" t="s">
        <v>2351</v>
      </c>
      <c r="G149" s="73" t="s">
        <v>2284</v>
      </c>
      <c r="H149" s="77">
        <v>45789.0</v>
      </c>
      <c r="I149" s="77">
        <v>45789.0</v>
      </c>
      <c r="J149" s="75" t="s">
        <v>1745</v>
      </c>
      <c r="K149" s="70" t="s">
        <v>2276</v>
      </c>
      <c r="L149" s="76" t="s">
        <v>1764</v>
      </c>
      <c r="M149" s="56"/>
    </row>
    <row r="150" ht="12.0" customHeight="1">
      <c r="A150" s="70" t="s">
        <v>2352</v>
      </c>
      <c r="B150" s="71" t="s">
        <v>2328</v>
      </c>
      <c r="C150" s="50" t="s">
        <v>1740</v>
      </c>
      <c r="D150" s="57" t="s">
        <v>2353</v>
      </c>
      <c r="E150" s="50" t="s">
        <v>2354</v>
      </c>
      <c r="F150" s="72" t="s">
        <v>2355</v>
      </c>
      <c r="G150" s="73" t="s">
        <v>2356</v>
      </c>
      <c r="H150" s="77">
        <v>45942.0</v>
      </c>
      <c r="I150" s="77">
        <v>45942.0</v>
      </c>
      <c r="J150" s="75" t="s">
        <v>1745</v>
      </c>
      <c r="K150" s="70" t="s">
        <v>2276</v>
      </c>
      <c r="L150" s="76" t="s">
        <v>1764</v>
      </c>
      <c r="M150" s="56"/>
    </row>
    <row r="151" ht="12.0" customHeight="1">
      <c r="A151" s="72"/>
      <c r="B151" s="83"/>
      <c r="C151" s="56"/>
      <c r="D151" s="56"/>
      <c r="E151" s="56" t="str">
        <f t="shared" ref="E151:E154" si="1">C151&amp;D151</f>
        <v/>
      </c>
      <c r="F151" s="72" t="s">
        <v>2357</v>
      </c>
      <c r="G151" s="84"/>
      <c r="H151" s="74"/>
      <c r="I151" s="95"/>
      <c r="J151" s="96"/>
      <c r="K151" s="72"/>
      <c r="L151" s="86"/>
      <c r="M151" s="56"/>
    </row>
    <row r="152" ht="12.0" customHeight="1">
      <c r="A152" s="72"/>
      <c r="B152" s="83"/>
      <c r="C152" s="56"/>
      <c r="D152" s="56"/>
      <c r="E152" s="56" t="str">
        <f t="shared" si="1"/>
        <v/>
      </c>
      <c r="F152" s="72" t="s">
        <v>2358</v>
      </c>
      <c r="G152" s="84"/>
      <c r="H152" s="74"/>
      <c r="I152" s="95"/>
      <c r="J152" s="96"/>
      <c r="K152" s="72"/>
      <c r="L152" s="86"/>
      <c r="M152" s="56"/>
    </row>
    <row r="153" ht="12.0" customHeight="1">
      <c r="A153" s="72"/>
      <c r="B153" s="83"/>
      <c r="C153" s="56"/>
      <c r="D153" s="56"/>
      <c r="E153" s="56" t="str">
        <f t="shared" si="1"/>
        <v/>
      </c>
      <c r="F153" s="78"/>
      <c r="G153" s="84"/>
      <c r="H153" s="74"/>
      <c r="I153" s="95"/>
      <c r="J153" s="96"/>
      <c r="K153" s="72"/>
      <c r="L153" s="86"/>
      <c r="M153" s="56"/>
    </row>
    <row r="154" ht="12.0" customHeight="1">
      <c r="A154" s="72"/>
      <c r="B154" s="83"/>
      <c r="C154" s="56"/>
      <c r="D154" s="56"/>
      <c r="E154" s="56" t="str">
        <f t="shared" si="1"/>
        <v/>
      </c>
      <c r="F154" s="97" t="s">
        <v>2359</v>
      </c>
      <c r="G154" s="84"/>
      <c r="H154" s="98"/>
      <c r="I154" s="99"/>
      <c r="J154" s="96"/>
      <c r="K154" s="72"/>
      <c r="L154" s="86"/>
      <c r="M154" s="56"/>
    </row>
    <row r="155" ht="12.0" customHeight="1">
      <c r="A155" s="100"/>
      <c r="B155" s="101"/>
      <c r="C155" s="56"/>
      <c r="D155" s="56"/>
      <c r="E155" s="56"/>
      <c r="F155" s="56"/>
      <c r="G155" s="102"/>
      <c r="H155" s="61"/>
      <c r="I155" s="61"/>
      <c r="J155" s="103"/>
      <c r="K155" s="67"/>
      <c r="L155" s="100"/>
      <c r="M155" s="56"/>
    </row>
    <row r="156" ht="12.0" customHeight="1">
      <c r="A156" s="100"/>
      <c r="B156" s="101"/>
      <c r="C156" s="56"/>
      <c r="D156" s="56"/>
      <c r="E156" s="56"/>
      <c r="F156" s="56"/>
      <c r="G156" s="102"/>
      <c r="H156" s="61"/>
      <c r="I156" s="61"/>
      <c r="J156" s="103"/>
      <c r="K156" s="67"/>
      <c r="L156" s="100"/>
      <c r="M156" s="56"/>
    </row>
    <row r="157" ht="12.0" customHeight="1">
      <c r="A157" s="100"/>
      <c r="B157" s="101"/>
      <c r="C157" s="56"/>
      <c r="D157" s="56"/>
      <c r="E157" s="56"/>
      <c r="F157" s="56"/>
      <c r="G157" s="102"/>
      <c r="H157" s="61"/>
      <c r="I157" s="61"/>
      <c r="J157" s="103"/>
      <c r="K157" s="67"/>
      <c r="L157" s="100"/>
      <c r="M157" s="56"/>
    </row>
    <row r="158" ht="12.0" customHeight="1">
      <c r="A158" s="100"/>
      <c r="B158" s="101"/>
      <c r="C158" s="56"/>
      <c r="D158" s="56"/>
      <c r="E158" s="56"/>
      <c r="F158" s="56"/>
      <c r="G158" s="102"/>
      <c r="H158" s="61"/>
      <c r="I158" s="61"/>
      <c r="J158" s="103"/>
      <c r="K158" s="67"/>
      <c r="L158" s="100"/>
      <c r="M158" s="56"/>
    </row>
    <row r="159" ht="12.0" customHeight="1">
      <c r="A159" s="100"/>
      <c r="B159" s="101"/>
      <c r="C159" s="56"/>
      <c r="D159" s="56"/>
      <c r="E159" s="56"/>
      <c r="F159" s="56"/>
      <c r="G159" s="102"/>
      <c r="H159" s="61"/>
      <c r="I159" s="61"/>
      <c r="J159" s="103"/>
      <c r="K159" s="67"/>
      <c r="L159" s="100"/>
      <c r="M159" s="56"/>
    </row>
    <row r="160" ht="12.0" customHeight="1">
      <c r="A160" s="100"/>
      <c r="B160" s="101"/>
      <c r="C160" s="56"/>
      <c r="D160" s="56"/>
      <c r="E160" s="56"/>
      <c r="F160" s="56"/>
      <c r="G160" s="102"/>
      <c r="H160" s="61"/>
      <c r="I160" s="61"/>
      <c r="J160" s="103"/>
      <c r="K160" s="67"/>
      <c r="L160" s="100"/>
      <c r="M160" s="56"/>
    </row>
    <row r="161" ht="12.0" customHeight="1">
      <c r="A161" s="100"/>
      <c r="B161" s="101"/>
      <c r="C161" s="56"/>
      <c r="D161" s="56"/>
      <c r="E161" s="56"/>
      <c r="F161" s="56"/>
      <c r="G161" s="102"/>
      <c r="H161" s="61"/>
      <c r="I161" s="61"/>
      <c r="J161" s="103"/>
      <c r="K161" s="67"/>
      <c r="L161" s="100"/>
      <c r="M161" s="56"/>
    </row>
    <row r="162" ht="12.0" customHeight="1">
      <c r="A162" s="100"/>
      <c r="B162" s="101"/>
      <c r="C162" s="56"/>
      <c r="D162" s="56"/>
      <c r="E162" s="56"/>
      <c r="F162" s="56"/>
      <c r="G162" s="102"/>
      <c r="H162" s="61"/>
      <c r="I162" s="61"/>
      <c r="J162" s="103"/>
      <c r="K162" s="67"/>
      <c r="L162" s="100"/>
      <c r="M162" s="56"/>
    </row>
    <row r="163" ht="12.0" customHeight="1">
      <c r="A163" s="100"/>
      <c r="B163" s="101"/>
      <c r="C163" s="56"/>
      <c r="D163" s="56"/>
      <c r="E163" s="56"/>
      <c r="F163" s="56"/>
      <c r="G163" s="102"/>
      <c r="H163" s="61"/>
      <c r="I163" s="61"/>
      <c r="J163" s="103"/>
      <c r="K163" s="67"/>
      <c r="L163" s="100"/>
      <c r="M163" s="56"/>
    </row>
    <row r="164" ht="12.0" customHeight="1">
      <c r="A164" s="100"/>
      <c r="B164" s="101"/>
      <c r="C164" s="56"/>
      <c r="D164" s="56"/>
      <c r="E164" s="56"/>
      <c r="F164" s="56"/>
      <c r="G164" s="102"/>
      <c r="H164" s="61"/>
      <c r="I164" s="61"/>
      <c r="J164" s="103"/>
      <c r="K164" s="67"/>
      <c r="L164" s="100"/>
      <c r="M164" s="56"/>
    </row>
    <row r="165" ht="12.0" customHeight="1">
      <c r="A165" s="100"/>
      <c r="B165" s="101"/>
      <c r="C165" s="56"/>
      <c r="D165" s="56"/>
      <c r="E165" s="56"/>
      <c r="F165" s="56"/>
      <c r="G165" s="102"/>
      <c r="H165" s="61"/>
      <c r="I165" s="61"/>
      <c r="J165" s="103"/>
      <c r="K165" s="67"/>
      <c r="L165" s="100"/>
      <c r="M165" s="56"/>
    </row>
    <row r="166" ht="12.0" customHeight="1">
      <c r="A166" s="100"/>
      <c r="B166" s="101"/>
      <c r="C166" s="56"/>
      <c r="D166" s="56"/>
      <c r="E166" s="56"/>
      <c r="F166" s="56"/>
      <c r="G166" s="102"/>
      <c r="H166" s="61"/>
      <c r="I166" s="61"/>
      <c r="J166" s="103"/>
      <c r="K166" s="67"/>
      <c r="L166" s="100"/>
      <c r="M166" s="56"/>
    </row>
    <row r="167" ht="12.0" customHeight="1">
      <c r="A167" s="100"/>
      <c r="B167" s="101"/>
      <c r="C167" s="56"/>
      <c r="D167" s="56"/>
      <c r="E167" s="56"/>
      <c r="F167" s="56"/>
      <c r="G167" s="102"/>
      <c r="H167" s="61"/>
      <c r="I167" s="61"/>
      <c r="J167" s="103"/>
      <c r="K167" s="67"/>
      <c r="L167" s="100"/>
      <c r="M167" s="56"/>
    </row>
    <row r="168" ht="12.0" customHeight="1">
      <c r="A168" s="100"/>
      <c r="B168" s="101"/>
      <c r="C168" s="56"/>
      <c r="D168" s="56"/>
      <c r="E168" s="56"/>
      <c r="F168" s="56"/>
      <c r="G168" s="102"/>
      <c r="H168" s="61"/>
      <c r="I168" s="61"/>
      <c r="J168" s="103"/>
      <c r="K168" s="67"/>
      <c r="L168" s="100"/>
      <c r="M168" s="56"/>
    </row>
    <row r="169" ht="12.0" customHeight="1">
      <c r="A169" s="100"/>
      <c r="B169" s="101"/>
      <c r="C169" s="56"/>
      <c r="D169" s="56"/>
      <c r="E169" s="56"/>
      <c r="F169" s="56"/>
      <c r="G169" s="102"/>
      <c r="H169" s="61"/>
      <c r="I169" s="61"/>
      <c r="J169" s="103"/>
      <c r="K169" s="67"/>
      <c r="L169" s="100"/>
      <c r="M169" s="56"/>
    </row>
    <row r="170" ht="12.0" customHeight="1">
      <c r="A170" s="100"/>
      <c r="B170" s="101"/>
      <c r="C170" s="56"/>
      <c r="D170" s="56"/>
      <c r="E170" s="56"/>
      <c r="F170" s="56"/>
      <c r="G170" s="102"/>
      <c r="H170" s="61"/>
      <c r="I170" s="61"/>
      <c r="J170" s="103"/>
      <c r="K170" s="67"/>
      <c r="L170" s="100"/>
      <c r="M170" s="56"/>
    </row>
    <row r="171" ht="12.0" customHeight="1">
      <c r="A171" s="100"/>
      <c r="B171" s="101"/>
      <c r="C171" s="56"/>
      <c r="D171" s="56"/>
      <c r="E171" s="56"/>
      <c r="F171" s="56"/>
      <c r="G171" s="102"/>
      <c r="H171" s="61"/>
      <c r="I171" s="61"/>
      <c r="J171" s="103"/>
      <c r="K171" s="67"/>
      <c r="L171" s="100"/>
      <c r="M171" s="56"/>
    </row>
    <row r="172" ht="12.0" customHeight="1">
      <c r="A172" s="100"/>
      <c r="B172" s="101"/>
      <c r="C172" s="56"/>
      <c r="D172" s="56"/>
      <c r="E172" s="56"/>
      <c r="F172" s="56"/>
      <c r="G172" s="102"/>
      <c r="H172" s="61"/>
      <c r="I172" s="61"/>
      <c r="J172" s="103"/>
      <c r="K172" s="67"/>
      <c r="L172" s="100"/>
      <c r="M172" s="56"/>
    </row>
    <row r="173" ht="12.0" customHeight="1">
      <c r="A173" s="100"/>
      <c r="B173" s="101"/>
      <c r="C173" s="56"/>
      <c r="D173" s="56"/>
      <c r="E173" s="56"/>
      <c r="F173" s="56"/>
      <c r="G173" s="102"/>
      <c r="H173" s="61"/>
      <c r="I173" s="61"/>
      <c r="J173" s="103"/>
      <c r="K173" s="67"/>
      <c r="L173" s="100"/>
      <c r="M173" s="56"/>
    </row>
    <row r="174" ht="12.0" customHeight="1">
      <c r="A174" s="100"/>
      <c r="B174" s="101"/>
      <c r="C174" s="56"/>
      <c r="D174" s="56"/>
      <c r="E174" s="56"/>
      <c r="F174" s="56"/>
      <c r="G174" s="102"/>
      <c r="H174" s="61"/>
      <c r="I174" s="61"/>
      <c r="J174" s="103"/>
      <c r="K174" s="67"/>
      <c r="L174" s="100"/>
      <c r="M174" s="56"/>
    </row>
    <row r="175" ht="12.0" customHeight="1">
      <c r="A175" s="100"/>
      <c r="B175" s="101"/>
      <c r="C175" s="56"/>
      <c r="D175" s="56"/>
      <c r="E175" s="56"/>
      <c r="F175" s="56"/>
      <c r="G175" s="102"/>
      <c r="H175" s="61"/>
      <c r="I175" s="61"/>
      <c r="J175" s="103"/>
      <c r="K175" s="67"/>
      <c r="L175" s="100"/>
      <c r="M175" s="56"/>
    </row>
    <row r="176" ht="12.0" customHeight="1">
      <c r="A176" s="100"/>
      <c r="B176" s="101"/>
      <c r="C176" s="56"/>
      <c r="D176" s="56"/>
      <c r="E176" s="56"/>
      <c r="F176" s="56"/>
      <c r="G176" s="102"/>
      <c r="H176" s="61"/>
      <c r="I176" s="61"/>
      <c r="J176" s="103"/>
      <c r="K176" s="67"/>
      <c r="L176" s="100"/>
      <c r="M176" s="56"/>
    </row>
    <row r="177" ht="12.0" customHeight="1">
      <c r="A177" s="100"/>
      <c r="B177" s="101"/>
      <c r="C177" s="56"/>
      <c r="D177" s="56"/>
      <c r="E177" s="56"/>
      <c r="F177" s="56"/>
      <c r="G177" s="102"/>
      <c r="H177" s="61"/>
      <c r="I177" s="61"/>
      <c r="J177" s="103"/>
      <c r="K177" s="67"/>
      <c r="L177" s="100"/>
      <c r="M177" s="56"/>
    </row>
    <row r="178" ht="12.0" customHeight="1">
      <c r="A178" s="100"/>
      <c r="B178" s="101"/>
      <c r="C178" s="56"/>
      <c r="D178" s="56"/>
      <c r="E178" s="56"/>
      <c r="F178" s="56"/>
      <c r="G178" s="102"/>
      <c r="H178" s="61"/>
      <c r="I178" s="61"/>
      <c r="J178" s="103"/>
      <c r="K178" s="67"/>
      <c r="L178" s="100"/>
      <c r="M178" s="56"/>
    </row>
    <row r="179" ht="12.0" customHeight="1">
      <c r="A179" s="100"/>
      <c r="B179" s="101"/>
      <c r="C179" s="56"/>
      <c r="D179" s="56"/>
      <c r="E179" s="56"/>
      <c r="F179" s="56"/>
      <c r="G179" s="102"/>
      <c r="H179" s="61"/>
      <c r="I179" s="61"/>
      <c r="J179" s="103"/>
      <c r="K179" s="67"/>
      <c r="L179" s="100"/>
      <c r="M179" s="56"/>
    </row>
    <row r="180" ht="12.0" customHeight="1">
      <c r="A180" s="100"/>
      <c r="B180" s="101"/>
      <c r="C180" s="56"/>
      <c r="D180" s="56"/>
      <c r="E180" s="56"/>
      <c r="F180" s="56"/>
      <c r="G180" s="102"/>
      <c r="H180" s="61"/>
      <c r="I180" s="61"/>
      <c r="J180" s="103"/>
      <c r="K180" s="67"/>
      <c r="L180" s="100"/>
      <c r="M180" s="56"/>
    </row>
    <row r="181" ht="12.0" customHeight="1">
      <c r="A181" s="100"/>
      <c r="B181" s="101"/>
      <c r="C181" s="56"/>
      <c r="D181" s="56"/>
      <c r="E181" s="56"/>
      <c r="F181" s="56"/>
      <c r="G181" s="102"/>
      <c r="H181" s="61"/>
      <c r="I181" s="61"/>
      <c r="J181" s="103"/>
      <c r="K181" s="67"/>
      <c r="L181" s="100"/>
      <c r="M181" s="56"/>
    </row>
    <row r="182" ht="12.0" customHeight="1">
      <c r="A182" s="100"/>
      <c r="B182" s="101"/>
      <c r="C182" s="56"/>
      <c r="D182" s="56"/>
      <c r="E182" s="56"/>
      <c r="F182" s="56"/>
      <c r="G182" s="102"/>
      <c r="H182" s="61"/>
      <c r="I182" s="61"/>
      <c r="J182" s="103"/>
      <c r="K182" s="67"/>
      <c r="L182" s="100"/>
      <c r="M182" s="56"/>
    </row>
    <row r="183" ht="12.0" customHeight="1">
      <c r="A183" s="100"/>
      <c r="B183" s="101"/>
      <c r="C183" s="56"/>
      <c r="D183" s="56"/>
      <c r="E183" s="56"/>
      <c r="F183" s="56"/>
      <c r="G183" s="102"/>
      <c r="H183" s="61"/>
      <c r="I183" s="61"/>
      <c r="J183" s="103"/>
      <c r="K183" s="67"/>
      <c r="L183" s="100"/>
      <c r="M183" s="56"/>
    </row>
    <row r="184" ht="12.0" customHeight="1">
      <c r="A184" s="100"/>
      <c r="B184" s="101"/>
      <c r="C184" s="56"/>
      <c r="D184" s="56"/>
      <c r="E184" s="56"/>
      <c r="F184" s="56"/>
      <c r="G184" s="102"/>
      <c r="H184" s="61"/>
      <c r="I184" s="61"/>
      <c r="J184" s="103"/>
      <c r="K184" s="67"/>
      <c r="L184" s="100"/>
      <c r="M184" s="56"/>
    </row>
    <row r="185" ht="12.0" customHeight="1">
      <c r="A185" s="100"/>
      <c r="B185" s="101"/>
      <c r="C185" s="56"/>
      <c r="D185" s="56"/>
      <c r="E185" s="56"/>
      <c r="F185" s="56"/>
      <c r="G185" s="102"/>
      <c r="H185" s="61"/>
      <c r="I185" s="61"/>
      <c r="J185" s="103"/>
      <c r="K185" s="67"/>
      <c r="L185" s="100"/>
      <c r="M185" s="56"/>
    </row>
    <row r="186" ht="12.0" customHeight="1">
      <c r="A186" s="100"/>
      <c r="B186" s="101"/>
      <c r="C186" s="56"/>
      <c r="D186" s="56"/>
      <c r="E186" s="56"/>
      <c r="F186" s="56"/>
      <c r="G186" s="102"/>
      <c r="H186" s="61"/>
      <c r="I186" s="61"/>
      <c r="J186" s="103"/>
      <c r="K186" s="67"/>
      <c r="L186" s="100"/>
      <c r="M186" s="56"/>
    </row>
    <row r="187" ht="12.0" customHeight="1">
      <c r="A187" s="100"/>
      <c r="B187" s="101"/>
      <c r="C187" s="56"/>
      <c r="D187" s="56"/>
      <c r="E187" s="56"/>
      <c r="F187" s="56"/>
      <c r="G187" s="102"/>
      <c r="H187" s="61"/>
      <c r="I187" s="61"/>
      <c r="J187" s="103"/>
      <c r="K187" s="67"/>
      <c r="L187" s="100"/>
      <c r="M187" s="56"/>
    </row>
    <row r="188" ht="12.0" customHeight="1">
      <c r="A188" s="100"/>
      <c r="B188" s="101"/>
      <c r="C188" s="56"/>
      <c r="D188" s="56"/>
      <c r="E188" s="56"/>
      <c r="F188" s="56"/>
      <c r="G188" s="102"/>
      <c r="H188" s="61"/>
      <c r="I188" s="61"/>
      <c r="J188" s="103"/>
      <c r="K188" s="67"/>
      <c r="L188" s="100"/>
      <c r="M188" s="56"/>
    </row>
    <row r="189" ht="12.0" customHeight="1">
      <c r="A189" s="100"/>
      <c r="B189" s="101"/>
      <c r="C189" s="56"/>
      <c r="D189" s="56"/>
      <c r="E189" s="56"/>
      <c r="F189" s="56"/>
      <c r="G189" s="102"/>
      <c r="H189" s="61"/>
      <c r="I189" s="61"/>
      <c r="J189" s="103"/>
      <c r="K189" s="67"/>
      <c r="L189" s="100"/>
      <c r="M189" s="56"/>
    </row>
    <row r="190" ht="12.0" customHeight="1">
      <c r="A190" s="100"/>
      <c r="B190" s="101"/>
      <c r="C190" s="56"/>
      <c r="D190" s="56"/>
      <c r="E190" s="56"/>
      <c r="F190" s="56"/>
      <c r="G190" s="102"/>
      <c r="H190" s="61"/>
      <c r="I190" s="61"/>
      <c r="J190" s="103"/>
      <c r="K190" s="67"/>
      <c r="L190" s="100"/>
      <c r="M190" s="56"/>
    </row>
    <row r="191" ht="12.0" customHeight="1">
      <c r="A191" s="100"/>
      <c r="B191" s="101"/>
      <c r="C191" s="56"/>
      <c r="D191" s="56"/>
      <c r="E191" s="56"/>
      <c r="F191" s="56"/>
      <c r="G191" s="102"/>
      <c r="H191" s="61"/>
      <c r="I191" s="61"/>
      <c r="J191" s="103"/>
      <c r="K191" s="67"/>
      <c r="L191" s="100"/>
      <c r="M191" s="56"/>
    </row>
    <row r="192" ht="12.0" customHeight="1">
      <c r="A192" s="100"/>
      <c r="B192" s="101"/>
      <c r="C192" s="56"/>
      <c r="D192" s="56"/>
      <c r="E192" s="56"/>
      <c r="F192" s="56"/>
      <c r="G192" s="102"/>
      <c r="H192" s="61"/>
      <c r="I192" s="61"/>
      <c r="J192" s="103"/>
      <c r="K192" s="67"/>
      <c r="L192" s="100"/>
      <c r="M192" s="56"/>
    </row>
    <row r="193" ht="12.0" customHeight="1">
      <c r="A193" s="100"/>
      <c r="B193" s="101"/>
      <c r="C193" s="56"/>
      <c r="D193" s="56"/>
      <c r="E193" s="56"/>
      <c r="F193" s="56"/>
      <c r="G193" s="102"/>
      <c r="H193" s="61"/>
      <c r="I193" s="61"/>
      <c r="J193" s="103"/>
      <c r="K193" s="67"/>
      <c r="L193" s="100"/>
      <c r="M193" s="56"/>
    </row>
    <row r="194" ht="12.0" customHeight="1">
      <c r="A194" s="100"/>
      <c r="B194" s="101"/>
      <c r="C194" s="56"/>
      <c r="D194" s="56"/>
      <c r="E194" s="56"/>
      <c r="F194" s="56"/>
      <c r="G194" s="102"/>
      <c r="H194" s="61"/>
      <c r="I194" s="61"/>
      <c r="J194" s="103"/>
      <c r="K194" s="67"/>
      <c r="L194" s="100"/>
      <c r="M194" s="56"/>
    </row>
    <row r="195" ht="12.0" customHeight="1">
      <c r="A195" s="104"/>
      <c r="B195" s="101"/>
      <c r="C195" s="56"/>
      <c r="D195" s="56"/>
      <c r="E195" s="56"/>
      <c r="F195" s="56"/>
      <c r="G195" s="102"/>
      <c r="H195" s="61"/>
      <c r="I195" s="61"/>
      <c r="J195" s="103"/>
      <c r="K195" s="67"/>
      <c r="L195" s="100"/>
      <c r="M195" s="56"/>
    </row>
    <row r="196" ht="12.0" customHeight="1">
      <c r="A196" s="100"/>
      <c r="B196" s="101"/>
      <c r="C196" s="56"/>
      <c r="D196" s="56"/>
      <c r="E196" s="56"/>
      <c r="F196" s="56"/>
      <c r="G196" s="102"/>
      <c r="H196" s="61"/>
      <c r="I196" s="61"/>
      <c r="J196" s="103"/>
      <c r="K196" s="67"/>
      <c r="L196" s="100"/>
      <c r="M196" s="56"/>
    </row>
    <row r="197" ht="12.0" customHeight="1">
      <c r="A197" s="100"/>
      <c r="B197" s="101"/>
      <c r="C197" s="56"/>
      <c r="D197" s="56"/>
      <c r="E197" s="56"/>
      <c r="F197" s="56"/>
      <c r="G197" s="102"/>
      <c r="H197" s="61"/>
      <c r="I197" s="61"/>
      <c r="J197" s="103"/>
      <c r="K197" s="67"/>
      <c r="L197" s="100"/>
      <c r="M197" s="56"/>
    </row>
    <row r="198" ht="12.0" customHeight="1">
      <c r="A198" s="100"/>
      <c r="B198" s="101"/>
      <c r="C198" s="56"/>
      <c r="D198" s="56"/>
      <c r="E198" s="56"/>
      <c r="F198" s="56"/>
      <c r="G198" s="102"/>
      <c r="H198" s="61"/>
      <c r="I198" s="61"/>
      <c r="J198" s="103"/>
      <c r="K198" s="67"/>
      <c r="L198" s="100"/>
      <c r="M198" s="56"/>
    </row>
    <row r="199" ht="12.0" customHeight="1">
      <c r="A199" s="100"/>
      <c r="B199" s="101"/>
      <c r="C199" s="56"/>
      <c r="D199" s="56"/>
      <c r="E199" s="56"/>
      <c r="F199" s="56"/>
      <c r="G199" s="102"/>
      <c r="H199" s="61"/>
      <c r="I199" s="61"/>
      <c r="J199" s="103"/>
      <c r="K199" s="67"/>
      <c r="L199" s="100"/>
      <c r="M199" s="56"/>
    </row>
    <row r="200" ht="12.0" customHeight="1">
      <c r="A200" s="100"/>
      <c r="B200" s="101"/>
      <c r="C200" s="56"/>
      <c r="D200" s="56"/>
      <c r="E200" s="56"/>
      <c r="F200" s="56"/>
      <c r="G200" s="102"/>
      <c r="H200" s="61"/>
      <c r="I200" s="61"/>
      <c r="J200" s="103"/>
      <c r="K200" s="67"/>
      <c r="L200" s="100"/>
      <c r="M200" s="56"/>
    </row>
    <row r="201" ht="12.0" customHeight="1">
      <c r="A201" s="100"/>
      <c r="B201" s="101"/>
      <c r="C201" s="56"/>
      <c r="D201" s="56"/>
      <c r="E201" s="56"/>
      <c r="F201" s="56"/>
      <c r="G201" s="102"/>
      <c r="H201" s="61"/>
      <c r="I201" s="61"/>
      <c r="J201" s="103"/>
      <c r="K201" s="67"/>
      <c r="L201" s="100"/>
      <c r="M201" s="56"/>
    </row>
    <row r="202" ht="12.0" customHeight="1">
      <c r="A202" s="100"/>
      <c r="B202" s="101"/>
      <c r="C202" s="56"/>
      <c r="D202" s="56"/>
      <c r="E202" s="56"/>
      <c r="F202" s="56"/>
      <c r="G202" s="102"/>
      <c r="H202" s="61"/>
      <c r="I202" s="61"/>
      <c r="J202" s="103"/>
      <c r="K202" s="67"/>
      <c r="L202" s="100"/>
      <c r="M202" s="56"/>
    </row>
    <row r="203" ht="12.0" customHeight="1">
      <c r="A203" s="100"/>
      <c r="B203" s="101"/>
      <c r="C203" s="56"/>
      <c r="D203" s="56"/>
      <c r="E203" s="56"/>
      <c r="F203" s="56"/>
      <c r="G203" s="102"/>
      <c r="H203" s="61"/>
      <c r="I203" s="61"/>
      <c r="J203" s="103"/>
      <c r="K203" s="67"/>
      <c r="L203" s="100"/>
      <c r="M203" s="56"/>
    </row>
    <row r="204" ht="12.0" customHeight="1">
      <c r="A204" s="100"/>
      <c r="B204" s="101"/>
      <c r="C204" s="56"/>
      <c r="D204" s="56"/>
      <c r="E204" s="56"/>
      <c r="F204" s="56"/>
      <c r="G204" s="102"/>
      <c r="H204" s="61"/>
      <c r="I204" s="61"/>
      <c r="J204" s="103"/>
      <c r="K204" s="67"/>
      <c r="L204" s="100"/>
      <c r="M204" s="56"/>
    </row>
    <row r="205" ht="12.0" customHeight="1">
      <c r="A205" s="100"/>
      <c r="B205" s="101"/>
      <c r="C205" s="56"/>
      <c r="D205" s="56"/>
      <c r="E205" s="56"/>
      <c r="F205" s="56"/>
      <c r="G205" s="102"/>
      <c r="H205" s="61"/>
      <c r="I205" s="61"/>
      <c r="J205" s="103"/>
      <c r="K205" s="67"/>
      <c r="L205" s="100"/>
      <c r="M205" s="56"/>
    </row>
    <row r="206" ht="12.0" customHeight="1">
      <c r="A206" s="100"/>
      <c r="B206" s="101"/>
      <c r="C206" s="56"/>
      <c r="D206" s="56"/>
      <c r="E206" s="56"/>
      <c r="F206" s="56"/>
      <c r="G206" s="102"/>
      <c r="H206" s="61"/>
      <c r="I206" s="61"/>
      <c r="J206" s="103"/>
      <c r="K206" s="67"/>
      <c r="L206" s="100"/>
      <c r="M206" s="56"/>
    </row>
    <row r="207" ht="12.0" customHeight="1">
      <c r="A207" s="100"/>
      <c r="B207" s="101"/>
      <c r="C207" s="56"/>
      <c r="D207" s="56"/>
      <c r="E207" s="56"/>
      <c r="F207" s="56"/>
      <c r="G207" s="102"/>
      <c r="H207" s="61"/>
      <c r="I207" s="61"/>
      <c r="J207" s="103"/>
      <c r="K207" s="67"/>
      <c r="L207" s="100"/>
      <c r="M207" s="56"/>
    </row>
    <row r="208" ht="12.0" customHeight="1">
      <c r="A208" s="100"/>
      <c r="B208" s="101"/>
      <c r="C208" s="56"/>
      <c r="D208" s="56"/>
      <c r="E208" s="56"/>
      <c r="F208" s="56"/>
      <c r="G208" s="102"/>
      <c r="H208" s="61"/>
      <c r="I208" s="61"/>
      <c r="J208" s="103"/>
      <c r="K208" s="67"/>
      <c r="L208" s="100"/>
      <c r="M208" s="56"/>
    </row>
    <row r="209" ht="12.0" customHeight="1">
      <c r="A209" s="104"/>
      <c r="B209" s="101"/>
      <c r="C209" s="56"/>
      <c r="D209" s="56"/>
      <c r="E209" s="56"/>
      <c r="F209" s="56"/>
      <c r="G209" s="102"/>
      <c r="H209" s="61"/>
      <c r="I209" s="61"/>
      <c r="J209" s="103"/>
      <c r="K209" s="67"/>
      <c r="L209" s="100"/>
      <c r="M209" s="56"/>
    </row>
    <row r="210" ht="12.0" customHeight="1">
      <c r="A210" s="100"/>
      <c r="B210" s="101"/>
      <c r="C210" s="56"/>
      <c r="D210" s="56"/>
      <c r="E210" s="56"/>
      <c r="F210" s="56"/>
      <c r="G210" s="102"/>
      <c r="H210" s="61"/>
      <c r="I210" s="61"/>
      <c r="J210" s="103"/>
      <c r="K210" s="67"/>
      <c r="L210" s="100"/>
      <c r="M210" s="56"/>
    </row>
    <row r="211" ht="12.0" customHeight="1">
      <c r="A211" s="100"/>
      <c r="B211" s="101"/>
      <c r="C211" s="56"/>
      <c r="D211" s="56"/>
      <c r="E211" s="56"/>
      <c r="F211" s="56"/>
      <c r="G211" s="102"/>
      <c r="H211" s="61"/>
      <c r="I211" s="61"/>
      <c r="J211" s="103"/>
      <c r="K211" s="67"/>
      <c r="L211" s="100"/>
      <c r="M211" s="56"/>
    </row>
    <row r="212" ht="12.0" customHeight="1">
      <c r="A212" s="100"/>
      <c r="B212" s="101"/>
      <c r="C212" s="56"/>
      <c r="D212" s="56"/>
      <c r="E212" s="56"/>
      <c r="F212" s="56"/>
      <c r="G212" s="102"/>
      <c r="H212" s="61"/>
      <c r="I212" s="61"/>
      <c r="J212" s="103"/>
      <c r="K212" s="67"/>
      <c r="L212" s="100"/>
      <c r="M212" s="56"/>
    </row>
    <row r="213" ht="12.0" customHeight="1">
      <c r="A213" s="100"/>
      <c r="B213" s="101"/>
      <c r="C213" s="56"/>
      <c r="D213" s="56"/>
      <c r="E213" s="56"/>
      <c r="F213" s="56"/>
      <c r="G213" s="102"/>
      <c r="H213" s="61"/>
      <c r="I213" s="61"/>
      <c r="J213" s="103"/>
      <c r="K213" s="67"/>
      <c r="L213" s="100"/>
      <c r="M213" s="56"/>
    </row>
    <row r="214" ht="12.0" customHeight="1">
      <c r="A214" s="100"/>
      <c r="B214" s="101"/>
      <c r="C214" s="56"/>
      <c r="D214" s="56"/>
      <c r="E214" s="56"/>
      <c r="F214" s="56"/>
      <c r="G214" s="102"/>
      <c r="H214" s="61"/>
      <c r="I214" s="61"/>
      <c r="J214" s="103"/>
      <c r="K214" s="67"/>
      <c r="L214" s="100"/>
      <c r="M214" s="56"/>
    </row>
    <row r="215" ht="12.0" customHeight="1">
      <c r="A215" s="104"/>
      <c r="B215" s="101"/>
      <c r="C215" s="56"/>
      <c r="D215" s="56"/>
      <c r="E215" s="56"/>
      <c r="F215" s="56"/>
      <c r="G215" s="102"/>
      <c r="H215" s="61"/>
      <c r="I215" s="61"/>
      <c r="J215" s="103"/>
      <c r="K215" s="67"/>
      <c r="L215" s="100"/>
      <c r="M215" s="56"/>
    </row>
    <row r="216" ht="12.0" customHeight="1">
      <c r="A216" s="100"/>
      <c r="B216" s="101"/>
      <c r="C216" s="56"/>
      <c r="D216" s="56"/>
      <c r="E216" s="56"/>
      <c r="F216" s="56"/>
      <c r="G216" s="102"/>
      <c r="H216" s="61"/>
      <c r="I216" s="61"/>
      <c r="J216" s="103"/>
      <c r="K216" s="67"/>
      <c r="L216" s="100"/>
      <c r="M216" s="56"/>
    </row>
    <row r="217" ht="12.0" customHeight="1">
      <c r="A217" s="100"/>
      <c r="B217" s="101"/>
      <c r="C217" s="56"/>
      <c r="D217" s="56"/>
      <c r="E217" s="56"/>
      <c r="F217" s="56"/>
      <c r="G217" s="102"/>
      <c r="H217" s="61"/>
      <c r="I217" s="61"/>
      <c r="J217" s="103"/>
      <c r="K217" s="67"/>
      <c r="L217" s="100"/>
      <c r="M217" s="56"/>
    </row>
    <row r="218" ht="12.0" customHeight="1">
      <c r="A218" s="100"/>
      <c r="B218" s="101"/>
      <c r="C218" s="56"/>
      <c r="D218" s="56"/>
      <c r="E218" s="56"/>
      <c r="F218" s="56"/>
      <c r="G218" s="102"/>
      <c r="H218" s="61"/>
      <c r="I218" s="61"/>
      <c r="J218" s="103"/>
      <c r="K218" s="67"/>
      <c r="L218" s="100"/>
      <c r="M218" s="56"/>
    </row>
    <row r="219" ht="12.0" customHeight="1">
      <c r="A219" s="100"/>
      <c r="B219" s="101"/>
      <c r="C219" s="56"/>
      <c r="D219" s="56"/>
      <c r="E219" s="56"/>
      <c r="F219" s="56"/>
      <c r="G219" s="102"/>
      <c r="H219" s="61"/>
      <c r="I219" s="61"/>
      <c r="J219" s="103"/>
      <c r="K219" s="67"/>
      <c r="L219" s="100"/>
      <c r="M219" s="56"/>
    </row>
    <row r="220" ht="12.0" customHeight="1">
      <c r="A220" s="100"/>
      <c r="B220" s="101"/>
      <c r="C220" s="56"/>
      <c r="D220" s="56"/>
      <c r="E220" s="56"/>
      <c r="F220" s="56"/>
      <c r="G220" s="102"/>
      <c r="H220" s="61"/>
      <c r="I220" s="61"/>
      <c r="J220" s="103"/>
      <c r="K220" s="67"/>
      <c r="L220" s="100"/>
      <c r="M220" s="56"/>
    </row>
    <row r="221" ht="12.0" customHeight="1">
      <c r="A221" s="100"/>
      <c r="B221" s="101"/>
      <c r="C221" s="56"/>
      <c r="D221" s="56"/>
      <c r="E221" s="56"/>
      <c r="F221" s="105"/>
      <c r="G221" s="102"/>
      <c r="H221" s="61"/>
      <c r="I221" s="61"/>
      <c r="J221" s="103"/>
      <c r="K221" s="67"/>
      <c r="L221" s="100"/>
      <c r="M221" s="56"/>
    </row>
    <row r="222" ht="12.0" customHeight="1">
      <c r="A222" s="100"/>
      <c r="B222" s="101"/>
      <c r="C222" s="56"/>
      <c r="D222" s="56"/>
      <c r="E222" s="56"/>
      <c r="F222" s="56"/>
      <c r="G222" s="102"/>
      <c r="H222" s="61"/>
      <c r="I222" s="61"/>
      <c r="J222" s="103"/>
      <c r="K222" s="67"/>
      <c r="L222" s="100"/>
      <c r="M222" s="56"/>
    </row>
    <row r="223" ht="12.0" customHeight="1">
      <c r="A223" s="100"/>
      <c r="B223" s="101"/>
      <c r="C223" s="56"/>
      <c r="D223" s="56"/>
      <c r="E223" s="56"/>
      <c r="F223" s="56"/>
      <c r="G223" s="102"/>
      <c r="H223" s="61"/>
      <c r="I223" s="61"/>
      <c r="J223" s="103"/>
      <c r="K223" s="67"/>
      <c r="L223" s="100"/>
      <c r="M223" s="56"/>
    </row>
    <row r="224" ht="12.0" customHeight="1">
      <c r="A224" s="100"/>
      <c r="B224" s="101"/>
      <c r="C224" s="56"/>
      <c r="D224" s="56"/>
      <c r="E224" s="56"/>
      <c r="F224" s="56"/>
      <c r="G224" s="102"/>
      <c r="H224" s="61"/>
      <c r="I224" s="61"/>
      <c r="J224" s="103"/>
      <c r="K224" s="67"/>
      <c r="L224" s="100"/>
      <c r="M224" s="56"/>
    </row>
    <row r="225" ht="12.0" customHeight="1">
      <c r="A225" s="100"/>
      <c r="B225" s="101"/>
      <c r="C225" s="56"/>
      <c r="D225" s="56"/>
      <c r="E225" s="56"/>
      <c r="F225" s="56"/>
      <c r="G225" s="102"/>
      <c r="H225" s="61"/>
      <c r="I225" s="61"/>
      <c r="J225" s="103"/>
      <c r="K225" s="67"/>
      <c r="L225" s="100"/>
      <c r="M225" s="56"/>
    </row>
    <row r="226" ht="12.0" customHeight="1">
      <c r="A226" s="100"/>
      <c r="B226" s="101"/>
      <c r="C226" s="56"/>
      <c r="D226" s="56"/>
      <c r="E226" s="56"/>
      <c r="F226" s="56"/>
      <c r="G226" s="102"/>
      <c r="H226" s="61"/>
      <c r="I226" s="61"/>
      <c r="J226" s="103"/>
      <c r="K226" s="67"/>
      <c r="L226" s="100"/>
      <c r="M226" s="56"/>
    </row>
    <row r="227" ht="12.0" customHeight="1">
      <c r="A227" s="100"/>
      <c r="B227" s="101"/>
      <c r="C227" s="56"/>
      <c r="D227" s="56"/>
      <c r="E227" s="56"/>
      <c r="F227" s="56"/>
      <c r="G227" s="102"/>
      <c r="H227" s="61"/>
      <c r="I227" s="61"/>
      <c r="J227" s="103"/>
      <c r="K227" s="67"/>
      <c r="L227" s="100"/>
      <c r="M227" s="56"/>
    </row>
    <row r="228" ht="12.0" customHeight="1">
      <c r="A228" s="100"/>
      <c r="B228" s="101"/>
      <c r="C228" s="56"/>
      <c r="D228" s="56"/>
      <c r="E228" s="56"/>
      <c r="F228" s="56"/>
      <c r="G228" s="102"/>
      <c r="H228" s="61"/>
      <c r="I228" s="61"/>
      <c r="J228" s="103"/>
      <c r="K228" s="67"/>
      <c r="L228" s="100"/>
      <c r="M228" s="56"/>
    </row>
    <row r="229" ht="12.0" customHeight="1">
      <c r="A229" s="100"/>
      <c r="B229" s="101"/>
      <c r="C229" s="56"/>
      <c r="D229" s="56"/>
      <c r="E229" s="56"/>
      <c r="F229" s="56"/>
      <c r="G229" s="102"/>
      <c r="H229" s="61"/>
      <c r="I229" s="61"/>
      <c r="J229" s="103"/>
      <c r="K229" s="67"/>
      <c r="L229" s="100"/>
      <c r="M229" s="56"/>
    </row>
    <row r="230" ht="12.0" customHeight="1">
      <c r="A230" s="100"/>
      <c r="B230" s="101"/>
      <c r="C230" s="56"/>
      <c r="D230" s="56"/>
      <c r="E230" s="56"/>
      <c r="F230" s="56"/>
      <c r="G230" s="102"/>
      <c r="H230" s="61"/>
      <c r="I230" s="61"/>
      <c r="J230" s="103"/>
      <c r="K230" s="67"/>
      <c r="L230" s="100"/>
      <c r="M230" s="56"/>
    </row>
    <row r="231" ht="12.0" customHeight="1">
      <c r="A231" s="100"/>
      <c r="B231" s="101"/>
      <c r="C231" s="56"/>
      <c r="D231" s="56"/>
      <c r="E231" s="56"/>
      <c r="F231" s="56"/>
      <c r="G231" s="102"/>
      <c r="H231" s="61"/>
      <c r="I231" s="61"/>
      <c r="J231" s="103"/>
      <c r="K231" s="67"/>
      <c r="L231" s="100"/>
      <c r="M231" s="56"/>
    </row>
    <row r="232" ht="12.0" customHeight="1">
      <c r="A232" s="100"/>
      <c r="B232" s="101"/>
      <c r="C232" s="56"/>
      <c r="D232" s="56"/>
      <c r="E232" s="56"/>
      <c r="F232" s="56"/>
      <c r="G232" s="102"/>
      <c r="H232" s="61"/>
      <c r="I232" s="61"/>
      <c r="J232" s="103"/>
      <c r="K232" s="67"/>
      <c r="L232" s="100"/>
      <c r="M232" s="56"/>
    </row>
    <row r="233" ht="12.0" customHeight="1">
      <c r="A233" s="100"/>
      <c r="B233" s="101"/>
      <c r="C233" s="56"/>
      <c r="D233" s="56"/>
      <c r="E233" s="56"/>
      <c r="F233" s="56"/>
      <c r="G233" s="102"/>
      <c r="H233" s="61"/>
      <c r="I233" s="61"/>
      <c r="J233" s="103"/>
      <c r="K233" s="67"/>
      <c r="L233" s="100"/>
      <c r="M233" s="56"/>
    </row>
    <row r="234" ht="12.0" customHeight="1">
      <c r="A234" s="100"/>
      <c r="B234" s="101"/>
      <c r="C234" s="56"/>
      <c r="D234" s="56"/>
      <c r="E234" s="56"/>
      <c r="F234" s="56"/>
      <c r="G234" s="102"/>
      <c r="H234" s="61"/>
      <c r="I234" s="61"/>
      <c r="J234" s="103"/>
      <c r="K234" s="67"/>
      <c r="L234" s="100"/>
      <c r="M234" s="56"/>
    </row>
    <row r="235" ht="12.0" customHeight="1">
      <c r="A235" s="100"/>
      <c r="B235" s="101"/>
      <c r="C235" s="56"/>
      <c r="D235" s="56"/>
      <c r="E235" s="56"/>
      <c r="F235" s="56"/>
      <c r="G235" s="102"/>
      <c r="H235" s="61"/>
      <c r="I235" s="61"/>
      <c r="J235" s="103"/>
      <c r="K235" s="67"/>
      <c r="L235" s="100"/>
      <c r="M235" s="56"/>
    </row>
    <row r="236" ht="12.0" customHeight="1">
      <c r="A236" s="100"/>
      <c r="B236" s="101"/>
      <c r="C236" s="56"/>
      <c r="D236" s="56"/>
      <c r="E236" s="56"/>
      <c r="F236" s="56"/>
      <c r="G236" s="102"/>
      <c r="H236" s="61"/>
      <c r="I236" s="61"/>
      <c r="J236" s="103"/>
      <c r="K236" s="67"/>
      <c r="L236" s="100"/>
      <c r="M236" s="56"/>
    </row>
    <row r="237" ht="12.0" customHeight="1">
      <c r="A237" s="100"/>
      <c r="B237" s="101"/>
      <c r="C237" s="56"/>
      <c r="D237" s="56"/>
      <c r="E237" s="56"/>
      <c r="F237" s="56"/>
      <c r="G237" s="102"/>
      <c r="H237" s="61"/>
      <c r="I237" s="61"/>
      <c r="J237" s="103"/>
      <c r="K237" s="67"/>
      <c r="L237" s="100"/>
      <c r="M237" s="56"/>
    </row>
    <row r="238" ht="12.0" customHeight="1">
      <c r="A238" s="100"/>
      <c r="B238" s="101"/>
      <c r="C238" s="56"/>
      <c r="D238" s="56"/>
      <c r="E238" s="56"/>
      <c r="F238" s="56"/>
      <c r="G238" s="102"/>
      <c r="H238" s="61"/>
      <c r="I238" s="61"/>
      <c r="J238" s="103"/>
      <c r="K238" s="67"/>
      <c r="L238" s="100"/>
      <c r="M238" s="56"/>
    </row>
    <row r="239" ht="12.0" customHeight="1">
      <c r="A239" s="100"/>
      <c r="B239" s="101"/>
      <c r="C239" s="56"/>
      <c r="D239" s="56"/>
      <c r="E239" s="56"/>
      <c r="F239" s="56"/>
      <c r="G239" s="102"/>
      <c r="H239" s="61"/>
      <c r="I239" s="61"/>
      <c r="J239" s="103"/>
      <c r="K239" s="67"/>
      <c r="L239" s="100"/>
      <c r="M239" s="56"/>
    </row>
    <row r="240" ht="12.0" customHeight="1">
      <c r="A240" s="100"/>
      <c r="B240" s="101"/>
      <c r="C240" s="56"/>
      <c r="D240" s="56"/>
      <c r="E240" s="56"/>
      <c r="F240" s="56"/>
      <c r="G240" s="102"/>
      <c r="H240" s="61"/>
      <c r="I240" s="61"/>
      <c r="J240" s="103"/>
      <c r="K240" s="67"/>
      <c r="L240" s="100"/>
      <c r="M240" s="56"/>
    </row>
    <row r="241" ht="12.0" customHeight="1">
      <c r="A241" s="100"/>
      <c r="B241" s="101"/>
      <c r="C241" s="56"/>
      <c r="D241" s="56"/>
      <c r="E241" s="56"/>
      <c r="F241" s="56"/>
      <c r="G241" s="102"/>
      <c r="H241" s="61"/>
      <c r="I241" s="61"/>
      <c r="J241" s="103"/>
      <c r="K241" s="67"/>
      <c r="L241" s="100"/>
      <c r="M241" s="56"/>
    </row>
    <row r="242" ht="12.0" customHeight="1">
      <c r="A242" s="100"/>
      <c r="B242" s="101"/>
      <c r="C242" s="56"/>
      <c r="D242" s="56"/>
      <c r="E242" s="56"/>
      <c r="F242" s="56"/>
      <c r="G242" s="102"/>
      <c r="H242" s="61"/>
      <c r="I242" s="61"/>
      <c r="J242" s="103"/>
      <c r="K242" s="67"/>
      <c r="L242" s="100"/>
      <c r="M242" s="56"/>
    </row>
    <row r="243" ht="12.0" customHeight="1">
      <c r="A243" s="100"/>
      <c r="B243" s="101"/>
      <c r="C243" s="56"/>
      <c r="D243" s="56"/>
      <c r="E243" s="56"/>
      <c r="F243" s="56"/>
      <c r="G243" s="102"/>
      <c r="H243" s="61"/>
      <c r="I243" s="61"/>
      <c r="J243" s="103"/>
      <c r="K243" s="67"/>
      <c r="L243" s="100"/>
      <c r="M243" s="56"/>
    </row>
    <row r="244" ht="12.0" customHeight="1">
      <c r="A244" s="100"/>
      <c r="B244" s="101"/>
      <c r="C244" s="56"/>
      <c r="D244" s="56"/>
      <c r="E244" s="56"/>
      <c r="F244" s="56"/>
      <c r="G244" s="102"/>
      <c r="H244" s="61"/>
      <c r="I244" s="61"/>
      <c r="J244" s="103"/>
      <c r="K244" s="67"/>
      <c r="L244" s="100"/>
      <c r="M244" s="56"/>
    </row>
    <row r="245" ht="12.0" customHeight="1">
      <c r="A245" s="100"/>
      <c r="B245" s="101"/>
      <c r="C245" s="56"/>
      <c r="D245" s="56"/>
      <c r="E245" s="56"/>
      <c r="F245" s="56"/>
      <c r="G245" s="102"/>
      <c r="H245" s="61"/>
      <c r="I245" s="61"/>
      <c r="J245" s="103"/>
      <c r="K245" s="67"/>
      <c r="L245" s="100"/>
      <c r="M245" s="56"/>
    </row>
    <row r="246" ht="12.0" customHeight="1">
      <c r="A246" s="100"/>
      <c r="B246" s="101"/>
      <c r="C246" s="56"/>
      <c r="D246" s="56"/>
      <c r="E246" s="56"/>
      <c r="F246" s="56"/>
      <c r="G246" s="102"/>
      <c r="H246" s="61"/>
      <c r="I246" s="61"/>
      <c r="J246" s="103"/>
      <c r="K246" s="67"/>
      <c r="L246" s="100"/>
      <c r="M246" s="56"/>
    </row>
    <row r="247" ht="12.0" customHeight="1">
      <c r="A247" s="100"/>
      <c r="B247" s="101"/>
      <c r="C247" s="56"/>
      <c r="D247" s="56"/>
      <c r="E247" s="56"/>
      <c r="F247" s="56"/>
      <c r="G247" s="102"/>
      <c r="H247" s="61"/>
      <c r="I247" s="61"/>
      <c r="J247" s="103"/>
      <c r="K247" s="67"/>
      <c r="L247" s="100"/>
      <c r="M247" s="56"/>
    </row>
    <row r="248" ht="12.0" customHeight="1">
      <c r="A248" s="100"/>
      <c r="B248" s="101"/>
      <c r="C248" s="56"/>
      <c r="D248" s="56"/>
      <c r="E248" s="56"/>
      <c r="F248" s="56"/>
      <c r="G248" s="102"/>
      <c r="H248" s="61"/>
      <c r="I248" s="61"/>
      <c r="J248" s="103"/>
      <c r="K248" s="67"/>
      <c r="L248" s="100"/>
      <c r="M248" s="56"/>
    </row>
    <row r="249" ht="12.0" customHeight="1">
      <c r="A249" s="100"/>
      <c r="B249" s="101"/>
      <c r="C249" s="56"/>
      <c r="D249" s="56"/>
      <c r="E249" s="56"/>
      <c r="F249" s="56"/>
      <c r="G249" s="102"/>
      <c r="H249" s="61"/>
      <c r="I249" s="61"/>
      <c r="J249" s="103"/>
      <c r="K249" s="67"/>
      <c r="L249" s="100"/>
      <c r="M249" s="56"/>
    </row>
    <row r="250" ht="12.0" customHeight="1">
      <c r="A250" s="100"/>
      <c r="B250" s="101"/>
      <c r="C250" s="56"/>
      <c r="D250" s="56"/>
      <c r="E250" s="56"/>
      <c r="F250" s="56"/>
      <c r="G250" s="102"/>
      <c r="H250" s="61"/>
      <c r="I250" s="61"/>
      <c r="J250" s="103"/>
      <c r="K250" s="67"/>
      <c r="L250" s="100"/>
      <c r="M250" s="56"/>
    </row>
    <row r="251" ht="12.0" customHeight="1">
      <c r="A251" s="100"/>
      <c r="B251" s="101"/>
      <c r="C251" s="56"/>
      <c r="D251" s="56"/>
      <c r="E251" s="56"/>
      <c r="F251" s="56"/>
      <c r="G251" s="102"/>
      <c r="H251" s="61"/>
      <c r="I251" s="61"/>
      <c r="J251" s="103"/>
      <c r="K251" s="67"/>
      <c r="L251" s="100"/>
      <c r="M251" s="56"/>
    </row>
    <row r="252" ht="12.0" customHeight="1">
      <c r="A252" s="106"/>
      <c r="B252" s="41"/>
      <c r="E252" s="41"/>
      <c r="G252" s="107"/>
      <c r="H252" s="36"/>
      <c r="I252" s="108"/>
      <c r="J252" s="47"/>
      <c r="K252" s="109"/>
      <c r="L252" s="110"/>
      <c r="M252" s="109"/>
    </row>
    <row r="253" ht="12.0" customHeight="1">
      <c r="A253" s="106"/>
      <c r="B253" s="41"/>
      <c r="E253" s="41"/>
      <c r="G253" s="107"/>
      <c r="H253" s="36"/>
      <c r="I253" s="108"/>
      <c r="J253" s="47"/>
      <c r="K253" s="109"/>
      <c r="L253" s="110"/>
      <c r="M253" s="109"/>
    </row>
    <row r="254" ht="12.0" customHeight="1">
      <c r="A254" s="106"/>
      <c r="B254" s="41"/>
      <c r="E254" s="41"/>
      <c r="G254" s="107"/>
      <c r="H254" s="36"/>
      <c r="I254" s="108"/>
      <c r="J254" s="47"/>
      <c r="K254" s="109"/>
      <c r="L254" s="110"/>
      <c r="M254" s="109"/>
    </row>
    <row r="255" ht="12.0" customHeight="1">
      <c r="A255" s="106"/>
      <c r="B255" s="41"/>
      <c r="E255" s="41"/>
      <c r="G255" s="107"/>
      <c r="H255" s="36"/>
      <c r="I255" s="108"/>
      <c r="J255" s="47"/>
      <c r="K255" s="109"/>
      <c r="L255" s="110"/>
      <c r="M255" s="109"/>
    </row>
    <row r="256" ht="12.0" customHeight="1">
      <c r="A256" s="106"/>
      <c r="B256" s="41"/>
      <c r="E256" s="41"/>
      <c r="G256" s="107"/>
      <c r="H256" s="36"/>
      <c r="I256" s="108"/>
      <c r="J256" s="47"/>
      <c r="K256" s="109"/>
      <c r="L256" s="110"/>
      <c r="M256" s="109"/>
    </row>
    <row r="257" ht="12.0" customHeight="1">
      <c r="A257" s="106"/>
      <c r="B257" s="41"/>
      <c r="E257" s="41"/>
      <c r="G257" s="107"/>
      <c r="H257" s="36"/>
      <c r="I257" s="108"/>
      <c r="J257" s="47"/>
      <c r="K257" s="109"/>
      <c r="L257" s="110"/>
      <c r="M257" s="109"/>
    </row>
    <row r="258" ht="12.0" customHeight="1">
      <c r="A258" s="106"/>
      <c r="B258" s="41"/>
      <c r="E258" s="41"/>
      <c r="G258" s="107"/>
      <c r="H258" s="36"/>
      <c r="I258" s="108"/>
      <c r="J258" s="47"/>
      <c r="K258" s="109"/>
      <c r="L258" s="110"/>
      <c r="M258" s="109"/>
    </row>
    <row r="259" ht="12.0" customHeight="1">
      <c r="A259" s="106"/>
      <c r="B259" s="41"/>
      <c r="E259" s="41"/>
      <c r="G259" s="107"/>
      <c r="H259" s="36"/>
      <c r="I259" s="108"/>
      <c r="J259" s="47"/>
      <c r="K259" s="109"/>
      <c r="L259" s="110"/>
      <c r="M259" s="109"/>
    </row>
    <row r="260" ht="12.0" customHeight="1">
      <c r="A260" s="106"/>
      <c r="B260" s="41"/>
      <c r="E260" s="41"/>
      <c r="G260" s="107"/>
      <c r="H260" s="36"/>
      <c r="I260" s="108"/>
      <c r="J260" s="47"/>
      <c r="K260" s="109"/>
      <c r="L260" s="110"/>
      <c r="M260" s="109"/>
    </row>
    <row r="261" ht="12.0" customHeight="1">
      <c r="A261" s="106"/>
      <c r="B261" s="41"/>
      <c r="E261" s="41"/>
      <c r="G261" s="107"/>
      <c r="H261" s="36"/>
      <c r="I261" s="108"/>
      <c r="J261" s="47"/>
      <c r="K261" s="109"/>
      <c r="L261" s="110"/>
      <c r="M261" s="109"/>
    </row>
    <row r="262" ht="12.0" customHeight="1">
      <c r="A262" s="106"/>
      <c r="B262" s="41"/>
      <c r="E262" s="41"/>
      <c r="G262" s="107"/>
      <c r="H262" s="36"/>
      <c r="I262" s="108"/>
      <c r="J262" s="47"/>
      <c r="K262" s="109"/>
      <c r="L262" s="110"/>
      <c r="M262" s="109"/>
    </row>
    <row r="263" ht="12.0" customHeight="1">
      <c r="A263" s="106"/>
      <c r="B263" s="41"/>
      <c r="E263" s="41"/>
      <c r="G263" s="107"/>
      <c r="H263" s="36"/>
      <c r="I263" s="108"/>
      <c r="J263" s="47"/>
      <c r="K263" s="109"/>
      <c r="L263" s="110"/>
      <c r="M263" s="109"/>
    </row>
    <row r="264" ht="12.0" customHeight="1">
      <c r="A264" s="106"/>
      <c r="B264" s="41"/>
      <c r="E264" s="41"/>
      <c r="G264" s="107"/>
      <c r="H264" s="36"/>
      <c r="I264" s="108"/>
      <c r="J264" s="47"/>
      <c r="K264" s="109"/>
      <c r="L264" s="110"/>
      <c r="M264" s="109"/>
    </row>
    <row r="265" ht="12.0" customHeight="1">
      <c r="A265" s="106"/>
      <c r="B265" s="41"/>
      <c r="E265" s="41"/>
      <c r="G265" s="107"/>
      <c r="H265" s="36"/>
      <c r="I265" s="108"/>
      <c r="J265" s="47"/>
      <c r="K265" s="109"/>
      <c r="L265" s="110"/>
      <c r="M265" s="109"/>
    </row>
    <row r="266" ht="12.0" customHeight="1">
      <c r="A266" s="106"/>
      <c r="B266" s="41"/>
      <c r="E266" s="41"/>
      <c r="G266" s="107"/>
      <c r="H266" s="36"/>
      <c r="I266" s="108"/>
      <c r="J266" s="47"/>
      <c r="K266" s="109"/>
      <c r="L266" s="110"/>
      <c r="M266" s="109"/>
    </row>
    <row r="267" ht="12.0" customHeight="1">
      <c r="A267" s="106"/>
      <c r="B267" s="41"/>
      <c r="E267" s="41"/>
      <c r="G267" s="107"/>
      <c r="H267" s="36"/>
      <c r="I267" s="108"/>
      <c r="J267" s="47"/>
      <c r="K267" s="109"/>
      <c r="L267" s="110"/>
      <c r="M267" s="109"/>
    </row>
    <row r="268" ht="12.0" customHeight="1">
      <c r="A268" s="106"/>
      <c r="B268" s="41"/>
      <c r="E268" s="41"/>
      <c r="G268" s="107"/>
      <c r="H268" s="36"/>
      <c r="I268" s="108"/>
      <c r="J268" s="47"/>
      <c r="K268" s="109"/>
      <c r="L268" s="110"/>
      <c r="M268" s="109"/>
    </row>
    <row r="269" ht="12.0" customHeight="1">
      <c r="A269" s="106"/>
      <c r="B269" s="41"/>
      <c r="E269" s="41"/>
      <c r="G269" s="107"/>
      <c r="H269" s="36"/>
      <c r="I269" s="108"/>
      <c r="J269" s="47"/>
      <c r="K269" s="109"/>
      <c r="L269" s="110"/>
      <c r="M269" s="109"/>
    </row>
    <row r="270" ht="12.0" customHeight="1">
      <c r="A270" s="106"/>
      <c r="B270" s="41"/>
      <c r="E270" s="41"/>
      <c r="G270" s="107"/>
      <c r="H270" s="36"/>
      <c r="I270" s="108"/>
      <c r="J270" s="47"/>
      <c r="K270" s="109"/>
      <c r="L270" s="110"/>
      <c r="M270" s="109"/>
    </row>
    <row r="271" ht="12.0" customHeight="1">
      <c r="A271" s="106"/>
      <c r="B271" s="41"/>
      <c r="E271" s="41"/>
      <c r="G271" s="107"/>
      <c r="H271" s="36"/>
      <c r="I271" s="108"/>
      <c r="J271" s="47"/>
      <c r="K271" s="109"/>
      <c r="L271" s="110"/>
      <c r="M271" s="109"/>
    </row>
    <row r="272" ht="12.0" customHeight="1">
      <c r="A272" s="106"/>
      <c r="B272" s="41"/>
      <c r="E272" s="41"/>
      <c r="G272" s="107"/>
      <c r="H272" s="36"/>
      <c r="I272" s="108"/>
      <c r="J272" s="47"/>
      <c r="K272" s="109"/>
      <c r="L272" s="110"/>
      <c r="M272" s="109"/>
    </row>
    <row r="273" ht="12.0" customHeight="1">
      <c r="A273" s="106"/>
      <c r="B273" s="41"/>
      <c r="E273" s="41"/>
      <c r="G273" s="107"/>
      <c r="H273" s="36"/>
      <c r="I273" s="108"/>
      <c r="J273" s="47"/>
      <c r="K273" s="109"/>
      <c r="L273" s="110"/>
      <c r="M273" s="109"/>
    </row>
    <row r="274" ht="12.0" customHeight="1">
      <c r="A274" s="106"/>
      <c r="B274" s="41"/>
      <c r="E274" s="41"/>
      <c r="G274" s="107"/>
      <c r="H274" s="36"/>
      <c r="I274" s="108"/>
      <c r="J274" s="47"/>
      <c r="K274" s="109"/>
      <c r="L274" s="110"/>
      <c r="M274" s="109"/>
    </row>
    <row r="275" ht="12.0" customHeight="1">
      <c r="A275" s="106"/>
      <c r="B275" s="41"/>
      <c r="E275" s="41"/>
      <c r="G275" s="107"/>
      <c r="H275" s="36"/>
      <c r="I275" s="108"/>
      <c r="J275" s="47"/>
      <c r="K275" s="109"/>
      <c r="L275" s="110"/>
      <c r="M275" s="109"/>
    </row>
    <row r="276" ht="12.0" customHeight="1">
      <c r="A276" s="106"/>
      <c r="B276" s="41"/>
      <c r="E276" s="41"/>
      <c r="G276" s="107"/>
      <c r="H276" s="36"/>
      <c r="I276" s="108"/>
      <c r="J276" s="47"/>
      <c r="K276" s="109"/>
      <c r="L276" s="110"/>
      <c r="M276" s="109"/>
    </row>
    <row r="277" ht="12.0" customHeight="1">
      <c r="A277" s="106"/>
      <c r="B277" s="41"/>
      <c r="E277" s="41"/>
      <c r="G277" s="107"/>
      <c r="H277" s="36"/>
      <c r="I277" s="108"/>
      <c r="J277" s="47"/>
      <c r="K277" s="109"/>
      <c r="L277" s="110"/>
      <c r="M277" s="109"/>
    </row>
    <row r="278" ht="12.0" customHeight="1">
      <c r="A278" s="106"/>
      <c r="B278" s="41"/>
      <c r="E278" s="41"/>
      <c r="G278" s="107"/>
      <c r="H278" s="36"/>
      <c r="I278" s="108"/>
      <c r="J278" s="47"/>
      <c r="K278" s="109"/>
      <c r="L278" s="110"/>
      <c r="M278" s="109"/>
    </row>
    <row r="279" ht="12.0" customHeight="1">
      <c r="A279" s="106"/>
      <c r="B279" s="41"/>
      <c r="E279" s="41"/>
      <c r="G279" s="107"/>
      <c r="H279" s="36"/>
      <c r="I279" s="108"/>
      <c r="J279" s="47"/>
      <c r="K279" s="109"/>
      <c r="L279" s="110"/>
      <c r="M279" s="109"/>
    </row>
    <row r="280" ht="12.0" customHeight="1">
      <c r="A280" s="106"/>
      <c r="B280" s="41"/>
      <c r="E280" s="41"/>
      <c r="G280" s="107"/>
      <c r="H280" s="36"/>
      <c r="I280" s="108"/>
      <c r="J280" s="47"/>
      <c r="K280" s="109"/>
      <c r="L280" s="110"/>
      <c r="M280" s="109"/>
    </row>
    <row r="281" ht="12.0" customHeight="1">
      <c r="A281" s="106"/>
      <c r="B281" s="41"/>
      <c r="E281" s="41"/>
      <c r="G281" s="107"/>
      <c r="H281" s="36"/>
      <c r="I281" s="108"/>
      <c r="J281" s="47"/>
      <c r="K281" s="109"/>
      <c r="L281" s="110"/>
      <c r="M281" s="109"/>
    </row>
    <row r="282" ht="12.0" customHeight="1">
      <c r="A282" s="106"/>
      <c r="B282" s="41"/>
      <c r="E282" s="41"/>
      <c r="G282" s="107"/>
      <c r="H282" s="36"/>
      <c r="I282" s="108"/>
      <c r="J282" s="47"/>
      <c r="K282" s="109"/>
      <c r="L282" s="110"/>
      <c r="M282" s="109"/>
    </row>
    <row r="283" ht="12.0" customHeight="1">
      <c r="A283" s="106"/>
      <c r="B283" s="41"/>
      <c r="E283" s="41"/>
      <c r="G283" s="107"/>
      <c r="H283" s="36"/>
      <c r="I283" s="108"/>
      <c r="J283" s="47"/>
      <c r="K283" s="109"/>
      <c r="L283" s="110"/>
      <c r="M283" s="109"/>
    </row>
    <row r="284" ht="12.0" customHeight="1">
      <c r="A284" s="106"/>
      <c r="B284" s="41"/>
      <c r="E284" s="41"/>
      <c r="G284" s="107"/>
      <c r="H284" s="36"/>
      <c r="I284" s="108"/>
      <c r="J284" s="47"/>
      <c r="K284" s="109"/>
      <c r="L284" s="110"/>
      <c r="M284" s="109"/>
    </row>
    <row r="285" ht="12.0" customHeight="1">
      <c r="A285" s="106"/>
      <c r="B285" s="41"/>
      <c r="E285" s="41"/>
      <c r="G285" s="107"/>
      <c r="H285" s="36"/>
      <c r="I285" s="108"/>
      <c r="J285" s="47"/>
      <c r="K285" s="109"/>
      <c r="L285" s="110"/>
      <c r="M285" s="109"/>
    </row>
    <row r="286" ht="12.0" customHeight="1">
      <c r="A286" s="106"/>
      <c r="B286" s="41"/>
      <c r="E286" s="41"/>
      <c r="G286" s="107"/>
      <c r="H286" s="36"/>
      <c r="I286" s="108"/>
      <c r="J286" s="47"/>
      <c r="K286" s="109"/>
      <c r="L286" s="110"/>
      <c r="M286" s="109"/>
    </row>
    <row r="287" ht="12.0" customHeight="1">
      <c r="A287" s="106"/>
      <c r="B287" s="41"/>
      <c r="E287" s="41"/>
      <c r="G287" s="107"/>
      <c r="H287" s="36"/>
      <c r="I287" s="108"/>
      <c r="J287" s="47"/>
      <c r="K287" s="109"/>
      <c r="L287" s="110"/>
      <c r="M287" s="109"/>
    </row>
    <row r="288" ht="12.0" customHeight="1">
      <c r="A288" s="106"/>
      <c r="B288" s="41"/>
      <c r="E288" s="41"/>
      <c r="G288" s="107"/>
      <c r="H288" s="36"/>
      <c r="I288" s="108"/>
      <c r="J288" s="47"/>
      <c r="K288" s="109"/>
      <c r="L288" s="110"/>
      <c r="M288" s="109"/>
    </row>
    <row r="289" ht="12.0" customHeight="1">
      <c r="A289" s="106"/>
      <c r="B289" s="41"/>
      <c r="E289" s="41"/>
      <c r="G289" s="107"/>
      <c r="H289" s="36"/>
      <c r="I289" s="108"/>
      <c r="J289" s="47"/>
      <c r="K289" s="109"/>
      <c r="L289" s="110"/>
      <c r="M289" s="109"/>
    </row>
    <row r="290" ht="12.0" customHeight="1">
      <c r="A290" s="106"/>
      <c r="B290" s="41"/>
      <c r="E290" s="41"/>
      <c r="G290" s="107"/>
      <c r="H290" s="36"/>
      <c r="I290" s="108"/>
      <c r="J290" s="47"/>
      <c r="K290" s="109"/>
      <c r="L290" s="110"/>
      <c r="M290" s="109"/>
    </row>
    <row r="291" ht="12.0" customHeight="1">
      <c r="A291" s="106"/>
      <c r="B291" s="41"/>
      <c r="E291" s="41"/>
      <c r="G291" s="107"/>
      <c r="H291" s="36"/>
      <c r="I291" s="108"/>
      <c r="J291" s="47"/>
      <c r="K291" s="109"/>
      <c r="L291" s="110"/>
      <c r="M291" s="109"/>
    </row>
    <row r="292" ht="12.0" customHeight="1">
      <c r="A292" s="106"/>
      <c r="B292" s="41"/>
      <c r="E292" s="41"/>
      <c r="G292" s="107"/>
      <c r="H292" s="36"/>
      <c r="I292" s="108"/>
      <c r="J292" s="47"/>
      <c r="K292" s="109"/>
      <c r="L292" s="110"/>
      <c r="M292" s="109"/>
    </row>
    <row r="293" ht="12.0" customHeight="1">
      <c r="A293" s="106"/>
      <c r="B293" s="41"/>
      <c r="E293" s="41"/>
      <c r="G293" s="107"/>
      <c r="H293" s="36"/>
      <c r="I293" s="108"/>
      <c r="J293" s="47"/>
      <c r="K293" s="109"/>
      <c r="L293" s="110"/>
      <c r="M293" s="109"/>
    </row>
    <row r="294" ht="12.0" customHeight="1">
      <c r="A294" s="106"/>
      <c r="B294" s="41"/>
      <c r="E294" s="41"/>
      <c r="G294" s="107"/>
      <c r="H294" s="36"/>
      <c r="I294" s="108"/>
      <c r="J294" s="47"/>
      <c r="K294" s="109"/>
      <c r="L294" s="110"/>
      <c r="M294" s="109"/>
    </row>
    <row r="295" ht="12.0" customHeight="1">
      <c r="A295" s="106"/>
      <c r="B295" s="41"/>
      <c r="E295" s="41"/>
      <c r="G295" s="107"/>
      <c r="H295" s="36"/>
      <c r="I295" s="108"/>
      <c r="J295" s="47"/>
      <c r="K295" s="109"/>
      <c r="L295" s="110"/>
      <c r="M295" s="109"/>
    </row>
    <row r="296" ht="12.0" customHeight="1">
      <c r="A296" s="106"/>
      <c r="B296" s="41"/>
      <c r="E296" s="41"/>
      <c r="G296" s="107"/>
      <c r="H296" s="36"/>
      <c r="I296" s="108"/>
      <c r="J296" s="47"/>
      <c r="K296" s="109"/>
      <c r="L296" s="110"/>
      <c r="M296" s="109"/>
    </row>
    <row r="297" ht="12.0" customHeight="1">
      <c r="A297" s="106"/>
      <c r="B297" s="41"/>
      <c r="E297" s="41"/>
      <c r="G297" s="107"/>
      <c r="H297" s="36"/>
      <c r="I297" s="108"/>
      <c r="J297" s="47"/>
      <c r="K297" s="109"/>
      <c r="L297" s="110"/>
      <c r="M297" s="109"/>
    </row>
    <row r="298" ht="12.0" customHeight="1">
      <c r="A298" s="106"/>
      <c r="B298" s="41"/>
      <c r="E298" s="41"/>
      <c r="G298" s="107"/>
      <c r="H298" s="36"/>
      <c r="I298" s="108"/>
      <c r="J298" s="47"/>
      <c r="K298" s="109"/>
      <c r="L298" s="110"/>
      <c r="M298" s="109"/>
    </row>
    <row r="299" ht="12.0" customHeight="1">
      <c r="A299" s="106"/>
      <c r="B299" s="41"/>
      <c r="E299" s="41"/>
      <c r="G299" s="107"/>
      <c r="H299" s="36"/>
      <c r="I299" s="108"/>
      <c r="J299" s="47"/>
      <c r="K299" s="109"/>
      <c r="L299" s="110"/>
      <c r="M299" s="109"/>
    </row>
    <row r="300" ht="12.0" customHeight="1">
      <c r="A300" s="106"/>
      <c r="B300" s="41"/>
      <c r="E300" s="41"/>
      <c r="G300" s="107"/>
      <c r="H300" s="36"/>
      <c r="I300" s="108"/>
      <c r="J300" s="47"/>
      <c r="K300" s="109"/>
      <c r="L300" s="110"/>
      <c r="M300" s="109"/>
    </row>
    <row r="301" ht="12.0" customHeight="1">
      <c r="A301" s="106"/>
      <c r="B301" s="41"/>
      <c r="E301" s="41"/>
      <c r="G301" s="107"/>
      <c r="H301" s="36"/>
      <c r="I301" s="108"/>
      <c r="J301" s="47"/>
      <c r="K301" s="109"/>
      <c r="L301" s="110"/>
      <c r="M301" s="109"/>
    </row>
    <row r="302" ht="12.0" customHeight="1">
      <c r="A302" s="106"/>
      <c r="B302" s="41"/>
      <c r="E302" s="41"/>
      <c r="G302" s="107"/>
      <c r="H302" s="36"/>
      <c r="I302" s="108"/>
      <c r="J302" s="47"/>
      <c r="K302" s="109"/>
      <c r="L302" s="110"/>
      <c r="M302" s="109"/>
    </row>
    <row r="303" ht="12.0" customHeight="1">
      <c r="A303" s="106"/>
      <c r="B303" s="41"/>
      <c r="E303" s="41"/>
      <c r="G303" s="107"/>
      <c r="H303" s="36"/>
      <c r="I303" s="108"/>
      <c r="J303" s="47"/>
      <c r="K303" s="109"/>
      <c r="L303" s="110"/>
      <c r="M303" s="109"/>
    </row>
    <row r="304" ht="12.0" customHeight="1">
      <c r="A304" s="106"/>
      <c r="B304" s="41"/>
      <c r="E304" s="41"/>
      <c r="G304" s="107"/>
      <c r="H304" s="36"/>
      <c r="I304" s="108"/>
      <c r="J304" s="47"/>
      <c r="K304" s="109"/>
      <c r="L304" s="110"/>
      <c r="M304" s="109"/>
    </row>
    <row r="305" ht="12.0" customHeight="1">
      <c r="A305" s="106"/>
      <c r="B305" s="41"/>
      <c r="E305" s="41"/>
      <c r="G305" s="107"/>
      <c r="H305" s="36"/>
      <c r="I305" s="108"/>
      <c r="J305" s="47"/>
      <c r="K305" s="109"/>
      <c r="L305" s="110"/>
      <c r="M305" s="109"/>
    </row>
    <row r="306" ht="12.0" customHeight="1">
      <c r="A306" s="106"/>
      <c r="B306" s="41"/>
      <c r="E306" s="41"/>
      <c r="G306" s="107"/>
      <c r="H306" s="36"/>
      <c r="I306" s="108"/>
      <c r="J306" s="47"/>
      <c r="K306" s="109"/>
      <c r="L306" s="110"/>
      <c r="M306" s="109"/>
    </row>
    <row r="307" ht="12.0" customHeight="1">
      <c r="A307" s="106"/>
      <c r="B307" s="41"/>
      <c r="E307" s="41"/>
      <c r="G307" s="107"/>
      <c r="H307" s="36"/>
      <c r="I307" s="108"/>
      <c r="J307" s="47"/>
      <c r="K307" s="109"/>
      <c r="L307" s="110"/>
      <c r="M307" s="109"/>
    </row>
    <row r="308" ht="12.0" customHeight="1">
      <c r="A308" s="106"/>
      <c r="B308" s="41"/>
      <c r="E308" s="41"/>
      <c r="G308" s="107"/>
      <c r="H308" s="36"/>
      <c r="I308" s="108"/>
      <c r="J308" s="47"/>
      <c r="K308" s="109"/>
      <c r="L308" s="110"/>
      <c r="M308" s="109"/>
    </row>
    <row r="309" ht="12.0" customHeight="1">
      <c r="A309" s="106"/>
      <c r="B309" s="41"/>
      <c r="E309" s="41"/>
      <c r="G309" s="107"/>
      <c r="H309" s="36"/>
      <c r="I309" s="108"/>
      <c r="J309" s="47"/>
      <c r="K309" s="109"/>
      <c r="L309" s="110"/>
      <c r="M309" s="109"/>
    </row>
    <row r="310" ht="12.0" customHeight="1">
      <c r="A310" s="106"/>
      <c r="B310" s="41"/>
      <c r="E310" s="41"/>
      <c r="G310" s="107"/>
      <c r="H310" s="36"/>
      <c r="I310" s="108"/>
      <c r="J310" s="47"/>
      <c r="K310" s="109"/>
      <c r="L310" s="110"/>
      <c r="M310" s="109"/>
    </row>
    <row r="311" ht="12.0" customHeight="1">
      <c r="A311" s="106"/>
      <c r="B311" s="41"/>
      <c r="E311" s="41"/>
      <c r="G311" s="107"/>
      <c r="H311" s="36"/>
      <c r="I311" s="108"/>
      <c r="J311" s="47"/>
      <c r="K311" s="109"/>
      <c r="L311" s="110"/>
      <c r="M311" s="109"/>
    </row>
    <row r="312" ht="12.0" customHeight="1">
      <c r="A312" s="106"/>
      <c r="B312" s="41"/>
      <c r="E312" s="41"/>
      <c r="G312" s="107"/>
      <c r="H312" s="36"/>
      <c r="I312" s="108"/>
      <c r="J312" s="47"/>
      <c r="K312" s="109"/>
      <c r="L312" s="110"/>
      <c r="M312" s="109"/>
    </row>
    <row r="313" ht="12.0" customHeight="1">
      <c r="A313" s="106"/>
      <c r="B313" s="41"/>
      <c r="E313" s="41"/>
      <c r="G313" s="107"/>
      <c r="H313" s="36"/>
      <c r="I313" s="108"/>
      <c r="J313" s="47"/>
      <c r="K313" s="109"/>
      <c r="L313" s="110"/>
      <c r="M313" s="109"/>
    </row>
    <row r="314" ht="12.0" customHeight="1">
      <c r="A314" s="106"/>
      <c r="B314" s="41"/>
      <c r="E314" s="41"/>
      <c r="G314" s="107"/>
      <c r="H314" s="36"/>
      <c r="I314" s="108"/>
      <c r="J314" s="47"/>
      <c r="K314" s="109"/>
      <c r="L314" s="110"/>
      <c r="M314" s="109"/>
    </row>
    <row r="315" ht="12.0" customHeight="1">
      <c r="A315" s="106"/>
      <c r="B315" s="41"/>
      <c r="E315" s="41"/>
      <c r="G315" s="107"/>
      <c r="H315" s="36"/>
      <c r="I315" s="108"/>
      <c r="J315" s="47"/>
      <c r="K315" s="109"/>
      <c r="L315" s="110"/>
      <c r="M315" s="109"/>
    </row>
    <row r="316" ht="12.0" customHeight="1">
      <c r="A316" s="106"/>
      <c r="B316" s="41"/>
      <c r="E316" s="41"/>
      <c r="G316" s="107"/>
      <c r="H316" s="36"/>
      <c r="I316" s="108"/>
      <c r="J316" s="47"/>
      <c r="K316" s="109"/>
      <c r="L316" s="110"/>
      <c r="M316" s="109"/>
    </row>
    <row r="317" ht="12.0" customHeight="1">
      <c r="A317" s="106"/>
      <c r="B317" s="41"/>
      <c r="E317" s="41"/>
      <c r="G317" s="107"/>
      <c r="H317" s="36"/>
      <c r="I317" s="108"/>
      <c r="J317" s="47"/>
      <c r="K317" s="109"/>
      <c r="L317" s="110"/>
      <c r="M317" s="109"/>
    </row>
    <row r="318" ht="12.0" customHeight="1">
      <c r="A318" s="106"/>
      <c r="B318" s="41"/>
      <c r="E318" s="41"/>
      <c r="G318" s="107"/>
      <c r="H318" s="36"/>
      <c r="I318" s="108"/>
      <c r="J318" s="47"/>
      <c r="K318" s="109"/>
      <c r="L318" s="110"/>
      <c r="M318" s="109"/>
    </row>
    <row r="319" ht="12.0" customHeight="1">
      <c r="A319" s="106"/>
      <c r="B319" s="41"/>
      <c r="E319" s="41"/>
      <c r="G319" s="107"/>
      <c r="H319" s="36"/>
      <c r="I319" s="108"/>
      <c r="J319" s="47"/>
      <c r="K319" s="109"/>
      <c r="L319" s="110"/>
      <c r="M319" s="109"/>
    </row>
    <row r="320" ht="12.0" customHeight="1">
      <c r="A320" s="106"/>
      <c r="B320" s="41"/>
      <c r="E320" s="41"/>
      <c r="G320" s="107"/>
      <c r="H320" s="36"/>
      <c r="I320" s="108"/>
      <c r="J320" s="47"/>
      <c r="K320" s="109"/>
      <c r="L320" s="110"/>
      <c r="M320" s="109"/>
    </row>
    <row r="321" ht="12.0" customHeight="1">
      <c r="A321" s="106"/>
      <c r="B321" s="41"/>
      <c r="E321" s="41"/>
      <c r="G321" s="107"/>
      <c r="H321" s="36"/>
      <c r="I321" s="108"/>
      <c r="J321" s="47"/>
      <c r="K321" s="109"/>
      <c r="L321" s="110"/>
      <c r="M321" s="109"/>
    </row>
    <row r="322" ht="12.0" customHeight="1">
      <c r="A322" s="106"/>
      <c r="B322" s="41"/>
      <c r="E322" s="41"/>
      <c r="G322" s="107"/>
      <c r="H322" s="36"/>
      <c r="I322" s="108"/>
      <c r="J322" s="47"/>
      <c r="K322" s="109"/>
      <c r="L322" s="110"/>
      <c r="M322" s="109"/>
    </row>
    <row r="323" ht="12.0" customHeight="1">
      <c r="A323" s="106"/>
      <c r="B323" s="41"/>
      <c r="E323" s="41"/>
      <c r="G323" s="107"/>
      <c r="H323" s="36"/>
      <c r="I323" s="108"/>
      <c r="J323" s="47"/>
      <c r="K323" s="109"/>
      <c r="L323" s="110"/>
      <c r="M323" s="109"/>
    </row>
    <row r="324" ht="12.0" customHeight="1">
      <c r="A324" s="106"/>
      <c r="B324" s="41"/>
      <c r="E324" s="41"/>
      <c r="G324" s="107"/>
      <c r="H324" s="36"/>
      <c r="I324" s="108"/>
      <c r="J324" s="47"/>
      <c r="K324" s="109"/>
      <c r="L324" s="110"/>
      <c r="M324" s="109"/>
    </row>
    <row r="325" ht="12.0" customHeight="1">
      <c r="A325" s="106"/>
      <c r="B325" s="41"/>
      <c r="E325" s="41"/>
      <c r="G325" s="107"/>
      <c r="H325" s="36"/>
      <c r="I325" s="108"/>
      <c r="J325" s="47"/>
      <c r="K325" s="109"/>
      <c r="L325" s="110"/>
      <c r="M325" s="109"/>
    </row>
    <row r="326" ht="12.0" customHeight="1">
      <c r="A326" s="106"/>
      <c r="B326" s="41"/>
      <c r="E326" s="41"/>
      <c r="G326" s="107"/>
      <c r="H326" s="36"/>
      <c r="I326" s="108"/>
      <c r="J326" s="47"/>
      <c r="K326" s="109"/>
      <c r="L326" s="110"/>
      <c r="M326" s="109"/>
    </row>
    <row r="327" ht="12.0" customHeight="1">
      <c r="A327" s="106"/>
      <c r="B327" s="41"/>
      <c r="E327" s="41"/>
      <c r="G327" s="107"/>
      <c r="H327" s="36"/>
      <c r="I327" s="108"/>
      <c r="J327" s="47"/>
      <c r="K327" s="109"/>
      <c r="L327" s="110"/>
      <c r="M327" s="109"/>
    </row>
    <row r="328" ht="12.0" customHeight="1">
      <c r="A328" s="106"/>
      <c r="B328" s="41"/>
      <c r="E328" s="41"/>
      <c r="G328" s="107"/>
      <c r="H328" s="36"/>
      <c r="I328" s="108"/>
      <c r="J328" s="47"/>
      <c r="K328" s="109"/>
      <c r="L328" s="110"/>
      <c r="M328" s="109"/>
    </row>
    <row r="329" ht="12.0" customHeight="1">
      <c r="A329" s="106"/>
      <c r="B329" s="41"/>
      <c r="E329" s="41"/>
      <c r="G329" s="107"/>
      <c r="H329" s="36"/>
      <c r="I329" s="108"/>
      <c r="J329" s="47"/>
      <c r="K329" s="109"/>
      <c r="L329" s="110"/>
      <c r="M329" s="109"/>
    </row>
    <row r="330" ht="12.0" customHeight="1">
      <c r="A330" s="106"/>
      <c r="B330" s="41"/>
      <c r="E330" s="41"/>
      <c r="G330" s="107"/>
      <c r="H330" s="36"/>
      <c r="I330" s="108"/>
      <c r="J330" s="47"/>
      <c r="K330" s="109"/>
      <c r="L330" s="110"/>
      <c r="M330" s="109"/>
    </row>
    <row r="331" ht="12.0" customHeight="1">
      <c r="A331" s="106"/>
      <c r="B331" s="41"/>
      <c r="E331" s="41"/>
      <c r="G331" s="107"/>
      <c r="H331" s="36"/>
      <c r="I331" s="108"/>
      <c r="J331" s="47"/>
      <c r="K331" s="109"/>
      <c r="L331" s="110"/>
      <c r="M331" s="109"/>
    </row>
    <row r="332" ht="12.0" customHeight="1">
      <c r="A332" s="106"/>
      <c r="B332" s="41"/>
      <c r="E332" s="41"/>
      <c r="G332" s="107"/>
      <c r="H332" s="36"/>
      <c r="I332" s="108"/>
      <c r="J332" s="47"/>
      <c r="K332" s="109"/>
      <c r="L332" s="110"/>
      <c r="M332" s="109"/>
    </row>
    <row r="333" ht="12.0" customHeight="1">
      <c r="A333" s="106"/>
      <c r="B333" s="41"/>
      <c r="E333" s="41"/>
      <c r="G333" s="107"/>
      <c r="H333" s="36"/>
      <c r="I333" s="108"/>
      <c r="J333" s="47"/>
      <c r="K333" s="109"/>
      <c r="L333" s="110"/>
      <c r="M333" s="109"/>
    </row>
    <row r="334" ht="12.0" customHeight="1">
      <c r="A334" s="106"/>
      <c r="B334" s="41"/>
      <c r="E334" s="41"/>
      <c r="G334" s="107"/>
      <c r="H334" s="36"/>
      <c r="I334" s="108"/>
      <c r="J334" s="47"/>
      <c r="K334" s="109"/>
      <c r="L334" s="110"/>
      <c r="M334" s="109"/>
    </row>
    <row r="335" ht="12.0" customHeight="1">
      <c r="A335" s="106"/>
      <c r="B335" s="41"/>
      <c r="E335" s="41"/>
      <c r="G335" s="107"/>
      <c r="H335" s="36"/>
      <c r="I335" s="108"/>
      <c r="J335" s="47"/>
      <c r="K335" s="109"/>
      <c r="L335" s="110"/>
      <c r="M335" s="109"/>
    </row>
    <row r="336" ht="12.0" customHeight="1">
      <c r="A336" s="106"/>
      <c r="B336" s="41"/>
      <c r="E336" s="41"/>
      <c r="G336" s="107"/>
      <c r="H336" s="36"/>
      <c r="I336" s="108"/>
      <c r="J336" s="47"/>
      <c r="K336" s="109"/>
      <c r="L336" s="110"/>
      <c r="M336" s="109"/>
    </row>
    <row r="337" ht="12.0" customHeight="1">
      <c r="A337" s="106"/>
      <c r="B337" s="41"/>
      <c r="E337" s="41"/>
      <c r="G337" s="107"/>
      <c r="H337" s="36"/>
      <c r="I337" s="108"/>
      <c r="J337" s="47"/>
      <c r="K337" s="109"/>
      <c r="L337" s="110"/>
      <c r="M337" s="109"/>
    </row>
    <row r="338" ht="12.0" customHeight="1">
      <c r="A338" s="106"/>
      <c r="B338" s="41"/>
      <c r="E338" s="41"/>
      <c r="G338" s="107"/>
      <c r="H338" s="36"/>
      <c r="I338" s="108"/>
      <c r="J338" s="47"/>
      <c r="K338" s="109"/>
      <c r="L338" s="110"/>
      <c r="M338" s="109"/>
    </row>
    <row r="339" ht="12.0" customHeight="1">
      <c r="A339" s="106"/>
      <c r="B339" s="41"/>
      <c r="E339" s="41"/>
      <c r="G339" s="107"/>
      <c r="H339" s="36"/>
      <c r="I339" s="108"/>
      <c r="J339" s="47"/>
      <c r="K339" s="109"/>
      <c r="L339" s="110"/>
      <c r="M339" s="109"/>
    </row>
    <row r="340" ht="12.0" customHeight="1">
      <c r="A340" s="106"/>
      <c r="B340" s="41"/>
      <c r="E340" s="41"/>
      <c r="G340" s="107"/>
      <c r="H340" s="36"/>
      <c r="I340" s="108"/>
      <c r="J340" s="47"/>
      <c r="K340" s="109"/>
      <c r="L340" s="110"/>
      <c r="M340" s="109"/>
    </row>
    <row r="341" ht="12.0" customHeight="1">
      <c r="A341" s="106"/>
      <c r="B341" s="41"/>
      <c r="E341" s="41"/>
      <c r="G341" s="107"/>
      <c r="H341" s="36"/>
      <c r="I341" s="108"/>
      <c r="J341" s="47"/>
      <c r="K341" s="109"/>
      <c r="L341" s="110"/>
      <c r="M341" s="109"/>
    </row>
    <row r="342" ht="12.0" customHeight="1">
      <c r="A342" s="106"/>
      <c r="B342" s="41"/>
      <c r="E342" s="41"/>
      <c r="G342" s="107"/>
      <c r="H342" s="36"/>
      <c r="I342" s="108"/>
      <c r="J342" s="47"/>
      <c r="K342" s="109"/>
      <c r="L342" s="110"/>
      <c r="M342" s="109"/>
    </row>
    <row r="343" ht="12.0" customHeight="1">
      <c r="A343" s="106"/>
      <c r="B343" s="41"/>
      <c r="E343" s="41"/>
      <c r="G343" s="107"/>
      <c r="H343" s="36"/>
      <c r="I343" s="108"/>
      <c r="J343" s="47"/>
      <c r="K343" s="109"/>
      <c r="L343" s="110"/>
      <c r="M343" s="109"/>
    </row>
    <row r="344" ht="12.0" customHeight="1">
      <c r="A344" s="106"/>
      <c r="B344" s="41"/>
      <c r="E344" s="41"/>
      <c r="G344" s="107"/>
      <c r="H344" s="36"/>
      <c r="I344" s="108"/>
      <c r="J344" s="47"/>
      <c r="K344" s="109"/>
      <c r="L344" s="110"/>
      <c r="M344" s="109"/>
    </row>
    <row r="345" ht="12.0" customHeight="1">
      <c r="A345" s="106"/>
      <c r="B345" s="41"/>
      <c r="E345" s="41"/>
      <c r="G345" s="107"/>
      <c r="H345" s="36"/>
      <c r="I345" s="108"/>
      <c r="J345" s="47"/>
      <c r="K345" s="109"/>
      <c r="L345" s="110"/>
      <c r="M345" s="109"/>
    </row>
    <row r="346" ht="12.0" customHeight="1">
      <c r="A346" s="106"/>
      <c r="B346" s="41"/>
      <c r="E346" s="41"/>
      <c r="G346" s="107"/>
      <c r="H346" s="36"/>
      <c r="I346" s="108"/>
      <c r="J346" s="47"/>
      <c r="K346" s="109"/>
      <c r="L346" s="110"/>
      <c r="M346" s="109"/>
    </row>
    <row r="347" ht="12.0" customHeight="1">
      <c r="A347" s="106"/>
      <c r="B347" s="41"/>
      <c r="E347" s="41"/>
      <c r="G347" s="107"/>
      <c r="H347" s="36"/>
      <c r="I347" s="108"/>
      <c r="J347" s="47"/>
      <c r="K347" s="109"/>
      <c r="L347" s="110"/>
      <c r="M347" s="109"/>
    </row>
    <row r="348" ht="12.0" customHeight="1">
      <c r="A348" s="106"/>
      <c r="B348" s="41"/>
      <c r="E348" s="41"/>
      <c r="G348" s="107"/>
      <c r="H348" s="36"/>
      <c r="I348" s="108"/>
      <c r="J348" s="47"/>
      <c r="K348" s="109"/>
      <c r="L348" s="110"/>
      <c r="M348" s="109"/>
    </row>
    <row r="349" ht="12.0" customHeight="1">
      <c r="A349" s="106"/>
      <c r="B349" s="41"/>
      <c r="E349" s="41"/>
      <c r="G349" s="107"/>
      <c r="H349" s="36"/>
      <c r="I349" s="108"/>
      <c r="J349" s="47"/>
      <c r="K349" s="109"/>
      <c r="L349" s="110"/>
      <c r="M349" s="109"/>
    </row>
    <row r="350" ht="12.0" customHeight="1">
      <c r="A350" s="106"/>
      <c r="B350" s="41"/>
      <c r="E350" s="41"/>
      <c r="G350" s="107"/>
      <c r="H350" s="36"/>
      <c r="I350" s="108"/>
      <c r="J350" s="47"/>
      <c r="K350" s="109"/>
      <c r="L350" s="110"/>
      <c r="M350" s="109"/>
    </row>
    <row r="351" ht="12.0" customHeight="1">
      <c r="A351" s="106"/>
      <c r="B351" s="41"/>
      <c r="E351" s="41"/>
      <c r="G351" s="107"/>
      <c r="H351" s="36"/>
      <c r="I351" s="108"/>
      <c r="J351" s="47"/>
      <c r="K351" s="109"/>
      <c r="L351" s="110"/>
      <c r="M351" s="109"/>
    </row>
    <row r="352" ht="12.0" customHeight="1">
      <c r="A352" s="106"/>
      <c r="B352" s="41"/>
      <c r="E352" s="41"/>
      <c r="G352" s="107"/>
      <c r="H352" s="36"/>
      <c r="I352" s="108"/>
      <c r="J352" s="47"/>
      <c r="K352" s="109"/>
      <c r="L352" s="110"/>
      <c r="M352" s="109"/>
    </row>
    <row r="353" ht="12.0" customHeight="1">
      <c r="A353" s="106"/>
      <c r="B353" s="41"/>
      <c r="E353" s="41"/>
      <c r="G353" s="107"/>
      <c r="H353" s="36"/>
      <c r="I353" s="108"/>
      <c r="J353" s="47"/>
      <c r="K353" s="109"/>
      <c r="L353" s="110"/>
      <c r="M353" s="109"/>
    </row>
    <row r="354" ht="12.0" customHeight="1">
      <c r="A354" s="106"/>
      <c r="B354" s="41"/>
      <c r="E354" s="41"/>
      <c r="G354" s="107"/>
      <c r="H354" s="36"/>
      <c r="I354" s="108"/>
      <c r="J354" s="47"/>
      <c r="K354" s="109"/>
      <c r="L354" s="110"/>
      <c r="M354" s="109"/>
    </row>
    <row r="355" ht="12.0" customHeight="1">
      <c r="A355" s="106"/>
      <c r="B355" s="41"/>
      <c r="E355" s="41"/>
      <c r="G355" s="107"/>
      <c r="H355" s="36"/>
      <c r="I355" s="108"/>
      <c r="J355" s="47"/>
      <c r="K355" s="109"/>
      <c r="L355" s="110"/>
      <c r="M355" s="109"/>
    </row>
    <row r="356" ht="12.0" customHeight="1">
      <c r="A356" s="106"/>
      <c r="B356" s="41"/>
      <c r="E356" s="41"/>
      <c r="G356" s="107"/>
      <c r="H356" s="36"/>
      <c r="I356" s="108"/>
      <c r="J356" s="47"/>
      <c r="K356" s="109"/>
      <c r="L356" s="110"/>
      <c r="M356" s="109"/>
    </row>
    <row r="357" ht="12.0" customHeight="1">
      <c r="A357" s="106"/>
      <c r="B357" s="41"/>
      <c r="E357" s="41"/>
      <c r="G357" s="107"/>
      <c r="H357" s="36"/>
      <c r="I357" s="108"/>
      <c r="J357" s="47"/>
      <c r="K357" s="109"/>
      <c r="L357" s="110"/>
      <c r="M357" s="109"/>
    </row>
    <row r="358" ht="12.0" customHeight="1">
      <c r="A358" s="106"/>
      <c r="B358" s="41"/>
      <c r="E358" s="41"/>
      <c r="G358" s="107"/>
      <c r="H358" s="36"/>
      <c r="I358" s="108"/>
      <c r="J358" s="47"/>
      <c r="K358" s="109"/>
      <c r="L358" s="110"/>
      <c r="M358" s="109"/>
    </row>
    <row r="359" ht="12.0" customHeight="1">
      <c r="A359" s="106"/>
      <c r="B359" s="41"/>
      <c r="E359" s="41"/>
      <c r="G359" s="107"/>
      <c r="H359" s="36"/>
      <c r="I359" s="108"/>
      <c r="J359" s="47"/>
      <c r="K359" s="109"/>
      <c r="L359" s="110"/>
      <c r="M359" s="109"/>
    </row>
    <row r="360" ht="12.0" customHeight="1">
      <c r="A360" s="106"/>
      <c r="B360" s="41"/>
      <c r="E360" s="41"/>
      <c r="G360" s="107"/>
      <c r="H360" s="36"/>
      <c r="I360" s="108"/>
      <c r="J360" s="47"/>
      <c r="K360" s="109"/>
      <c r="L360" s="110"/>
      <c r="M360" s="109"/>
    </row>
    <row r="361" ht="12.0" customHeight="1">
      <c r="A361" s="106"/>
      <c r="B361" s="41"/>
      <c r="E361" s="41"/>
      <c r="G361" s="107"/>
      <c r="H361" s="36"/>
      <c r="I361" s="108"/>
      <c r="J361" s="47"/>
      <c r="K361" s="109"/>
      <c r="L361" s="110"/>
      <c r="M361" s="109"/>
    </row>
    <row r="362" ht="12.0" customHeight="1">
      <c r="A362" s="106"/>
      <c r="B362" s="41"/>
      <c r="E362" s="41"/>
      <c r="G362" s="107"/>
      <c r="H362" s="36"/>
      <c r="I362" s="108"/>
      <c r="J362" s="47"/>
      <c r="K362" s="109"/>
      <c r="L362" s="110"/>
      <c r="M362" s="109"/>
    </row>
    <row r="363" ht="12.0" customHeight="1">
      <c r="A363" s="106"/>
      <c r="B363" s="41"/>
      <c r="E363" s="41"/>
      <c r="G363" s="107"/>
      <c r="H363" s="36"/>
      <c r="I363" s="108"/>
      <c r="J363" s="47"/>
      <c r="K363" s="109"/>
      <c r="L363" s="110"/>
      <c r="M363" s="109"/>
    </row>
    <row r="364" ht="12.0" customHeight="1">
      <c r="A364" s="106"/>
      <c r="B364" s="41"/>
      <c r="E364" s="41"/>
      <c r="G364" s="107"/>
      <c r="H364" s="36"/>
      <c r="I364" s="108"/>
      <c r="J364" s="47"/>
      <c r="K364" s="109"/>
      <c r="L364" s="110"/>
      <c r="M364" s="109"/>
    </row>
    <row r="365" ht="12.0" customHeight="1">
      <c r="A365" s="106"/>
      <c r="B365" s="41"/>
      <c r="E365" s="41"/>
      <c r="G365" s="107"/>
      <c r="H365" s="36"/>
      <c r="I365" s="108"/>
      <c r="J365" s="47"/>
      <c r="K365" s="109"/>
      <c r="L365" s="110"/>
      <c r="M365" s="109"/>
    </row>
    <row r="366" ht="12.0" customHeight="1">
      <c r="A366" s="106"/>
      <c r="B366" s="41"/>
      <c r="E366" s="41"/>
      <c r="G366" s="107"/>
      <c r="H366" s="36"/>
      <c r="I366" s="108"/>
      <c r="J366" s="47"/>
      <c r="K366" s="109"/>
      <c r="L366" s="110"/>
      <c r="M366" s="109"/>
    </row>
    <row r="367" ht="12.0" customHeight="1">
      <c r="A367" s="106"/>
      <c r="B367" s="41"/>
      <c r="E367" s="41"/>
      <c r="G367" s="107"/>
      <c r="H367" s="36"/>
      <c r="I367" s="108"/>
      <c r="J367" s="47"/>
      <c r="K367" s="109"/>
      <c r="L367" s="110"/>
      <c r="M367" s="109"/>
    </row>
    <row r="368" ht="12.0" customHeight="1">
      <c r="A368" s="106"/>
      <c r="B368" s="41"/>
      <c r="E368" s="41"/>
      <c r="G368" s="107"/>
      <c r="H368" s="36"/>
      <c r="I368" s="108"/>
      <c r="J368" s="47"/>
      <c r="K368" s="109"/>
      <c r="L368" s="110"/>
      <c r="M368" s="109"/>
    </row>
    <row r="369" ht="12.0" customHeight="1">
      <c r="A369" s="106"/>
      <c r="B369" s="41"/>
      <c r="E369" s="41"/>
      <c r="G369" s="107"/>
      <c r="H369" s="36"/>
      <c r="I369" s="108"/>
      <c r="J369" s="47"/>
      <c r="K369" s="109"/>
      <c r="L369" s="110"/>
      <c r="M369" s="109"/>
    </row>
    <row r="370" ht="12.0" customHeight="1">
      <c r="A370" s="106"/>
      <c r="B370" s="41"/>
      <c r="E370" s="41"/>
      <c r="G370" s="107"/>
      <c r="H370" s="36"/>
      <c r="I370" s="108"/>
      <c r="J370" s="47"/>
      <c r="K370" s="109"/>
      <c r="L370" s="110"/>
      <c r="M370" s="109"/>
    </row>
    <row r="371" ht="12.0" customHeight="1">
      <c r="A371" s="106"/>
      <c r="B371" s="41"/>
      <c r="E371" s="41"/>
      <c r="G371" s="107"/>
      <c r="H371" s="36"/>
      <c r="I371" s="108"/>
      <c r="J371" s="47"/>
      <c r="K371" s="109"/>
      <c r="L371" s="110"/>
      <c r="M371" s="109"/>
    </row>
    <row r="372" ht="12.0" customHeight="1">
      <c r="A372" s="106"/>
      <c r="B372" s="41"/>
      <c r="E372" s="41"/>
      <c r="G372" s="107"/>
      <c r="H372" s="36"/>
      <c r="I372" s="108"/>
      <c r="J372" s="47"/>
      <c r="K372" s="109"/>
      <c r="L372" s="110"/>
      <c r="M372" s="109"/>
    </row>
    <row r="373" ht="12.0" customHeight="1">
      <c r="A373" s="106"/>
      <c r="B373" s="41"/>
      <c r="E373" s="41"/>
      <c r="G373" s="107"/>
      <c r="H373" s="36"/>
      <c r="I373" s="108"/>
      <c r="J373" s="47"/>
      <c r="K373" s="109"/>
      <c r="L373" s="110"/>
      <c r="M373" s="109"/>
    </row>
    <row r="374" ht="12.0" customHeight="1">
      <c r="A374" s="106"/>
      <c r="B374" s="41"/>
      <c r="E374" s="41"/>
      <c r="G374" s="107"/>
      <c r="H374" s="36"/>
      <c r="I374" s="108"/>
      <c r="J374" s="47"/>
      <c r="K374" s="109"/>
      <c r="L374" s="110"/>
      <c r="M374" s="109"/>
    </row>
    <row r="375" ht="12.0" customHeight="1">
      <c r="A375" s="106"/>
      <c r="B375" s="41"/>
      <c r="E375" s="41"/>
      <c r="G375" s="107"/>
      <c r="H375" s="36"/>
      <c r="I375" s="108"/>
      <c r="J375" s="47"/>
      <c r="K375" s="109"/>
      <c r="L375" s="110"/>
      <c r="M375" s="109"/>
    </row>
    <row r="376" ht="12.0" customHeight="1">
      <c r="A376" s="106"/>
      <c r="B376" s="41"/>
      <c r="E376" s="41"/>
      <c r="G376" s="107"/>
      <c r="H376" s="36"/>
      <c r="I376" s="108"/>
      <c r="J376" s="47"/>
      <c r="K376" s="109"/>
      <c r="L376" s="110"/>
      <c r="M376" s="109"/>
    </row>
    <row r="377" ht="12.0" customHeight="1">
      <c r="A377" s="106"/>
      <c r="B377" s="41"/>
      <c r="E377" s="41"/>
      <c r="G377" s="107"/>
      <c r="H377" s="36"/>
      <c r="I377" s="108"/>
      <c r="J377" s="47"/>
      <c r="K377" s="109"/>
      <c r="L377" s="110"/>
      <c r="M377" s="109"/>
    </row>
    <row r="378" ht="12.0" customHeight="1">
      <c r="A378" s="106"/>
      <c r="B378" s="41"/>
      <c r="E378" s="41"/>
      <c r="G378" s="107"/>
      <c r="H378" s="36"/>
      <c r="I378" s="108"/>
      <c r="J378" s="47"/>
      <c r="K378" s="109"/>
      <c r="L378" s="110"/>
      <c r="M378" s="109"/>
    </row>
    <row r="379" ht="12.0" customHeight="1">
      <c r="A379" s="106"/>
      <c r="B379" s="41"/>
      <c r="E379" s="41"/>
      <c r="G379" s="107"/>
      <c r="H379" s="36"/>
      <c r="I379" s="108"/>
      <c r="J379" s="47"/>
      <c r="K379" s="109"/>
      <c r="L379" s="110"/>
      <c r="M379" s="109"/>
    </row>
    <row r="380" ht="12.0" customHeight="1">
      <c r="A380" s="106"/>
      <c r="B380" s="41"/>
      <c r="E380" s="41"/>
      <c r="G380" s="107"/>
      <c r="H380" s="36"/>
      <c r="I380" s="108"/>
      <c r="J380" s="47"/>
      <c r="K380" s="109"/>
      <c r="L380" s="110"/>
      <c r="M380" s="109"/>
    </row>
    <row r="381" ht="12.0" customHeight="1">
      <c r="A381" s="106"/>
      <c r="B381" s="41"/>
      <c r="E381" s="41"/>
      <c r="G381" s="107"/>
      <c r="H381" s="36"/>
      <c r="I381" s="108"/>
      <c r="J381" s="47"/>
      <c r="K381" s="109"/>
      <c r="L381" s="110"/>
      <c r="M381" s="109"/>
    </row>
    <row r="382" ht="12.0" customHeight="1">
      <c r="A382" s="106"/>
      <c r="B382" s="41"/>
      <c r="E382" s="41"/>
      <c r="G382" s="107"/>
      <c r="H382" s="36"/>
      <c r="I382" s="108"/>
      <c r="J382" s="47"/>
      <c r="K382" s="109"/>
      <c r="L382" s="110"/>
      <c r="M382" s="109"/>
    </row>
    <row r="383" ht="12.0" customHeight="1">
      <c r="A383" s="106"/>
      <c r="B383" s="41"/>
      <c r="E383" s="41"/>
      <c r="G383" s="107"/>
      <c r="H383" s="36"/>
      <c r="I383" s="108"/>
      <c r="J383" s="47"/>
      <c r="K383" s="109"/>
      <c r="L383" s="110"/>
      <c r="M383" s="109"/>
    </row>
    <row r="384" ht="12.0" customHeight="1">
      <c r="A384" s="106"/>
      <c r="B384" s="41"/>
      <c r="E384" s="41"/>
      <c r="G384" s="107"/>
      <c r="H384" s="36"/>
      <c r="I384" s="108"/>
      <c r="J384" s="47"/>
      <c r="K384" s="109"/>
      <c r="L384" s="110"/>
      <c r="M384" s="109"/>
    </row>
    <row r="385" ht="12.0" customHeight="1">
      <c r="A385" s="106"/>
      <c r="B385" s="41"/>
      <c r="E385" s="41"/>
      <c r="G385" s="107"/>
      <c r="H385" s="36"/>
      <c r="I385" s="108"/>
      <c r="J385" s="47"/>
      <c r="K385" s="109"/>
      <c r="L385" s="110"/>
      <c r="M385" s="109"/>
    </row>
    <row r="386" ht="12.0" customHeight="1">
      <c r="A386" s="106"/>
      <c r="B386" s="41"/>
      <c r="E386" s="41"/>
      <c r="G386" s="107"/>
      <c r="H386" s="36"/>
      <c r="I386" s="108"/>
      <c r="J386" s="47"/>
      <c r="K386" s="109"/>
      <c r="L386" s="110"/>
      <c r="M386" s="109"/>
    </row>
    <row r="387" ht="12.0" customHeight="1">
      <c r="A387" s="106"/>
      <c r="B387" s="41"/>
      <c r="E387" s="41"/>
      <c r="G387" s="107"/>
      <c r="H387" s="36"/>
      <c r="I387" s="108"/>
      <c r="J387" s="47"/>
      <c r="K387" s="109"/>
      <c r="L387" s="110"/>
      <c r="M387" s="109"/>
    </row>
    <row r="388" ht="12.0" customHeight="1">
      <c r="A388" s="106"/>
      <c r="B388" s="41"/>
      <c r="E388" s="41"/>
      <c r="G388" s="107"/>
      <c r="H388" s="36"/>
      <c r="I388" s="108"/>
      <c r="J388" s="47"/>
      <c r="K388" s="109"/>
      <c r="L388" s="110"/>
      <c r="M388" s="109"/>
    </row>
    <row r="389" ht="12.0" customHeight="1">
      <c r="A389" s="106"/>
      <c r="B389" s="41"/>
      <c r="E389" s="41"/>
      <c r="G389" s="107"/>
      <c r="H389" s="36"/>
      <c r="I389" s="108"/>
      <c r="J389" s="47"/>
      <c r="K389" s="109"/>
      <c r="L389" s="110"/>
      <c r="M389" s="109"/>
    </row>
    <row r="390" ht="12.0" customHeight="1">
      <c r="A390" s="106"/>
      <c r="B390" s="41"/>
      <c r="E390" s="41"/>
      <c r="G390" s="107"/>
      <c r="H390" s="36"/>
      <c r="I390" s="108"/>
      <c r="J390" s="47"/>
      <c r="K390" s="109"/>
      <c r="L390" s="110"/>
      <c r="M390" s="109"/>
    </row>
    <row r="391" ht="12.0" customHeight="1">
      <c r="A391" s="106"/>
      <c r="B391" s="41"/>
      <c r="E391" s="41"/>
      <c r="G391" s="107"/>
      <c r="H391" s="36"/>
      <c r="I391" s="108"/>
      <c r="J391" s="47"/>
      <c r="K391" s="109"/>
      <c r="L391" s="110"/>
      <c r="M391" s="109"/>
    </row>
    <row r="392" ht="12.0" customHeight="1">
      <c r="A392" s="106"/>
      <c r="B392" s="41"/>
      <c r="E392" s="41"/>
      <c r="G392" s="107"/>
      <c r="H392" s="36"/>
      <c r="I392" s="108"/>
      <c r="J392" s="47"/>
      <c r="K392" s="109"/>
      <c r="L392" s="110"/>
      <c r="M392" s="109"/>
    </row>
    <row r="393" ht="12.0" customHeight="1">
      <c r="A393" s="106"/>
      <c r="B393" s="41"/>
      <c r="E393" s="41"/>
      <c r="G393" s="107"/>
      <c r="H393" s="36"/>
      <c r="I393" s="108"/>
      <c r="J393" s="47"/>
      <c r="K393" s="109"/>
      <c r="L393" s="110"/>
      <c r="M393" s="109"/>
    </row>
    <row r="394" ht="12.0" customHeight="1">
      <c r="A394" s="106"/>
      <c r="B394" s="41"/>
      <c r="E394" s="41"/>
      <c r="G394" s="107"/>
      <c r="H394" s="36"/>
      <c r="I394" s="108"/>
      <c r="J394" s="47"/>
      <c r="K394" s="109"/>
      <c r="L394" s="110"/>
      <c r="M394" s="109"/>
    </row>
    <row r="395" ht="12.0" customHeight="1">
      <c r="A395" s="106"/>
      <c r="B395" s="41"/>
      <c r="E395" s="41"/>
      <c r="G395" s="107"/>
      <c r="H395" s="36"/>
      <c r="I395" s="108"/>
      <c r="J395" s="47"/>
      <c r="K395" s="109"/>
      <c r="L395" s="110"/>
      <c r="M395" s="109"/>
    </row>
    <row r="396" ht="12.0" customHeight="1">
      <c r="A396" s="106"/>
      <c r="B396" s="41"/>
      <c r="E396" s="41"/>
      <c r="G396" s="107"/>
      <c r="H396" s="36"/>
      <c r="I396" s="108"/>
      <c r="J396" s="47"/>
      <c r="K396" s="109"/>
      <c r="L396" s="110"/>
      <c r="M396" s="109"/>
    </row>
    <row r="397" ht="12.0" customHeight="1">
      <c r="A397" s="106"/>
      <c r="B397" s="41"/>
      <c r="E397" s="41"/>
      <c r="G397" s="107"/>
      <c r="H397" s="36"/>
      <c r="I397" s="108"/>
      <c r="J397" s="47"/>
      <c r="K397" s="109"/>
      <c r="L397" s="110"/>
      <c r="M397" s="109"/>
    </row>
    <row r="398" ht="12.0" customHeight="1">
      <c r="A398" s="106"/>
      <c r="B398" s="41"/>
      <c r="E398" s="41"/>
      <c r="G398" s="107"/>
      <c r="H398" s="36"/>
      <c r="I398" s="108"/>
      <c r="J398" s="47"/>
      <c r="K398" s="109"/>
      <c r="L398" s="110"/>
      <c r="M398" s="109"/>
    </row>
    <row r="399" ht="12.0" customHeight="1">
      <c r="A399" s="106"/>
      <c r="B399" s="41"/>
      <c r="E399" s="41"/>
      <c r="G399" s="107"/>
      <c r="H399" s="36"/>
      <c r="I399" s="108"/>
      <c r="J399" s="47"/>
      <c r="K399" s="109"/>
      <c r="L399" s="110"/>
      <c r="M399" s="109"/>
    </row>
    <row r="400" ht="12.0" customHeight="1">
      <c r="A400" s="106"/>
      <c r="B400" s="41"/>
      <c r="E400" s="41"/>
      <c r="G400" s="107"/>
      <c r="H400" s="36"/>
      <c r="I400" s="108"/>
      <c r="J400" s="47"/>
      <c r="K400" s="109"/>
      <c r="L400" s="110"/>
      <c r="M400" s="109"/>
    </row>
    <row r="401" ht="12.0" customHeight="1">
      <c r="A401" s="106"/>
      <c r="B401" s="41"/>
      <c r="E401" s="41"/>
      <c r="G401" s="107"/>
      <c r="H401" s="36"/>
      <c r="I401" s="108"/>
      <c r="J401" s="47"/>
      <c r="K401" s="109"/>
      <c r="L401" s="110"/>
      <c r="M401" s="109"/>
    </row>
    <row r="402" ht="12.0" customHeight="1">
      <c r="A402" s="106"/>
      <c r="B402" s="41"/>
      <c r="E402" s="41"/>
      <c r="G402" s="107"/>
      <c r="H402" s="36"/>
      <c r="I402" s="108"/>
      <c r="J402" s="47"/>
      <c r="K402" s="109"/>
      <c r="L402" s="110"/>
      <c r="M402" s="109"/>
    </row>
    <row r="403" ht="12.0" customHeight="1">
      <c r="A403" s="106"/>
      <c r="B403" s="41"/>
      <c r="E403" s="41"/>
      <c r="G403" s="107"/>
      <c r="H403" s="36"/>
      <c r="I403" s="108"/>
      <c r="J403" s="47"/>
      <c r="K403" s="109"/>
      <c r="L403" s="110"/>
      <c r="M403" s="109"/>
    </row>
    <row r="404" ht="12.0" customHeight="1">
      <c r="A404" s="106"/>
      <c r="B404" s="41"/>
      <c r="E404" s="41"/>
      <c r="G404" s="107"/>
      <c r="H404" s="36"/>
      <c r="I404" s="108"/>
      <c r="J404" s="47"/>
      <c r="K404" s="109"/>
      <c r="L404" s="110"/>
      <c r="M404" s="109"/>
    </row>
    <row r="405" ht="12.0" customHeight="1">
      <c r="A405" s="106"/>
      <c r="B405" s="41"/>
      <c r="E405" s="41"/>
      <c r="G405" s="107"/>
      <c r="H405" s="36"/>
      <c r="I405" s="108"/>
      <c r="J405" s="47"/>
      <c r="K405" s="109"/>
      <c r="L405" s="110"/>
      <c r="M405" s="109"/>
    </row>
    <row r="406" ht="12.0" customHeight="1">
      <c r="A406" s="106"/>
      <c r="B406" s="41"/>
      <c r="E406" s="41"/>
      <c r="G406" s="107"/>
      <c r="H406" s="36"/>
      <c r="I406" s="108"/>
      <c r="J406" s="47"/>
      <c r="K406" s="109"/>
      <c r="L406" s="110"/>
      <c r="M406" s="109"/>
    </row>
    <row r="407" ht="12.0" customHeight="1">
      <c r="A407" s="106"/>
      <c r="B407" s="41"/>
      <c r="E407" s="41"/>
      <c r="G407" s="107"/>
      <c r="H407" s="36"/>
      <c r="I407" s="108"/>
      <c r="J407" s="47"/>
      <c r="K407" s="109"/>
      <c r="L407" s="110"/>
      <c r="M407" s="109"/>
    </row>
    <row r="408" ht="12.0" customHeight="1">
      <c r="A408" s="106"/>
      <c r="B408" s="41"/>
      <c r="E408" s="41"/>
      <c r="G408" s="107"/>
      <c r="H408" s="36"/>
      <c r="I408" s="108"/>
      <c r="J408" s="47"/>
      <c r="K408" s="109"/>
      <c r="L408" s="110"/>
      <c r="M408" s="109"/>
    </row>
    <row r="409" ht="12.0" customHeight="1">
      <c r="A409" s="106"/>
      <c r="B409" s="41"/>
      <c r="E409" s="41"/>
      <c r="G409" s="107"/>
      <c r="H409" s="36"/>
      <c r="I409" s="108"/>
      <c r="J409" s="47"/>
      <c r="K409" s="109"/>
      <c r="L409" s="110"/>
      <c r="M409" s="109"/>
    </row>
    <row r="410" ht="12.0" customHeight="1">
      <c r="A410" s="106"/>
      <c r="B410" s="41"/>
      <c r="E410" s="41"/>
      <c r="G410" s="107"/>
      <c r="H410" s="36"/>
      <c r="I410" s="108"/>
      <c r="J410" s="47"/>
      <c r="K410" s="109"/>
      <c r="L410" s="110"/>
      <c r="M410" s="109"/>
    </row>
    <row r="411" ht="12.0" customHeight="1">
      <c r="A411" s="106"/>
      <c r="B411" s="41"/>
      <c r="E411" s="41"/>
      <c r="G411" s="107"/>
      <c r="H411" s="36"/>
      <c r="I411" s="108"/>
      <c r="J411" s="47"/>
      <c r="K411" s="109"/>
      <c r="L411" s="110"/>
      <c r="M411" s="109"/>
    </row>
    <row r="412" ht="12.0" customHeight="1">
      <c r="A412" s="106"/>
      <c r="B412" s="41"/>
      <c r="E412" s="41"/>
      <c r="G412" s="107"/>
      <c r="H412" s="36"/>
      <c r="I412" s="108"/>
      <c r="J412" s="47"/>
      <c r="K412" s="109"/>
      <c r="L412" s="110"/>
      <c r="M412" s="109"/>
    </row>
    <row r="413" ht="12.0" customHeight="1">
      <c r="A413" s="106"/>
      <c r="B413" s="41"/>
      <c r="E413" s="41"/>
      <c r="G413" s="107"/>
      <c r="H413" s="36"/>
      <c r="I413" s="108"/>
      <c r="J413" s="47"/>
      <c r="K413" s="109"/>
      <c r="L413" s="110"/>
      <c r="M413" s="109"/>
    </row>
    <row r="414" ht="12.0" customHeight="1">
      <c r="A414" s="106"/>
      <c r="B414" s="41"/>
      <c r="E414" s="41"/>
      <c r="G414" s="107"/>
      <c r="H414" s="36"/>
      <c r="I414" s="108"/>
      <c r="J414" s="47"/>
      <c r="K414" s="109"/>
      <c r="L414" s="110"/>
      <c r="M414" s="109"/>
    </row>
    <row r="415" ht="12.0" customHeight="1">
      <c r="A415" s="106"/>
      <c r="B415" s="41"/>
      <c r="E415" s="41"/>
      <c r="G415" s="107"/>
      <c r="H415" s="36"/>
      <c r="I415" s="108"/>
      <c r="J415" s="47"/>
      <c r="K415" s="109"/>
      <c r="L415" s="110"/>
      <c r="M415" s="109"/>
    </row>
    <row r="416" ht="12.0" customHeight="1">
      <c r="A416" s="106"/>
      <c r="B416" s="41"/>
      <c r="E416" s="41"/>
      <c r="G416" s="107"/>
      <c r="H416" s="36"/>
      <c r="I416" s="108"/>
      <c r="J416" s="47"/>
      <c r="K416" s="109"/>
      <c r="L416" s="110"/>
      <c r="M416" s="109"/>
    </row>
    <row r="417" ht="12.0" customHeight="1">
      <c r="A417" s="106"/>
      <c r="B417" s="41"/>
      <c r="E417" s="41"/>
      <c r="G417" s="107"/>
      <c r="H417" s="36"/>
      <c r="I417" s="108"/>
      <c r="J417" s="47"/>
      <c r="K417" s="109"/>
      <c r="L417" s="110"/>
      <c r="M417" s="109"/>
    </row>
    <row r="418" ht="12.0" customHeight="1">
      <c r="A418" s="106"/>
      <c r="B418" s="41"/>
      <c r="E418" s="41"/>
      <c r="G418" s="107"/>
      <c r="H418" s="36"/>
      <c r="I418" s="108"/>
      <c r="J418" s="47"/>
      <c r="K418" s="109"/>
      <c r="L418" s="110"/>
      <c r="M418" s="109"/>
    </row>
    <row r="419" ht="12.0" customHeight="1">
      <c r="A419" s="106"/>
      <c r="B419" s="41"/>
      <c r="E419" s="41"/>
      <c r="G419" s="107"/>
      <c r="H419" s="36"/>
      <c r="I419" s="108"/>
      <c r="J419" s="47"/>
      <c r="K419" s="109"/>
      <c r="L419" s="110"/>
      <c r="M419" s="109"/>
    </row>
    <row r="420" ht="12.0" customHeight="1">
      <c r="A420" s="106"/>
      <c r="B420" s="41"/>
      <c r="E420" s="41"/>
      <c r="G420" s="107"/>
      <c r="H420" s="36"/>
      <c r="I420" s="108"/>
      <c r="J420" s="47"/>
      <c r="K420" s="109"/>
      <c r="L420" s="110"/>
      <c r="M420" s="109"/>
    </row>
    <row r="421" ht="12.0" customHeight="1">
      <c r="A421" s="106"/>
      <c r="B421" s="41"/>
      <c r="E421" s="41"/>
      <c r="G421" s="107"/>
      <c r="H421" s="36"/>
      <c r="I421" s="108"/>
      <c r="J421" s="47"/>
      <c r="K421" s="109"/>
      <c r="L421" s="110"/>
      <c r="M421" s="109"/>
    </row>
    <row r="422" ht="12.0" customHeight="1">
      <c r="A422" s="106"/>
      <c r="B422" s="41"/>
      <c r="E422" s="41"/>
      <c r="G422" s="107"/>
      <c r="H422" s="36"/>
      <c r="I422" s="108"/>
      <c r="J422" s="47"/>
      <c r="K422" s="109"/>
      <c r="L422" s="110"/>
      <c r="M422" s="109"/>
    </row>
    <row r="423" ht="12.0" customHeight="1">
      <c r="A423" s="106"/>
      <c r="B423" s="41"/>
      <c r="E423" s="41"/>
      <c r="G423" s="107"/>
      <c r="H423" s="36"/>
      <c r="I423" s="108"/>
      <c r="J423" s="47"/>
      <c r="K423" s="109"/>
      <c r="L423" s="110"/>
      <c r="M423" s="109"/>
    </row>
    <row r="424" ht="12.0" customHeight="1">
      <c r="A424" s="106"/>
      <c r="B424" s="41"/>
      <c r="E424" s="41"/>
      <c r="G424" s="107"/>
      <c r="H424" s="36"/>
      <c r="I424" s="108"/>
      <c r="J424" s="47"/>
      <c r="K424" s="109"/>
      <c r="L424" s="110"/>
      <c r="M424" s="109"/>
    </row>
    <row r="425" ht="12.0" customHeight="1">
      <c r="A425" s="106"/>
      <c r="B425" s="41"/>
      <c r="E425" s="41"/>
      <c r="G425" s="107"/>
      <c r="H425" s="36"/>
      <c r="I425" s="108"/>
      <c r="J425" s="47"/>
      <c r="K425" s="109"/>
      <c r="L425" s="110"/>
      <c r="M425" s="109"/>
    </row>
    <row r="426" ht="12.0" customHeight="1">
      <c r="A426" s="106"/>
      <c r="B426" s="41"/>
      <c r="E426" s="41"/>
      <c r="G426" s="107"/>
      <c r="H426" s="36"/>
      <c r="I426" s="108"/>
      <c r="J426" s="47"/>
      <c r="K426" s="109"/>
      <c r="L426" s="110"/>
      <c r="M426" s="109"/>
    </row>
    <row r="427" ht="12.0" customHeight="1">
      <c r="A427" s="106"/>
      <c r="B427" s="41"/>
      <c r="E427" s="41"/>
      <c r="G427" s="107"/>
      <c r="H427" s="36"/>
      <c r="I427" s="108"/>
      <c r="J427" s="47"/>
      <c r="K427" s="109"/>
      <c r="L427" s="110"/>
      <c r="M427" s="109"/>
    </row>
    <row r="428" ht="12.0" customHeight="1">
      <c r="A428" s="106"/>
      <c r="B428" s="41"/>
      <c r="E428" s="41"/>
      <c r="G428" s="107"/>
      <c r="H428" s="36"/>
      <c r="I428" s="108"/>
      <c r="J428" s="47"/>
      <c r="K428" s="109"/>
      <c r="L428" s="110"/>
      <c r="M428" s="109"/>
    </row>
    <row r="429" ht="12.0" customHeight="1">
      <c r="A429" s="106"/>
      <c r="B429" s="41"/>
      <c r="E429" s="41"/>
      <c r="G429" s="107"/>
      <c r="H429" s="36"/>
      <c r="I429" s="108"/>
      <c r="J429" s="47"/>
      <c r="K429" s="109"/>
      <c r="L429" s="110"/>
      <c r="M429" s="109"/>
    </row>
    <row r="430" ht="12.0" customHeight="1">
      <c r="A430" s="106"/>
      <c r="B430" s="41"/>
      <c r="E430" s="41"/>
      <c r="G430" s="107"/>
      <c r="H430" s="36"/>
      <c r="I430" s="108"/>
      <c r="J430" s="47"/>
      <c r="K430" s="109"/>
      <c r="L430" s="110"/>
      <c r="M430" s="109"/>
    </row>
    <row r="431" ht="12.0" customHeight="1">
      <c r="A431" s="106"/>
      <c r="B431" s="41"/>
      <c r="E431" s="41"/>
      <c r="G431" s="107"/>
      <c r="H431" s="36"/>
      <c r="I431" s="108"/>
      <c r="J431" s="47"/>
      <c r="K431" s="109"/>
      <c r="L431" s="110"/>
      <c r="M431" s="109"/>
    </row>
    <row r="432" ht="12.0" customHeight="1">
      <c r="A432" s="106"/>
      <c r="B432" s="41"/>
      <c r="E432" s="41"/>
      <c r="G432" s="107"/>
      <c r="H432" s="36"/>
      <c r="I432" s="108"/>
      <c r="J432" s="47"/>
      <c r="K432" s="109"/>
      <c r="L432" s="110"/>
      <c r="M432" s="109"/>
    </row>
    <row r="433" ht="12.0" customHeight="1">
      <c r="A433" s="106"/>
      <c r="B433" s="41"/>
      <c r="E433" s="41"/>
      <c r="G433" s="107"/>
      <c r="H433" s="36"/>
      <c r="I433" s="108"/>
      <c r="J433" s="47"/>
      <c r="K433" s="109"/>
      <c r="L433" s="110"/>
      <c r="M433" s="109"/>
    </row>
    <row r="434" ht="12.0" customHeight="1">
      <c r="A434" s="106"/>
      <c r="B434" s="41"/>
      <c r="E434" s="41"/>
      <c r="G434" s="107"/>
      <c r="H434" s="36"/>
      <c r="I434" s="108"/>
      <c r="J434" s="47"/>
      <c r="K434" s="109"/>
      <c r="L434" s="110"/>
      <c r="M434" s="109"/>
    </row>
    <row r="435" ht="12.0" customHeight="1">
      <c r="A435" s="106"/>
      <c r="B435" s="41"/>
      <c r="E435" s="41"/>
      <c r="G435" s="107"/>
      <c r="H435" s="36"/>
      <c r="I435" s="108"/>
      <c r="J435" s="47"/>
      <c r="K435" s="109"/>
      <c r="L435" s="110"/>
      <c r="M435" s="109"/>
    </row>
    <row r="436" ht="12.0" customHeight="1">
      <c r="A436" s="106"/>
      <c r="B436" s="41"/>
      <c r="E436" s="41"/>
      <c r="G436" s="107"/>
      <c r="H436" s="36"/>
      <c r="I436" s="108"/>
      <c r="J436" s="47"/>
      <c r="K436" s="109"/>
      <c r="L436" s="110"/>
      <c r="M436" s="109"/>
    </row>
    <row r="437" ht="12.0" customHeight="1">
      <c r="A437" s="106"/>
      <c r="B437" s="41"/>
      <c r="E437" s="41"/>
      <c r="G437" s="107"/>
      <c r="H437" s="36"/>
      <c r="I437" s="108"/>
      <c r="J437" s="47"/>
      <c r="K437" s="109"/>
      <c r="L437" s="110"/>
      <c r="M437" s="109"/>
    </row>
    <row r="438" ht="12.0" customHeight="1">
      <c r="A438" s="106"/>
      <c r="B438" s="41"/>
      <c r="E438" s="41"/>
      <c r="G438" s="107"/>
      <c r="H438" s="36"/>
      <c r="I438" s="108"/>
      <c r="J438" s="47"/>
      <c r="K438" s="109"/>
      <c r="L438" s="110"/>
      <c r="M438" s="109"/>
    </row>
    <row r="439" ht="12.0" customHeight="1">
      <c r="A439" s="106"/>
      <c r="B439" s="41"/>
      <c r="E439" s="41"/>
      <c r="G439" s="107"/>
      <c r="H439" s="36"/>
      <c r="I439" s="108"/>
      <c r="J439" s="47"/>
      <c r="K439" s="109"/>
      <c r="L439" s="110"/>
      <c r="M439" s="109"/>
    </row>
    <row r="440" ht="12.0" customHeight="1">
      <c r="A440" s="106"/>
      <c r="B440" s="41"/>
      <c r="E440" s="41"/>
      <c r="G440" s="107"/>
      <c r="H440" s="36"/>
      <c r="I440" s="108"/>
      <c r="J440" s="47"/>
      <c r="K440" s="109"/>
      <c r="L440" s="110"/>
      <c r="M440" s="109"/>
    </row>
    <row r="441" ht="12.0" customHeight="1">
      <c r="A441" s="106"/>
      <c r="B441" s="41"/>
      <c r="E441" s="41"/>
      <c r="G441" s="107"/>
      <c r="H441" s="36"/>
      <c r="I441" s="108"/>
      <c r="J441" s="47"/>
      <c r="K441" s="109"/>
      <c r="L441" s="110"/>
      <c r="M441" s="109"/>
    </row>
    <row r="442" ht="12.0" customHeight="1">
      <c r="A442" s="106"/>
      <c r="B442" s="41"/>
      <c r="E442" s="41"/>
      <c r="G442" s="107"/>
      <c r="H442" s="36"/>
      <c r="I442" s="108"/>
      <c r="J442" s="47"/>
      <c r="K442" s="109"/>
      <c r="L442" s="110"/>
      <c r="M442" s="109"/>
    </row>
    <row r="443" ht="12.0" customHeight="1">
      <c r="A443" s="106"/>
      <c r="B443" s="41"/>
      <c r="E443" s="41"/>
      <c r="G443" s="107"/>
      <c r="H443" s="36"/>
      <c r="I443" s="108"/>
      <c r="J443" s="47"/>
      <c r="K443" s="109"/>
      <c r="L443" s="110"/>
      <c r="M443" s="109"/>
    </row>
    <row r="444" ht="12.0" customHeight="1">
      <c r="A444" s="106"/>
      <c r="B444" s="41"/>
      <c r="E444" s="41"/>
      <c r="G444" s="107"/>
      <c r="H444" s="36"/>
      <c r="I444" s="108"/>
      <c r="J444" s="47"/>
      <c r="K444" s="109"/>
      <c r="L444" s="110"/>
      <c r="M444" s="109"/>
    </row>
    <row r="445" ht="12.0" customHeight="1">
      <c r="A445" s="106"/>
      <c r="B445" s="41"/>
      <c r="E445" s="41"/>
      <c r="G445" s="107"/>
      <c r="H445" s="36"/>
      <c r="I445" s="108"/>
      <c r="J445" s="47"/>
      <c r="K445" s="109"/>
      <c r="L445" s="110"/>
      <c r="M445" s="109"/>
    </row>
    <row r="446" ht="12.0" customHeight="1">
      <c r="A446" s="106"/>
      <c r="B446" s="41"/>
      <c r="E446" s="41"/>
      <c r="G446" s="107"/>
      <c r="H446" s="36"/>
      <c r="I446" s="108"/>
      <c r="J446" s="47"/>
      <c r="K446" s="109"/>
      <c r="L446" s="110"/>
      <c r="M446" s="109"/>
    </row>
    <row r="447" ht="12.0" customHeight="1">
      <c r="A447" s="106"/>
      <c r="B447" s="41"/>
      <c r="E447" s="41"/>
      <c r="G447" s="107"/>
      <c r="H447" s="36"/>
      <c r="I447" s="108"/>
      <c r="J447" s="47"/>
      <c r="K447" s="109"/>
      <c r="L447" s="110"/>
      <c r="M447" s="109"/>
    </row>
    <row r="448" ht="12.0" customHeight="1">
      <c r="A448" s="106"/>
      <c r="B448" s="41"/>
      <c r="E448" s="41"/>
      <c r="G448" s="107"/>
      <c r="H448" s="36"/>
      <c r="I448" s="108"/>
      <c r="J448" s="47"/>
      <c r="K448" s="109"/>
      <c r="L448" s="110"/>
      <c r="M448" s="109"/>
    </row>
    <row r="449" ht="12.0" customHeight="1">
      <c r="A449" s="106"/>
      <c r="B449" s="41"/>
      <c r="E449" s="41"/>
      <c r="G449" s="107"/>
      <c r="H449" s="36"/>
      <c r="I449" s="108"/>
      <c r="J449" s="47"/>
      <c r="K449" s="109"/>
      <c r="L449" s="110"/>
      <c r="M449" s="109"/>
    </row>
    <row r="450" ht="12.0" customHeight="1">
      <c r="A450" s="106"/>
      <c r="B450" s="41"/>
      <c r="E450" s="41"/>
      <c r="G450" s="107"/>
      <c r="H450" s="36"/>
      <c r="I450" s="108"/>
      <c r="J450" s="47"/>
      <c r="K450" s="109"/>
      <c r="L450" s="110"/>
      <c r="M450" s="109"/>
    </row>
    <row r="451" ht="12.0" customHeight="1">
      <c r="A451" s="106"/>
      <c r="B451" s="41"/>
      <c r="E451" s="41"/>
      <c r="G451" s="107"/>
      <c r="H451" s="36"/>
      <c r="I451" s="108"/>
      <c r="J451" s="47"/>
      <c r="K451" s="109"/>
      <c r="L451" s="110"/>
      <c r="M451" s="109"/>
    </row>
    <row r="452" ht="12.0" customHeight="1">
      <c r="A452" s="106"/>
      <c r="B452" s="41"/>
      <c r="E452" s="41"/>
      <c r="G452" s="107"/>
      <c r="H452" s="36"/>
      <c r="I452" s="108"/>
      <c r="J452" s="47"/>
      <c r="K452" s="109"/>
      <c r="L452" s="110"/>
      <c r="M452" s="109"/>
    </row>
    <row r="453" ht="12.0" customHeight="1">
      <c r="A453" s="106"/>
      <c r="B453" s="41"/>
      <c r="E453" s="41"/>
      <c r="G453" s="107"/>
      <c r="H453" s="36"/>
      <c r="I453" s="108"/>
      <c r="J453" s="47"/>
      <c r="K453" s="109"/>
      <c r="L453" s="110"/>
      <c r="M453" s="109"/>
    </row>
    <row r="454" ht="12.0" customHeight="1">
      <c r="A454" s="106"/>
      <c r="B454" s="41"/>
      <c r="E454" s="41"/>
      <c r="G454" s="107"/>
      <c r="H454" s="36"/>
      <c r="I454" s="108"/>
      <c r="J454" s="47"/>
      <c r="K454" s="109"/>
      <c r="L454" s="110"/>
      <c r="M454" s="109"/>
    </row>
    <row r="455" ht="12.0" customHeight="1">
      <c r="A455" s="106"/>
      <c r="B455" s="41"/>
      <c r="E455" s="41"/>
      <c r="G455" s="107"/>
      <c r="H455" s="36"/>
      <c r="I455" s="108"/>
      <c r="J455" s="47"/>
      <c r="K455" s="109"/>
      <c r="L455" s="110"/>
      <c r="M455" s="109"/>
    </row>
    <row r="456" ht="12.0" customHeight="1">
      <c r="A456" s="106"/>
      <c r="B456" s="41"/>
      <c r="E456" s="41"/>
      <c r="G456" s="107"/>
      <c r="H456" s="36"/>
      <c r="I456" s="108"/>
      <c r="J456" s="47"/>
      <c r="K456" s="109"/>
      <c r="L456" s="110"/>
      <c r="M456" s="109"/>
    </row>
    <row r="457" ht="12.0" customHeight="1">
      <c r="A457" s="106"/>
      <c r="B457" s="41"/>
      <c r="E457" s="41"/>
      <c r="G457" s="107"/>
      <c r="H457" s="36"/>
      <c r="I457" s="108"/>
      <c r="J457" s="47"/>
      <c r="K457" s="109"/>
      <c r="L457" s="110"/>
      <c r="M457" s="109"/>
    </row>
    <row r="458" ht="12.0" customHeight="1">
      <c r="A458" s="106"/>
      <c r="B458" s="41"/>
      <c r="E458" s="41"/>
      <c r="G458" s="107"/>
      <c r="H458" s="36"/>
      <c r="I458" s="108"/>
      <c r="J458" s="47"/>
      <c r="K458" s="109"/>
      <c r="L458" s="110"/>
      <c r="M458" s="109"/>
    </row>
    <row r="459" ht="12.0" customHeight="1">
      <c r="A459" s="106"/>
      <c r="B459" s="41"/>
      <c r="E459" s="41"/>
      <c r="G459" s="107"/>
      <c r="H459" s="36"/>
      <c r="I459" s="108"/>
      <c r="J459" s="47"/>
      <c r="K459" s="109"/>
      <c r="L459" s="110"/>
      <c r="M459" s="109"/>
    </row>
    <row r="460" ht="12.0" customHeight="1">
      <c r="A460" s="106"/>
      <c r="B460" s="41"/>
      <c r="E460" s="41"/>
      <c r="G460" s="107"/>
      <c r="H460" s="36"/>
      <c r="I460" s="108"/>
      <c r="J460" s="47"/>
      <c r="K460" s="109"/>
      <c r="L460" s="110"/>
      <c r="M460" s="109"/>
    </row>
    <row r="461" ht="12.0" customHeight="1">
      <c r="A461" s="106"/>
      <c r="B461" s="41"/>
      <c r="E461" s="41"/>
      <c r="G461" s="107"/>
      <c r="H461" s="36"/>
      <c r="I461" s="108"/>
      <c r="J461" s="47"/>
      <c r="K461" s="109"/>
      <c r="L461" s="110"/>
      <c r="M461" s="109"/>
    </row>
    <row r="462" ht="12.0" customHeight="1">
      <c r="A462" s="106"/>
      <c r="B462" s="41"/>
      <c r="E462" s="41"/>
      <c r="G462" s="107"/>
      <c r="H462" s="36"/>
      <c r="I462" s="108"/>
      <c r="J462" s="47"/>
      <c r="K462" s="109"/>
      <c r="L462" s="110"/>
      <c r="M462" s="109"/>
    </row>
    <row r="463" ht="12.0" customHeight="1">
      <c r="A463" s="106"/>
      <c r="B463" s="41"/>
      <c r="E463" s="41"/>
      <c r="G463" s="107"/>
      <c r="H463" s="36"/>
      <c r="I463" s="108"/>
      <c r="J463" s="47"/>
      <c r="K463" s="109"/>
      <c r="L463" s="110"/>
      <c r="M463" s="109"/>
    </row>
    <row r="464" ht="12.0" customHeight="1">
      <c r="A464" s="106"/>
      <c r="B464" s="41"/>
      <c r="E464" s="41"/>
      <c r="G464" s="107"/>
      <c r="H464" s="36"/>
      <c r="I464" s="108"/>
      <c r="J464" s="47"/>
      <c r="K464" s="109"/>
      <c r="L464" s="110"/>
      <c r="M464" s="109"/>
    </row>
    <row r="465" ht="12.0" customHeight="1">
      <c r="A465" s="106"/>
      <c r="B465" s="41"/>
      <c r="E465" s="41"/>
      <c r="G465" s="107"/>
      <c r="H465" s="36"/>
      <c r="I465" s="108"/>
      <c r="J465" s="47"/>
      <c r="K465" s="109"/>
      <c r="L465" s="110"/>
      <c r="M465" s="109"/>
    </row>
    <row r="466" ht="12.0" customHeight="1">
      <c r="A466" s="106"/>
      <c r="B466" s="41"/>
      <c r="E466" s="41"/>
      <c r="G466" s="107"/>
      <c r="H466" s="36"/>
      <c r="I466" s="108"/>
      <c r="J466" s="47"/>
      <c r="K466" s="109"/>
      <c r="L466" s="110"/>
      <c r="M466" s="109"/>
    </row>
    <row r="467" ht="12.0" customHeight="1">
      <c r="A467" s="106"/>
      <c r="B467" s="41"/>
      <c r="E467" s="41"/>
      <c r="G467" s="107"/>
      <c r="H467" s="36"/>
      <c r="I467" s="108"/>
      <c r="J467" s="47"/>
      <c r="K467" s="109"/>
      <c r="L467" s="110"/>
      <c r="M467" s="109"/>
    </row>
    <row r="468" ht="12.0" customHeight="1">
      <c r="A468" s="106"/>
      <c r="B468" s="41"/>
      <c r="E468" s="41"/>
      <c r="G468" s="107"/>
      <c r="H468" s="36"/>
      <c r="I468" s="108"/>
      <c r="J468" s="47"/>
      <c r="K468" s="109"/>
      <c r="L468" s="110"/>
      <c r="M468" s="109"/>
    </row>
    <row r="469" ht="12.0" customHeight="1">
      <c r="A469" s="106"/>
      <c r="B469" s="41"/>
      <c r="E469" s="41"/>
      <c r="G469" s="107"/>
      <c r="H469" s="36"/>
      <c r="I469" s="108"/>
      <c r="J469" s="47"/>
      <c r="K469" s="109"/>
      <c r="L469" s="110"/>
      <c r="M469" s="109"/>
    </row>
    <row r="470" ht="12.0" customHeight="1">
      <c r="A470" s="106"/>
      <c r="B470" s="41"/>
      <c r="E470" s="41"/>
      <c r="G470" s="107"/>
      <c r="H470" s="36"/>
      <c r="I470" s="108"/>
      <c r="J470" s="47"/>
      <c r="K470" s="109"/>
      <c r="L470" s="110"/>
      <c r="M470" s="109"/>
    </row>
    <row r="471" ht="12.0" customHeight="1">
      <c r="A471" s="106"/>
      <c r="B471" s="41"/>
      <c r="E471" s="41"/>
      <c r="G471" s="107"/>
      <c r="H471" s="36"/>
      <c r="I471" s="108"/>
      <c r="J471" s="47"/>
      <c r="K471" s="109"/>
      <c r="L471" s="110"/>
      <c r="M471" s="109"/>
    </row>
    <row r="472" ht="12.0" customHeight="1">
      <c r="A472" s="106"/>
      <c r="B472" s="41"/>
      <c r="E472" s="41"/>
      <c r="G472" s="107"/>
      <c r="H472" s="36"/>
      <c r="I472" s="108"/>
      <c r="J472" s="47"/>
      <c r="K472" s="109"/>
      <c r="L472" s="110"/>
      <c r="M472" s="109"/>
    </row>
    <row r="473" ht="12.0" customHeight="1">
      <c r="A473" s="106"/>
      <c r="B473" s="41"/>
      <c r="E473" s="41"/>
      <c r="G473" s="107"/>
      <c r="H473" s="36"/>
      <c r="I473" s="108"/>
      <c r="J473" s="47"/>
      <c r="K473" s="109"/>
      <c r="L473" s="110"/>
      <c r="M473" s="109"/>
    </row>
    <row r="474" ht="12.0" customHeight="1">
      <c r="A474" s="106"/>
      <c r="B474" s="41"/>
      <c r="E474" s="41"/>
      <c r="G474" s="107"/>
      <c r="H474" s="36"/>
      <c r="I474" s="108"/>
      <c r="J474" s="47"/>
      <c r="K474" s="109"/>
      <c r="L474" s="110"/>
      <c r="M474" s="109"/>
    </row>
    <row r="475" ht="12.0" customHeight="1">
      <c r="A475" s="106"/>
      <c r="B475" s="41"/>
      <c r="E475" s="41"/>
      <c r="G475" s="107"/>
      <c r="H475" s="36"/>
      <c r="I475" s="108"/>
      <c r="J475" s="47"/>
      <c r="K475" s="109"/>
      <c r="L475" s="110"/>
      <c r="M475" s="109"/>
    </row>
    <row r="476" ht="12.0" customHeight="1">
      <c r="A476" s="106"/>
      <c r="B476" s="41"/>
      <c r="E476" s="41"/>
      <c r="G476" s="107"/>
      <c r="H476" s="36"/>
      <c r="I476" s="108"/>
      <c r="J476" s="47"/>
      <c r="K476" s="109"/>
      <c r="L476" s="110"/>
      <c r="M476" s="109"/>
    </row>
    <row r="477" ht="12.0" customHeight="1">
      <c r="A477" s="106"/>
      <c r="B477" s="41"/>
      <c r="E477" s="41"/>
      <c r="G477" s="107"/>
      <c r="H477" s="36"/>
      <c r="I477" s="108"/>
      <c r="J477" s="47"/>
      <c r="K477" s="109"/>
      <c r="L477" s="110"/>
      <c r="M477" s="109"/>
    </row>
    <row r="478" ht="12.0" customHeight="1">
      <c r="A478" s="106"/>
      <c r="B478" s="41"/>
      <c r="E478" s="41"/>
      <c r="G478" s="107"/>
      <c r="H478" s="36"/>
      <c r="I478" s="108"/>
      <c r="J478" s="47"/>
      <c r="K478" s="109"/>
      <c r="L478" s="110"/>
      <c r="M478" s="109"/>
    </row>
    <row r="479" ht="12.0" customHeight="1">
      <c r="A479" s="106"/>
      <c r="B479" s="41"/>
      <c r="E479" s="41"/>
      <c r="G479" s="107"/>
      <c r="H479" s="36"/>
      <c r="I479" s="108"/>
      <c r="J479" s="47"/>
      <c r="K479" s="109"/>
      <c r="L479" s="110"/>
      <c r="M479" s="109"/>
    </row>
    <row r="480" ht="12.0" customHeight="1">
      <c r="A480" s="106"/>
      <c r="B480" s="41"/>
      <c r="E480" s="41"/>
      <c r="G480" s="107"/>
      <c r="H480" s="36"/>
      <c r="I480" s="108"/>
      <c r="J480" s="47"/>
      <c r="K480" s="109"/>
      <c r="L480" s="110"/>
      <c r="M480" s="109"/>
    </row>
    <row r="481" ht="12.0" customHeight="1">
      <c r="A481" s="106"/>
      <c r="B481" s="41"/>
      <c r="E481" s="41"/>
      <c r="G481" s="107"/>
      <c r="H481" s="36"/>
      <c r="I481" s="108"/>
      <c r="J481" s="47"/>
      <c r="K481" s="109"/>
      <c r="L481" s="110"/>
      <c r="M481" s="109"/>
    </row>
    <row r="482" ht="12.0" customHeight="1">
      <c r="A482" s="106"/>
      <c r="B482" s="41"/>
      <c r="E482" s="41"/>
      <c r="G482" s="107"/>
      <c r="H482" s="36"/>
      <c r="I482" s="108"/>
      <c r="J482" s="47"/>
      <c r="K482" s="109"/>
      <c r="L482" s="110"/>
      <c r="M482" s="109"/>
    </row>
    <row r="483" ht="12.0" customHeight="1">
      <c r="A483" s="106"/>
      <c r="B483" s="41"/>
      <c r="E483" s="41"/>
      <c r="G483" s="107"/>
      <c r="H483" s="36"/>
      <c r="I483" s="108"/>
      <c r="J483" s="47"/>
      <c r="K483" s="109"/>
      <c r="L483" s="110"/>
      <c r="M483" s="109"/>
    </row>
    <row r="484" ht="12.0" customHeight="1">
      <c r="A484" s="106"/>
      <c r="B484" s="41"/>
      <c r="E484" s="41"/>
      <c r="G484" s="107"/>
      <c r="H484" s="36"/>
      <c r="I484" s="108"/>
      <c r="J484" s="47"/>
      <c r="K484" s="109"/>
      <c r="L484" s="110"/>
      <c r="M484" s="109"/>
    </row>
    <row r="485" ht="12.0" customHeight="1">
      <c r="A485" s="106"/>
      <c r="B485" s="41"/>
      <c r="E485" s="41"/>
      <c r="G485" s="107"/>
      <c r="H485" s="36"/>
      <c r="I485" s="108"/>
      <c r="J485" s="47"/>
      <c r="K485" s="109"/>
      <c r="L485" s="110"/>
      <c r="M485" s="109"/>
    </row>
    <row r="486" ht="12.0" customHeight="1">
      <c r="A486" s="106"/>
      <c r="B486" s="41"/>
      <c r="E486" s="41"/>
      <c r="G486" s="107"/>
      <c r="H486" s="36"/>
      <c r="I486" s="108"/>
      <c r="J486" s="47"/>
      <c r="K486" s="109"/>
      <c r="L486" s="110"/>
      <c r="M486" s="109"/>
    </row>
    <row r="487" ht="12.0" customHeight="1">
      <c r="A487" s="106"/>
      <c r="B487" s="41"/>
      <c r="E487" s="41"/>
      <c r="G487" s="107"/>
      <c r="H487" s="36"/>
      <c r="I487" s="108"/>
      <c r="J487" s="47"/>
      <c r="K487" s="109"/>
      <c r="L487" s="110"/>
      <c r="M487" s="109"/>
    </row>
    <row r="488" ht="12.0" customHeight="1">
      <c r="A488" s="106"/>
      <c r="B488" s="41"/>
      <c r="E488" s="41"/>
      <c r="G488" s="107"/>
      <c r="H488" s="36"/>
      <c r="I488" s="108"/>
      <c r="J488" s="47"/>
      <c r="K488" s="109"/>
      <c r="L488" s="110"/>
      <c r="M488" s="109"/>
    </row>
    <row r="489" ht="12.0" customHeight="1">
      <c r="A489" s="106"/>
      <c r="B489" s="41"/>
      <c r="E489" s="41"/>
      <c r="G489" s="107"/>
      <c r="H489" s="36"/>
      <c r="I489" s="108"/>
      <c r="J489" s="47"/>
      <c r="K489" s="109"/>
      <c r="L489" s="110"/>
      <c r="M489" s="109"/>
    </row>
    <row r="490" ht="12.0" customHeight="1">
      <c r="A490" s="106"/>
      <c r="B490" s="41"/>
      <c r="E490" s="41"/>
      <c r="G490" s="107"/>
      <c r="H490" s="36"/>
      <c r="I490" s="108"/>
      <c r="J490" s="47"/>
      <c r="K490" s="109"/>
      <c r="L490" s="110"/>
      <c r="M490" s="109"/>
    </row>
    <row r="491" ht="12.0" customHeight="1">
      <c r="A491" s="106"/>
      <c r="B491" s="41"/>
      <c r="E491" s="41"/>
      <c r="G491" s="107"/>
      <c r="H491" s="36"/>
      <c r="I491" s="108"/>
      <c r="J491" s="47"/>
      <c r="K491" s="109"/>
      <c r="L491" s="110"/>
      <c r="M491" s="109"/>
    </row>
    <row r="492" ht="12.0" customHeight="1">
      <c r="A492" s="106"/>
      <c r="B492" s="41"/>
      <c r="E492" s="41"/>
      <c r="G492" s="107"/>
      <c r="H492" s="36"/>
      <c r="I492" s="108"/>
      <c r="J492" s="47"/>
      <c r="K492" s="109"/>
      <c r="L492" s="110"/>
      <c r="M492" s="109"/>
    </row>
    <row r="493" ht="12.0" customHeight="1">
      <c r="A493" s="106"/>
      <c r="B493" s="41"/>
      <c r="E493" s="41"/>
      <c r="G493" s="107"/>
      <c r="H493" s="36"/>
      <c r="I493" s="108"/>
      <c r="J493" s="47"/>
      <c r="K493" s="109"/>
      <c r="L493" s="110"/>
      <c r="M493" s="109"/>
    </row>
    <row r="494" ht="12.0" customHeight="1">
      <c r="A494" s="106"/>
      <c r="B494" s="41"/>
      <c r="E494" s="41"/>
      <c r="G494" s="107"/>
      <c r="H494" s="36"/>
      <c r="I494" s="108"/>
      <c r="J494" s="47"/>
      <c r="K494" s="109"/>
      <c r="L494" s="110"/>
      <c r="M494" s="109"/>
    </row>
    <row r="495" ht="12.0" customHeight="1">
      <c r="A495" s="106"/>
      <c r="B495" s="41"/>
      <c r="E495" s="41"/>
      <c r="G495" s="107"/>
      <c r="H495" s="36"/>
      <c r="I495" s="108"/>
      <c r="J495" s="47"/>
      <c r="K495" s="109"/>
      <c r="L495" s="110"/>
      <c r="M495" s="109"/>
    </row>
    <row r="496" ht="12.0" customHeight="1">
      <c r="A496" s="106"/>
      <c r="B496" s="41"/>
      <c r="E496" s="41"/>
      <c r="G496" s="107"/>
      <c r="H496" s="36"/>
      <c r="I496" s="108"/>
      <c r="J496" s="47"/>
      <c r="K496" s="109"/>
      <c r="L496" s="110"/>
      <c r="M496" s="109"/>
    </row>
    <row r="497" ht="12.0" customHeight="1">
      <c r="A497" s="106"/>
      <c r="B497" s="41"/>
      <c r="E497" s="41"/>
      <c r="G497" s="107"/>
      <c r="H497" s="36"/>
      <c r="I497" s="108"/>
      <c r="J497" s="47"/>
      <c r="K497" s="109"/>
      <c r="L497" s="110"/>
      <c r="M497" s="109"/>
    </row>
    <row r="498" ht="12.0" customHeight="1">
      <c r="A498" s="106"/>
      <c r="B498" s="41"/>
      <c r="E498" s="41"/>
      <c r="G498" s="107"/>
      <c r="H498" s="36"/>
      <c r="I498" s="108"/>
      <c r="J498" s="47"/>
      <c r="K498" s="109"/>
      <c r="L498" s="110"/>
      <c r="M498" s="109"/>
    </row>
    <row r="499" ht="12.0" customHeight="1">
      <c r="A499" s="106"/>
      <c r="B499" s="41"/>
      <c r="E499" s="41"/>
      <c r="G499" s="107"/>
      <c r="H499" s="36"/>
      <c r="I499" s="108"/>
      <c r="J499" s="47"/>
      <c r="K499" s="109"/>
      <c r="L499" s="110"/>
      <c r="M499" s="109"/>
    </row>
    <row r="500" ht="12.0" customHeight="1">
      <c r="A500" s="106"/>
      <c r="B500" s="41"/>
      <c r="E500" s="41"/>
      <c r="G500" s="107"/>
      <c r="H500" s="36"/>
      <c r="I500" s="108"/>
      <c r="J500" s="47"/>
      <c r="K500" s="109"/>
      <c r="L500" s="110"/>
      <c r="M500" s="109"/>
    </row>
    <row r="501" ht="12.0" customHeight="1">
      <c r="A501" s="106"/>
      <c r="B501" s="41"/>
      <c r="E501" s="41"/>
      <c r="G501" s="107"/>
      <c r="H501" s="36"/>
      <c r="I501" s="108"/>
      <c r="J501" s="47"/>
      <c r="K501" s="109"/>
      <c r="L501" s="110"/>
      <c r="M501" s="109"/>
    </row>
    <row r="502" ht="12.0" customHeight="1">
      <c r="A502" s="106"/>
      <c r="B502" s="41"/>
      <c r="E502" s="41"/>
      <c r="G502" s="107"/>
      <c r="H502" s="36"/>
      <c r="I502" s="108"/>
      <c r="J502" s="47"/>
      <c r="K502" s="109"/>
      <c r="L502" s="110"/>
      <c r="M502" s="109"/>
    </row>
    <row r="503" ht="12.0" customHeight="1">
      <c r="A503" s="106"/>
      <c r="B503" s="41"/>
      <c r="E503" s="41"/>
      <c r="G503" s="107"/>
      <c r="H503" s="36"/>
      <c r="I503" s="108"/>
      <c r="J503" s="47"/>
      <c r="K503" s="109"/>
      <c r="L503" s="110"/>
      <c r="M503" s="109"/>
    </row>
    <row r="504" ht="12.0" customHeight="1">
      <c r="A504" s="106"/>
      <c r="B504" s="41"/>
      <c r="E504" s="41"/>
      <c r="G504" s="107"/>
      <c r="H504" s="36"/>
      <c r="I504" s="108"/>
      <c r="J504" s="47"/>
      <c r="K504" s="109"/>
      <c r="L504" s="110"/>
      <c r="M504" s="109"/>
    </row>
    <row r="505" ht="12.0" customHeight="1">
      <c r="A505" s="106"/>
      <c r="B505" s="41"/>
      <c r="E505" s="41"/>
      <c r="G505" s="107"/>
      <c r="H505" s="36"/>
      <c r="I505" s="108"/>
      <c r="J505" s="47"/>
      <c r="K505" s="109"/>
      <c r="L505" s="110"/>
      <c r="M505" s="109"/>
    </row>
    <row r="506" ht="12.0" customHeight="1">
      <c r="A506" s="106"/>
      <c r="B506" s="41"/>
      <c r="E506" s="41"/>
      <c r="G506" s="107"/>
      <c r="H506" s="36"/>
      <c r="I506" s="108"/>
      <c r="J506" s="47"/>
      <c r="K506" s="109"/>
      <c r="L506" s="110"/>
      <c r="M506" s="109"/>
    </row>
    <row r="507" ht="12.0" customHeight="1">
      <c r="A507" s="106"/>
      <c r="B507" s="41"/>
      <c r="E507" s="41"/>
      <c r="G507" s="107"/>
      <c r="H507" s="36"/>
      <c r="I507" s="108"/>
      <c r="J507" s="47"/>
      <c r="K507" s="109"/>
      <c r="L507" s="110"/>
      <c r="M507" s="109"/>
    </row>
    <row r="508" ht="12.0" customHeight="1">
      <c r="A508" s="106"/>
      <c r="B508" s="41"/>
      <c r="E508" s="41"/>
      <c r="G508" s="107"/>
      <c r="H508" s="36"/>
      <c r="I508" s="108"/>
      <c r="J508" s="47"/>
      <c r="K508" s="109"/>
      <c r="L508" s="110"/>
      <c r="M508" s="109"/>
    </row>
    <row r="509" ht="12.0" customHeight="1">
      <c r="A509" s="106"/>
      <c r="B509" s="41"/>
      <c r="E509" s="41"/>
      <c r="G509" s="107"/>
      <c r="H509" s="36"/>
      <c r="I509" s="108"/>
      <c r="J509" s="47"/>
      <c r="K509" s="109"/>
      <c r="L509" s="110"/>
      <c r="M509" s="109"/>
    </row>
    <row r="510" ht="12.0" customHeight="1">
      <c r="A510" s="106"/>
      <c r="B510" s="41"/>
      <c r="E510" s="41"/>
      <c r="G510" s="107"/>
      <c r="H510" s="36"/>
      <c r="I510" s="108"/>
      <c r="J510" s="47"/>
      <c r="K510" s="109"/>
      <c r="L510" s="110"/>
      <c r="M510" s="109"/>
    </row>
    <row r="511" ht="12.0" customHeight="1">
      <c r="A511" s="106"/>
      <c r="B511" s="41"/>
      <c r="E511" s="41"/>
      <c r="G511" s="107"/>
      <c r="H511" s="36"/>
      <c r="I511" s="108"/>
      <c r="J511" s="47"/>
      <c r="K511" s="109"/>
      <c r="L511" s="110"/>
      <c r="M511" s="109"/>
    </row>
    <row r="512" ht="12.0" customHeight="1">
      <c r="A512" s="106"/>
      <c r="B512" s="41"/>
      <c r="E512" s="41"/>
      <c r="G512" s="107"/>
      <c r="H512" s="36"/>
      <c r="I512" s="108"/>
      <c r="J512" s="47"/>
      <c r="K512" s="109"/>
      <c r="L512" s="110"/>
      <c r="M512" s="109"/>
    </row>
    <row r="513" ht="12.0" customHeight="1">
      <c r="A513" s="106"/>
      <c r="B513" s="41"/>
      <c r="E513" s="41"/>
      <c r="G513" s="107"/>
      <c r="H513" s="36"/>
      <c r="I513" s="108"/>
      <c r="J513" s="47"/>
      <c r="K513" s="109"/>
      <c r="L513" s="110"/>
      <c r="M513" s="109"/>
    </row>
    <row r="514" ht="12.0" customHeight="1">
      <c r="A514" s="106"/>
      <c r="B514" s="41"/>
      <c r="E514" s="41"/>
      <c r="G514" s="107"/>
      <c r="H514" s="36"/>
      <c r="I514" s="108"/>
      <c r="J514" s="47"/>
      <c r="K514" s="109"/>
      <c r="L514" s="110"/>
      <c r="M514" s="109"/>
    </row>
    <row r="515" ht="12.0" customHeight="1">
      <c r="A515" s="106"/>
      <c r="B515" s="41"/>
      <c r="E515" s="41"/>
      <c r="G515" s="107"/>
      <c r="H515" s="36"/>
      <c r="I515" s="108"/>
      <c r="J515" s="47"/>
      <c r="K515" s="109"/>
      <c r="L515" s="110"/>
      <c r="M515" s="109"/>
    </row>
    <row r="516" ht="12.0" customHeight="1">
      <c r="A516" s="106"/>
      <c r="B516" s="41"/>
      <c r="E516" s="41"/>
      <c r="G516" s="107"/>
      <c r="H516" s="36"/>
      <c r="I516" s="108"/>
      <c r="J516" s="47"/>
      <c r="K516" s="109"/>
      <c r="L516" s="110"/>
      <c r="M516" s="109"/>
    </row>
    <row r="517" ht="12.0" customHeight="1">
      <c r="A517" s="106"/>
      <c r="B517" s="41"/>
      <c r="E517" s="41"/>
      <c r="G517" s="107"/>
      <c r="H517" s="36"/>
      <c r="I517" s="108"/>
      <c r="J517" s="47"/>
      <c r="K517" s="109"/>
      <c r="L517" s="110"/>
      <c r="M517" s="109"/>
    </row>
    <row r="518" ht="12.0" customHeight="1">
      <c r="A518" s="106"/>
      <c r="B518" s="41"/>
      <c r="E518" s="41"/>
      <c r="G518" s="107"/>
      <c r="H518" s="36"/>
      <c r="I518" s="108"/>
      <c r="J518" s="47"/>
      <c r="K518" s="109"/>
      <c r="L518" s="110"/>
      <c r="M518" s="109"/>
    </row>
    <row r="519" ht="12.0" customHeight="1">
      <c r="A519" s="106"/>
      <c r="B519" s="41"/>
      <c r="E519" s="41"/>
      <c r="G519" s="107"/>
      <c r="H519" s="36"/>
      <c r="I519" s="108"/>
      <c r="J519" s="47"/>
      <c r="K519" s="109"/>
      <c r="L519" s="110"/>
      <c r="M519" s="109"/>
    </row>
    <row r="520" ht="12.0" customHeight="1">
      <c r="A520" s="106"/>
      <c r="B520" s="41"/>
      <c r="E520" s="41"/>
      <c r="G520" s="107"/>
      <c r="H520" s="36"/>
      <c r="I520" s="108"/>
      <c r="J520" s="47"/>
      <c r="K520" s="109"/>
      <c r="L520" s="110"/>
      <c r="M520" s="109"/>
    </row>
    <row r="521" ht="12.0" customHeight="1">
      <c r="A521" s="106"/>
      <c r="B521" s="41"/>
      <c r="E521" s="41"/>
      <c r="G521" s="107"/>
      <c r="H521" s="36"/>
      <c r="I521" s="108"/>
      <c r="J521" s="47"/>
      <c r="K521" s="109"/>
      <c r="L521" s="110"/>
      <c r="M521" s="109"/>
    </row>
    <row r="522" ht="12.0" customHeight="1">
      <c r="A522" s="106"/>
      <c r="B522" s="41"/>
      <c r="E522" s="41"/>
      <c r="G522" s="107"/>
      <c r="H522" s="36"/>
      <c r="I522" s="108"/>
      <c r="J522" s="47"/>
      <c r="K522" s="109"/>
      <c r="L522" s="110"/>
      <c r="M522" s="109"/>
    </row>
    <row r="523" ht="12.0" customHeight="1">
      <c r="A523" s="106"/>
      <c r="B523" s="41"/>
      <c r="E523" s="41"/>
      <c r="G523" s="107"/>
      <c r="H523" s="36"/>
      <c r="I523" s="108"/>
      <c r="J523" s="47"/>
      <c r="K523" s="109"/>
      <c r="L523" s="110"/>
      <c r="M523" s="109"/>
    </row>
    <row r="524" ht="12.0" customHeight="1">
      <c r="A524" s="106"/>
      <c r="B524" s="41"/>
      <c r="E524" s="41"/>
      <c r="G524" s="107"/>
      <c r="H524" s="36"/>
      <c r="I524" s="108"/>
      <c r="J524" s="47"/>
      <c r="K524" s="109"/>
      <c r="L524" s="110"/>
      <c r="M524" s="109"/>
    </row>
    <row r="525" ht="12.0" customHeight="1">
      <c r="A525" s="106"/>
      <c r="B525" s="41"/>
      <c r="E525" s="41"/>
      <c r="G525" s="107"/>
      <c r="H525" s="36"/>
      <c r="I525" s="108"/>
      <c r="J525" s="47"/>
      <c r="K525" s="109"/>
      <c r="L525" s="110"/>
      <c r="M525" s="109"/>
    </row>
    <row r="526" ht="12.0" customHeight="1">
      <c r="A526" s="106"/>
      <c r="B526" s="41"/>
      <c r="E526" s="41"/>
      <c r="G526" s="107"/>
      <c r="H526" s="36"/>
      <c r="I526" s="108"/>
      <c r="J526" s="47"/>
      <c r="K526" s="109"/>
      <c r="L526" s="110"/>
      <c r="M526" s="109"/>
    </row>
    <row r="527" ht="12.0" customHeight="1">
      <c r="A527" s="106"/>
      <c r="B527" s="41"/>
      <c r="E527" s="41"/>
      <c r="G527" s="107"/>
      <c r="H527" s="36"/>
      <c r="I527" s="108"/>
      <c r="J527" s="47"/>
      <c r="K527" s="109"/>
      <c r="L527" s="110"/>
      <c r="M527" s="109"/>
    </row>
    <row r="528" ht="12.0" customHeight="1">
      <c r="A528" s="106"/>
      <c r="B528" s="41"/>
      <c r="E528" s="41"/>
      <c r="G528" s="107"/>
      <c r="H528" s="36"/>
      <c r="I528" s="108"/>
      <c r="J528" s="47"/>
      <c r="K528" s="109"/>
      <c r="L528" s="110"/>
      <c r="M528" s="109"/>
    </row>
    <row r="529" ht="12.0" customHeight="1">
      <c r="A529" s="106"/>
      <c r="B529" s="41"/>
      <c r="E529" s="41"/>
      <c r="G529" s="107"/>
      <c r="H529" s="36"/>
      <c r="I529" s="108"/>
      <c r="J529" s="47"/>
      <c r="K529" s="109"/>
      <c r="L529" s="110"/>
      <c r="M529" s="109"/>
    </row>
    <row r="530" ht="12.0" customHeight="1">
      <c r="A530" s="106"/>
      <c r="B530" s="41"/>
      <c r="E530" s="41"/>
      <c r="G530" s="107"/>
      <c r="H530" s="36"/>
      <c r="I530" s="108"/>
      <c r="J530" s="47"/>
      <c r="K530" s="109"/>
      <c r="L530" s="110"/>
      <c r="M530" s="109"/>
    </row>
    <row r="531" ht="12.0" customHeight="1">
      <c r="A531" s="106"/>
      <c r="B531" s="41"/>
      <c r="E531" s="41"/>
      <c r="G531" s="107"/>
      <c r="H531" s="36"/>
      <c r="I531" s="108"/>
      <c r="J531" s="47"/>
      <c r="K531" s="109"/>
      <c r="L531" s="110"/>
      <c r="M531" s="109"/>
    </row>
    <row r="532" ht="12.0" customHeight="1">
      <c r="A532" s="106"/>
      <c r="B532" s="41"/>
      <c r="E532" s="41"/>
      <c r="G532" s="107"/>
      <c r="H532" s="36"/>
      <c r="I532" s="108"/>
      <c r="J532" s="47"/>
      <c r="K532" s="109"/>
      <c r="L532" s="110"/>
      <c r="M532" s="109"/>
    </row>
    <row r="533" ht="12.0" customHeight="1">
      <c r="A533" s="106"/>
      <c r="B533" s="41"/>
      <c r="E533" s="41"/>
      <c r="G533" s="107"/>
      <c r="H533" s="36"/>
      <c r="I533" s="108"/>
      <c r="J533" s="47"/>
      <c r="K533" s="109"/>
      <c r="L533" s="110"/>
      <c r="M533" s="109"/>
    </row>
    <row r="534" ht="12.0" customHeight="1">
      <c r="A534" s="106"/>
      <c r="B534" s="41"/>
      <c r="E534" s="41"/>
      <c r="G534" s="107"/>
      <c r="H534" s="36"/>
      <c r="I534" s="108"/>
      <c r="J534" s="47"/>
      <c r="K534" s="109"/>
      <c r="L534" s="110"/>
      <c r="M534" s="109"/>
    </row>
    <row r="535" ht="12.0" customHeight="1">
      <c r="A535" s="106"/>
      <c r="B535" s="41"/>
      <c r="E535" s="41"/>
      <c r="G535" s="107"/>
      <c r="H535" s="36"/>
      <c r="I535" s="108"/>
      <c r="J535" s="47"/>
      <c r="K535" s="109"/>
      <c r="L535" s="110"/>
      <c r="M535" s="109"/>
    </row>
    <row r="536" ht="12.0" customHeight="1">
      <c r="A536" s="106"/>
      <c r="B536" s="41"/>
      <c r="E536" s="41"/>
      <c r="G536" s="107"/>
      <c r="H536" s="36"/>
      <c r="I536" s="108"/>
      <c r="J536" s="47"/>
      <c r="K536" s="109"/>
      <c r="L536" s="110"/>
      <c r="M536" s="109"/>
    </row>
    <row r="537" ht="12.0" customHeight="1">
      <c r="A537" s="106"/>
      <c r="B537" s="41"/>
      <c r="E537" s="41"/>
      <c r="G537" s="107"/>
      <c r="H537" s="36"/>
      <c r="I537" s="108"/>
      <c r="J537" s="47"/>
      <c r="K537" s="109"/>
      <c r="L537" s="110"/>
      <c r="M537" s="109"/>
    </row>
    <row r="538" ht="12.0" customHeight="1">
      <c r="A538" s="106"/>
      <c r="B538" s="41"/>
      <c r="E538" s="41"/>
      <c r="G538" s="107"/>
      <c r="H538" s="36"/>
      <c r="I538" s="108"/>
      <c r="J538" s="47"/>
      <c r="K538" s="109"/>
      <c r="L538" s="110"/>
      <c r="M538" s="109"/>
    </row>
    <row r="539" ht="12.0" customHeight="1">
      <c r="A539" s="106"/>
      <c r="B539" s="41"/>
      <c r="E539" s="41"/>
      <c r="G539" s="107"/>
      <c r="H539" s="36"/>
      <c r="I539" s="108"/>
      <c r="J539" s="47"/>
      <c r="K539" s="109"/>
      <c r="L539" s="110"/>
      <c r="M539" s="109"/>
    </row>
    <row r="540" ht="12.0" customHeight="1">
      <c r="A540" s="106"/>
      <c r="B540" s="41"/>
      <c r="E540" s="41"/>
      <c r="G540" s="107"/>
      <c r="H540" s="36"/>
      <c r="I540" s="108"/>
      <c r="J540" s="47"/>
      <c r="K540" s="109"/>
      <c r="L540" s="110"/>
      <c r="M540" s="109"/>
    </row>
    <row r="541" ht="12.0" customHeight="1">
      <c r="A541" s="106"/>
      <c r="B541" s="41"/>
      <c r="E541" s="41"/>
      <c r="G541" s="107"/>
      <c r="H541" s="36"/>
      <c r="I541" s="108"/>
      <c r="J541" s="47"/>
      <c r="K541" s="109"/>
      <c r="L541" s="110"/>
      <c r="M541" s="109"/>
    </row>
    <row r="542" ht="12.0" customHeight="1">
      <c r="A542" s="106"/>
      <c r="B542" s="41"/>
      <c r="E542" s="41"/>
      <c r="G542" s="107"/>
      <c r="H542" s="36"/>
      <c r="I542" s="108"/>
      <c r="J542" s="47"/>
      <c r="K542" s="109"/>
      <c r="L542" s="110"/>
      <c r="M542" s="109"/>
    </row>
    <row r="543" ht="12.0" customHeight="1">
      <c r="A543" s="106"/>
      <c r="B543" s="41"/>
      <c r="E543" s="41"/>
      <c r="G543" s="107"/>
      <c r="H543" s="36"/>
      <c r="I543" s="108"/>
      <c r="J543" s="47"/>
      <c r="K543" s="109"/>
      <c r="L543" s="110"/>
      <c r="M543" s="109"/>
    </row>
    <row r="544" ht="12.0" customHeight="1">
      <c r="A544" s="106"/>
      <c r="B544" s="41"/>
      <c r="E544" s="41"/>
      <c r="G544" s="107"/>
      <c r="H544" s="36"/>
      <c r="I544" s="108"/>
      <c r="J544" s="47"/>
      <c r="K544" s="109"/>
      <c r="L544" s="110"/>
      <c r="M544" s="109"/>
    </row>
    <row r="545" ht="12.0" customHeight="1">
      <c r="A545" s="106"/>
      <c r="B545" s="41"/>
      <c r="E545" s="41"/>
      <c r="G545" s="107"/>
      <c r="H545" s="36"/>
      <c r="I545" s="108"/>
      <c r="J545" s="47"/>
      <c r="K545" s="109"/>
      <c r="L545" s="110"/>
      <c r="M545" s="109"/>
    </row>
    <row r="546" ht="12.0" customHeight="1">
      <c r="A546" s="106"/>
      <c r="B546" s="41"/>
      <c r="E546" s="41"/>
      <c r="G546" s="107"/>
      <c r="H546" s="36"/>
      <c r="I546" s="108"/>
      <c r="J546" s="47"/>
      <c r="K546" s="109"/>
      <c r="L546" s="110"/>
      <c r="M546" s="109"/>
    </row>
    <row r="547" ht="12.0" customHeight="1">
      <c r="A547" s="106"/>
      <c r="B547" s="41"/>
      <c r="E547" s="41"/>
      <c r="G547" s="107"/>
      <c r="H547" s="36"/>
      <c r="I547" s="108"/>
      <c r="J547" s="47"/>
      <c r="K547" s="109"/>
      <c r="L547" s="110"/>
      <c r="M547" s="109"/>
    </row>
    <row r="548" ht="12.0" customHeight="1">
      <c r="A548" s="106"/>
      <c r="B548" s="41"/>
      <c r="E548" s="41"/>
      <c r="G548" s="107"/>
      <c r="H548" s="36"/>
      <c r="I548" s="108"/>
      <c r="J548" s="47"/>
      <c r="K548" s="109"/>
      <c r="L548" s="110"/>
      <c r="M548" s="109"/>
    </row>
    <row r="549" ht="12.0" customHeight="1">
      <c r="A549" s="106"/>
      <c r="B549" s="41"/>
      <c r="E549" s="41"/>
      <c r="G549" s="107"/>
      <c r="H549" s="36"/>
      <c r="I549" s="108"/>
      <c r="J549" s="47"/>
      <c r="K549" s="109"/>
      <c r="L549" s="110"/>
      <c r="M549" s="109"/>
    </row>
    <row r="550" ht="12.0" customHeight="1">
      <c r="A550" s="106"/>
      <c r="B550" s="41"/>
      <c r="E550" s="41"/>
      <c r="G550" s="107"/>
      <c r="H550" s="36"/>
      <c r="I550" s="108"/>
      <c r="J550" s="47"/>
      <c r="K550" s="109"/>
      <c r="L550" s="110"/>
      <c r="M550" s="109"/>
    </row>
    <row r="551" ht="12.0" customHeight="1">
      <c r="A551" s="106"/>
      <c r="B551" s="41"/>
      <c r="E551" s="41"/>
      <c r="G551" s="107"/>
      <c r="H551" s="36"/>
      <c r="I551" s="108"/>
      <c r="J551" s="47"/>
      <c r="K551" s="109"/>
      <c r="L551" s="110"/>
      <c r="M551" s="109"/>
    </row>
    <row r="552" ht="12.0" customHeight="1">
      <c r="A552" s="106"/>
      <c r="B552" s="41"/>
      <c r="E552" s="41"/>
      <c r="G552" s="107"/>
      <c r="H552" s="36"/>
      <c r="I552" s="108"/>
      <c r="J552" s="47"/>
      <c r="K552" s="109"/>
      <c r="L552" s="110"/>
      <c r="M552" s="109"/>
    </row>
    <row r="553" ht="12.0" customHeight="1">
      <c r="A553" s="106"/>
      <c r="B553" s="41"/>
      <c r="E553" s="41"/>
      <c r="G553" s="107"/>
      <c r="H553" s="36"/>
      <c r="I553" s="108"/>
      <c r="J553" s="47"/>
      <c r="K553" s="109"/>
      <c r="L553" s="110"/>
      <c r="M553" s="109"/>
    </row>
    <row r="554" ht="12.0" customHeight="1">
      <c r="A554" s="106"/>
      <c r="B554" s="41"/>
      <c r="E554" s="41"/>
      <c r="G554" s="107"/>
      <c r="H554" s="36"/>
      <c r="I554" s="108"/>
      <c r="J554" s="47"/>
      <c r="K554" s="109"/>
      <c r="L554" s="110"/>
      <c r="M554" s="109"/>
    </row>
    <row r="555" ht="12.0" customHeight="1">
      <c r="A555" s="106"/>
      <c r="B555" s="41"/>
      <c r="E555" s="41"/>
      <c r="G555" s="107"/>
      <c r="H555" s="36"/>
      <c r="I555" s="108"/>
      <c r="J555" s="47"/>
      <c r="K555" s="109"/>
      <c r="L555" s="110"/>
      <c r="M555" s="109"/>
    </row>
    <row r="556" ht="12.0" customHeight="1">
      <c r="A556" s="106"/>
      <c r="B556" s="41"/>
      <c r="E556" s="41"/>
      <c r="G556" s="107"/>
      <c r="H556" s="36"/>
      <c r="I556" s="108"/>
      <c r="J556" s="47"/>
      <c r="K556" s="109"/>
      <c r="L556" s="110"/>
      <c r="M556" s="109"/>
    </row>
    <row r="557" ht="12.0" customHeight="1">
      <c r="A557" s="106"/>
      <c r="B557" s="41"/>
      <c r="E557" s="41"/>
      <c r="G557" s="107"/>
      <c r="H557" s="36"/>
      <c r="I557" s="108"/>
      <c r="J557" s="47"/>
      <c r="K557" s="109"/>
      <c r="L557" s="110"/>
      <c r="M557" s="109"/>
    </row>
    <row r="558" ht="12.0" customHeight="1">
      <c r="A558" s="106"/>
      <c r="B558" s="41"/>
      <c r="E558" s="41"/>
      <c r="G558" s="107"/>
      <c r="H558" s="36"/>
      <c r="I558" s="108"/>
      <c r="J558" s="47"/>
      <c r="K558" s="109"/>
      <c r="L558" s="110"/>
      <c r="M558" s="109"/>
    </row>
    <row r="559" ht="12.0" customHeight="1">
      <c r="A559" s="106"/>
      <c r="B559" s="41"/>
      <c r="E559" s="41"/>
      <c r="G559" s="107"/>
      <c r="H559" s="36"/>
      <c r="I559" s="108"/>
      <c r="J559" s="47"/>
      <c r="K559" s="109"/>
      <c r="L559" s="110"/>
      <c r="M559" s="109"/>
    </row>
    <row r="560" ht="12.0" customHeight="1">
      <c r="A560" s="106"/>
      <c r="B560" s="41"/>
      <c r="E560" s="41"/>
      <c r="G560" s="107"/>
      <c r="H560" s="36"/>
      <c r="I560" s="108"/>
      <c r="J560" s="47"/>
      <c r="K560" s="109"/>
      <c r="L560" s="110"/>
      <c r="M560" s="109"/>
    </row>
    <row r="561" ht="12.0" customHeight="1">
      <c r="A561" s="106"/>
      <c r="B561" s="41"/>
      <c r="E561" s="41"/>
      <c r="G561" s="107"/>
      <c r="H561" s="36"/>
      <c r="I561" s="108"/>
      <c r="J561" s="47"/>
      <c r="K561" s="109"/>
      <c r="L561" s="110"/>
      <c r="M561" s="109"/>
    </row>
    <row r="562" ht="12.0" customHeight="1">
      <c r="A562" s="106"/>
      <c r="B562" s="41"/>
      <c r="E562" s="41"/>
      <c r="G562" s="107"/>
      <c r="H562" s="36"/>
      <c r="I562" s="108"/>
      <c r="J562" s="47"/>
      <c r="K562" s="109"/>
      <c r="L562" s="110"/>
      <c r="M562" s="109"/>
    </row>
    <row r="563" ht="12.0" customHeight="1">
      <c r="A563" s="106"/>
      <c r="B563" s="41"/>
      <c r="E563" s="41"/>
      <c r="G563" s="107"/>
      <c r="H563" s="36"/>
      <c r="I563" s="108"/>
      <c r="J563" s="47"/>
      <c r="K563" s="109"/>
      <c r="L563" s="110"/>
      <c r="M563" s="109"/>
    </row>
    <row r="564" ht="12.0" customHeight="1">
      <c r="A564" s="106"/>
      <c r="B564" s="41"/>
      <c r="E564" s="41"/>
      <c r="G564" s="107"/>
      <c r="H564" s="36"/>
      <c r="I564" s="108"/>
      <c r="J564" s="47"/>
      <c r="K564" s="109"/>
      <c r="L564" s="110"/>
      <c r="M564" s="109"/>
    </row>
    <row r="565" ht="12.0" customHeight="1">
      <c r="A565" s="106"/>
      <c r="B565" s="41"/>
      <c r="E565" s="41"/>
      <c r="G565" s="107"/>
      <c r="H565" s="36"/>
      <c r="I565" s="108"/>
      <c r="J565" s="47"/>
      <c r="K565" s="109"/>
      <c r="L565" s="110"/>
      <c r="M565" s="109"/>
    </row>
    <row r="566" ht="12.0" customHeight="1">
      <c r="A566" s="106"/>
      <c r="B566" s="41"/>
      <c r="E566" s="41"/>
      <c r="G566" s="107"/>
      <c r="H566" s="36"/>
      <c r="I566" s="108"/>
      <c r="J566" s="47"/>
      <c r="K566" s="109"/>
      <c r="L566" s="110"/>
      <c r="M566" s="109"/>
    </row>
    <row r="567" ht="12.0" customHeight="1">
      <c r="A567" s="106"/>
      <c r="B567" s="41"/>
      <c r="E567" s="41"/>
      <c r="G567" s="107"/>
      <c r="H567" s="36"/>
      <c r="I567" s="108"/>
      <c r="J567" s="47"/>
      <c r="K567" s="109"/>
      <c r="L567" s="110"/>
      <c r="M567" s="109"/>
    </row>
    <row r="568" ht="12.0" customHeight="1">
      <c r="A568" s="106"/>
      <c r="B568" s="41"/>
      <c r="E568" s="41"/>
      <c r="G568" s="107"/>
      <c r="H568" s="36"/>
      <c r="I568" s="108"/>
      <c r="J568" s="47"/>
      <c r="K568" s="109"/>
      <c r="L568" s="110"/>
      <c r="M568" s="109"/>
    </row>
    <row r="569" ht="12.0" customHeight="1">
      <c r="A569" s="106"/>
      <c r="B569" s="41"/>
      <c r="E569" s="41"/>
      <c r="G569" s="107"/>
      <c r="H569" s="36"/>
      <c r="I569" s="108"/>
      <c r="J569" s="47"/>
      <c r="K569" s="109"/>
      <c r="L569" s="110"/>
      <c r="M569" s="109"/>
    </row>
    <row r="570" ht="12.0" customHeight="1">
      <c r="A570" s="106"/>
      <c r="B570" s="41"/>
      <c r="E570" s="41"/>
      <c r="G570" s="107"/>
      <c r="H570" s="36"/>
      <c r="I570" s="108"/>
      <c r="J570" s="47"/>
      <c r="K570" s="109"/>
      <c r="L570" s="110"/>
      <c r="M570" s="109"/>
    </row>
    <row r="571" ht="12.0" customHeight="1">
      <c r="A571" s="106"/>
      <c r="B571" s="41"/>
      <c r="E571" s="41"/>
      <c r="G571" s="107"/>
      <c r="H571" s="36"/>
      <c r="I571" s="108"/>
      <c r="J571" s="47"/>
      <c r="K571" s="109"/>
      <c r="L571" s="110"/>
      <c r="M571" s="109"/>
    </row>
    <row r="572" ht="12.0" customHeight="1">
      <c r="A572" s="106"/>
      <c r="B572" s="41"/>
      <c r="E572" s="41"/>
      <c r="G572" s="107"/>
      <c r="H572" s="36"/>
      <c r="I572" s="108"/>
      <c r="J572" s="47"/>
      <c r="K572" s="109"/>
      <c r="L572" s="110"/>
      <c r="M572" s="109"/>
    </row>
    <row r="573" ht="12.0" customHeight="1">
      <c r="A573" s="106"/>
      <c r="B573" s="41"/>
      <c r="E573" s="41"/>
      <c r="G573" s="107"/>
      <c r="H573" s="36"/>
      <c r="I573" s="108"/>
      <c r="J573" s="47"/>
      <c r="K573" s="109"/>
      <c r="L573" s="110"/>
      <c r="M573" s="109"/>
    </row>
    <row r="574" ht="12.0" customHeight="1">
      <c r="A574" s="106"/>
      <c r="B574" s="41"/>
      <c r="E574" s="41"/>
      <c r="G574" s="107"/>
      <c r="H574" s="36"/>
      <c r="I574" s="108"/>
      <c r="J574" s="47"/>
      <c r="K574" s="109"/>
      <c r="L574" s="110"/>
      <c r="M574" s="109"/>
    </row>
    <row r="575" ht="12.0" customHeight="1">
      <c r="A575" s="106"/>
      <c r="B575" s="41"/>
      <c r="E575" s="41"/>
      <c r="G575" s="107"/>
      <c r="H575" s="36"/>
      <c r="I575" s="108"/>
      <c r="J575" s="47"/>
      <c r="K575" s="109"/>
      <c r="L575" s="110"/>
      <c r="M575" s="109"/>
    </row>
    <row r="576" ht="12.0" customHeight="1">
      <c r="A576" s="106"/>
      <c r="B576" s="41"/>
      <c r="E576" s="41"/>
      <c r="G576" s="107"/>
      <c r="H576" s="36"/>
      <c r="I576" s="108"/>
      <c r="J576" s="47"/>
      <c r="K576" s="109"/>
      <c r="L576" s="110"/>
      <c r="M576" s="109"/>
    </row>
    <row r="577" ht="12.0" customHeight="1">
      <c r="A577" s="106"/>
      <c r="B577" s="41"/>
      <c r="E577" s="41"/>
      <c r="G577" s="107"/>
      <c r="H577" s="36"/>
      <c r="I577" s="108"/>
      <c r="J577" s="47"/>
      <c r="K577" s="109"/>
      <c r="L577" s="110"/>
      <c r="M577" s="109"/>
    </row>
    <row r="578" ht="12.0" customHeight="1">
      <c r="A578" s="106"/>
      <c r="B578" s="41"/>
      <c r="E578" s="41"/>
      <c r="G578" s="107"/>
      <c r="H578" s="36"/>
      <c r="I578" s="108"/>
      <c r="J578" s="47"/>
      <c r="K578" s="109"/>
      <c r="L578" s="110"/>
      <c r="M578" s="109"/>
    </row>
    <row r="579" ht="12.0" customHeight="1">
      <c r="A579" s="106"/>
      <c r="B579" s="41"/>
      <c r="E579" s="41"/>
      <c r="G579" s="107"/>
      <c r="H579" s="36"/>
      <c r="I579" s="108"/>
      <c r="J579" s="47"/>
      <c r="K579" s="109"/>
      <c r="L579" s="110"/>
      <c r="M579" s="109"/>
    </row>
    <row r="580" ht="12.0" customHeight="1">
      <c r="A580" s="106"/>
      <c r="B580" s="41"/>
      <c r="E580" s="41"/>
      <c r="G580" s="107"/>
      <c r="H580" s="36"/>
      <c r="I580" s="108"/>
      <c r="J580" s="47"/>
      <c r="K580" s="109"/>
      <c r="L580" s="110"/>
      <c r="M580" s="109"/>
    </row>
    <row r="581" ht="12.0" customHeight="1">
      <c r="A581" s="106"/>
      <c r="B581" s="41"/>
      <c r="E581" s="41"/>
      <c r="G581" s="107"/>
      <c r="H581" s="36"/>
      <c r="I581" s="108"/>
      <c r="J581" s="47"/>
      <c r="K581" s="109"/>
      <c r="L581" s="110"/>
      <c r="M581" s="109"/>
    </row>
    <row r="582" ht="12.0" customHeight="1">
      <c r="A582" s="106"/>
      <c r="B582" s="41"/>
      <c r="E582" s="41"/>
      <c r="G582" s="107"/>
      <c r="H582" s="36"/>
      <c r="I582" s="108"/>
      <c r="J582" s="47"/>
      <c r="K582" s="109"/>
      <c r="L582" s="110"/>
      <c r="M582" s="109"/>
    </row>
    <row r="583" ht="12.0" customHeight="1">
      <c r="A583" s="106"/>
      <c r="B583" s="41"/>
      <c r="E583" s="41"/>
      <c r="G583" s="107"/>
      <c r="H583" s="36"/>
      <c r="I583" s="108"/>
      <c r="J583" s="47"/>
      <c r="K583" s="109"/>
      <c r="L583" s="110"/>
      <c r="M583" s="109"/>
    </row>
    <row r="584" ht="12.0" customHeight="1">
      <c r="A584" s="106"/>
      <c r="B584" s="41"/>
      <c r="E584" s="41"/>
      <c r="G584" s="107"/>
      <c r="H584" s="36"/>
      <c r="I584" s="108"/>
      <c r="J584" s="47"/>
      <c r="K584" s="109"/>
      <c r="L584" s="110"/>
      <c r="M584" s="109"/>
    </row>
    <row r="585" ht="12.0" customHeight="1">
      <c r="A585" s="106"/>
      <c r="B585" s="41"/>
      <c r="E585" s="41"/>
      <c r="G585" s="107"/>
      <c r="H585" s="36"/>
      <c r="I585" s="108"/>
      <c r="J585" s="47"/>
      <c r="K585" s="109"/>
      <c r="L585" s="110"/>
      <c r="M585" s="109"/>
    </row>
    <row r="586" ht="12.0" customHeight="1">
      <c r="A586" s="106"/>
      <c r="B586" s="41"/>
      <c r="E586" s="41"/>
      <c r="G586" s="107"/>
      <c r="H586" s="36"/>
      <c r="I586" s="108"/>
      <c r="J586" s="47"/>
      <c r="K586" s="109"/>
      <c r="L586" s="110"/>
      <c r="M586" s="109"/>
    </row>
    <row r="587" ht="12.0" customHeight="1">
      <c r="A587" s="106"/>
      <c r="B587" s="41"/>
      <c r="E587" s="41"/>
      <c r="G587" s="107"/>
      <c r="H587" s="36"/>
      <c r="I587" s="108"/>
      <c r="J587" s="47"/>
      <c r="K587" s="109"/>
      <c r="L587" s="110"/>
      <c r="M587" s="109"/>
    </row>
    <row r="588" ht="12.0" customHeight="1">
      <c r="A588" s="106"/>
      <c r="B588" s="41"/>
      <c r="E588" s="41"/>
      <c r="G588" s="107"/>
      <c r="H588" s="36"/>
      <c r="I588" s="108"/>
      <c r="J588" s="47"/>
      <c r="K588" s="109"/>
      <c r="L588" s="110"/>
      <c r="M588" s="109"/>
    </row>
    <row r="589" ht="12.0" customHeight="1">
      <c r="A589" s="106"/>
      <c r="B589" s="41"/>
      <c r="E589" s="41"/>
      <c r="G589" s="107"/>
      <c r="H589" s="36"/>
      <c r="I589" s="108"/>
      <c r="J589" s="47"/>
      <c r="K589" s="109"/>
      <c r="L589" s="110"/>
      <c r="M589" s="109"/>
    </row>
    <row r="590" ht="12.0" customHeight="1">
      <c r="A590" s="106"/>
      <c r="B590" s="41"/>
      <c r="E590" s="41"/>
      <c r="G590" s="107"/>
      <c r="H590" s="36"/>
      <c r="I590" s="108"/>
      <c r="J590" s="47"/>
      <c r="K590" s="109"/>
      <c r="L590" s="110"/>
      <c r="M590" s="109"/>
    </row>
    <row r="591" ht="12.0" customHeight="1">
      <c r="A591" s="106"/>
      <c r="B591" s="41"/>
      <c r="E591" s="41"/>
      <c r="G591" s="107"/>
      <c r="H591" s="36"/>
      <c r="I591" s="108"/>
      <c r="J591" s="47"/>
      <c r="K591" s="109"/>
      <c r="L591" s="110"/>
      <c r="M591" s="109"/>
    </row>
    <row r="592" ht="12.0" customHeight="1">
      <c r="A592" s="106"/>
      <c r="B592" s="41"/>
      <c r="E592" s="41"/>
      <c r="G592" s="107"/>
      <c r="H592" s="36"/>
      <c r="I592" s="108"/>
      <c r="J592" s="47"/>
      <c r="K592" s="109"/>
      <c r="L592" s="110"/>
      <c r="M592" s="109"/>
    </row>
    <row r="593" ht="12.0" customHeight="1">
      <c r="A593" s="106"/>
      <c r="B593" s="41"/>
      <c r="E593" s="41"/>
      <c r="G593" s="107"/>
      <c r="H593" s="36"/>
      <c r="I593" s="108"/>
      <c r="J593" s="47"/>
      <c r="K593" s="109"/>
      <c r="L593" s="110"/>
      <c r="M593" s="109"/>
    </row>
    <row r="594" ht="12.0" customHeight="1">
      <c r="A594" s="106"/>
      <c r="B594" s="41"/>
      <c r="E594" s="41"/>
      <c r="G594" s="107"/>
      <c r="H594" s="36"/>
      <c r="I594" s="108"/>
      <c r="J594" s="47"/>
      <c r="K594" s="109"/>
      <c r="L594" s="110"/>
      <c r="M594" s="109"/>
    </row>
    <row r="595" ht="12.0" customHeight="1">
      <c r="A595" s="106"/>
      <c r="B595" s="41"/>
      <c r="E595" s="41"/>
      <c r="G595" s="107"/>
      <c r="H595" s="36"/>
      <c r="I595" s="108"/>
      <c r="J595" s="47"/>
      <c r="K595" s="109"/>
      <c r="L595" s="110"/>
      <c r="M595" s="109"/>
    </row>
    <row r="596" ht="12.0" customHeight="1">
      <c r="A596" s="106"/>
      <c r="B596" s="41"/>
      <c r="E596" s="41"/>
      <c r="G596" s="107"/>
      <c r="H596" s="36"/>
      <c r="I596" s="108"/>
      <c r="J596" s="47"/>
      <c r="K596" s="109"/>
      <c r="L596" s="110"/>
      <c r="M596" s="109"/>
    </row>
    <row r="597" ht="12.0" customHeight="1">
      <c r="A597" s="106"/>
      <c r="B597" s="41"/>
      <c r="E597" s="41"/>
      <c r="G597" s="107"/>
      <c r="H597" s="36"/>
      <c r="I597" s="108"/>
      <c r="J597" s="47"/>
      <c r="K597" s="109"/>
      <c r="L597" s="110"/>
      <c r="M597" s="109"/>
    </row>
    <row r="598" ht="12.0" customHeight="1">
      <c r="A598" s="106"/>
      <c r="B598" s="41"/>
      <c r="E598" s="41"/>
      <c r="G598" s="107"/>
      <c r="H598" s="36"/>
      <c r="I598" s="108"/>
      <c r="J598" s="47"/>
      <c r="K598" s="109"/>
      <c r="L598" s="110"/>
      <c r="M598" s="109"/>
    </row>
    <row r="599" ht="12.0" customHeight="1">
      <c r="A599" s="106"/>
      <c r="B599" s="41"/>
      <c r="E599" s="41"/>
      <c r="G599" s="107"/>
      <c r="H599" s="36"/>
      <c r="I599" s="108"/>
      <c r="J599" s="47"/>
      <c r="K599" s="109"/>
      <c r="L599" s="110"/>
      <c r="M599" s="109"/>
    </row>
    <row r="600" ht="12.0" customHeight="1">
      <c r="A600" s="106"/>
      <c r="B600" s="41"/>
      <c r="E600" s="41"/>
      <c r="G600" s="107"/>
      <c r="H600" s="36"/>
      <c r="I600" s="108"/>
      <c r="J600" s="47"/>
      <c r="K600" s="109"/>
      <c r="L600" s="110"/>
      <c r="M600" s="109"/>
    </row>
    <row r="601" ht="12.0" customHeight="1">
      <c r="A601" s="106"/>
      <c r="B601" s="41"/>
      <c r="E601" s="41"/>
      <c r="G601" s="107"/>
      <c r="H601" s="36"/>
      <c r="I601" s="108"/>
      <c r="J601" s="47"/>
      <c r="K601" s="109"/>
      <c r="L601" s="110"/>
      <c r="M601" s="109"/>
    </row>
    <row r="602" ht="12.0" customHeight="1">
      <c r="A602" s="106"/>
      <c r="B602" s="41"/>
      <c r="E602" s="41"/>
      <c r="G602" s="107"/>
      <c r="H602" s="36"/>
      <c r="I602" s="108"/>
      <c r="J602" s="47"/>
      <c r="K602" s="109"/>
      <c r="L602" s="110"/>
      <c r="M602" s="109"/>
    </row>
    <row r="603" ht="12.0" customHeight="1">
      <c r="A603" s="106"/>
      <c r="B603" s="41"/>
      <c r="E603" s="41"/>
      <c r="G603" s="107"/>
      <c r="H603" s="36"/>
      <c r="I603" s="108"/>
      <c r="J603" s="47"/>
      <c r="K603" s="109"/>
      <c r="L603" s="110"/>
      <c r="M603" s="109"/>
    </row>
    <row r="604" ht="12.0" customHeight="1">
      <c r="A604" s="106"/>
      <c r="B604" s="41"/>
      <c r="E604" s="41"/>
      <c r="G604" s="107"/>
      <c r="H604" s="36"/>
      <c r="I604" s="108"/>
      <c r="J604" s="47"/>
      <c r="K604" s="109"/>
      <c r="L604" s="110"/>
      <c r="M604" s="109"/>
    </row>
    <row r="605" ht="12.0" customHeight="1">
      <c r="A605" s="106"/>
      <c r="B605" s="41"/>
      <c r="E605" s="41"/>
      <c r="G605" s="107"/>
      <c r="H605" s="36"/>
      <c r="I605" s="108"/>
      <c r="J605" s="47"/>
      <c r="K605" s="109"/>
      <c r="L605" s="110"/>
      <c r="M605" s="109"/>
    </row>
    <row r="606" ht="12.0" customHeight="1">
      <c r="A606" s="106"/>
      <c r="B606" s="41"/>
      <c r="E606" s="41"/>
      <c r="G606" s="107"/>
      <c r="H606" s="36"/>
      <c r="I606" s="108"/>
      <c r="J606" s="47"/>
      <c r="K606" s="109"/>
      <c r="L606" s="110"/>
      <c r="M606" s="109"/>
    </row>
    <row r="607" ht="12.0" customHeight="1">
      <c r="A607" s="106"/>
      <c r="B607" s="41"/>
      <c r="E607" s="41"/>
      <c r="G607" s="107"/>
      <c r="H607" s="36"/>
      <c r="I607" s="108"/>
      <c r="J607" s="47"/>
      <c r="K607" s="109"/>
      <c r="L607" s="110"/>
      <c r="M607" s="109"/>
    </row>
    <row r="608" ht="12.0" customHeight="1">
      <c r="A608" s="106"/>
      <c r="B608" s="41"/>
      <c r="E608" s="41"/>
      <c r="G608" s="107"/>
      <c r="H608" s="36"/>
      <c r="I608" s="108"/>
      <c r="J608" s="47"/>
      <c r="K608" s="109"/>
      <c r="L608" s="110"/>
      <c r="M608" s="109"/>
    </row>
    <row r="609" ht="12.0" customHeight="1">
      <c r="A609" s="106"/>
      <c r="B609" s="41"/>
      <c r="E609" s="41"/>
      <c r="G609" s="107"/>
      <c r="H609" s="36"/>
      <c r="I609" s="108"/>
      <c r="J609" s="47"/>
      <c r="K609" s="109"/>
      <c r="L609" s="110"/>
      <c r="M609" s="109"/>
    </row>
    <row r="610" ht="12.0" customHeight="1">
      <c r="A610" s="106"/>
      <c r="B610" s="41"/>
      <c r="E610" s="41"/>
      <c r="G610" s="107"/>
      <c r="H610" s="36"/>
      <c r="I610" s="108"/>
      <c r="J610" s="47"/>
      <c r="K610" s="109"/>
      <c r="L610" s="110"/>
      <c r="M610" s="109"/>
    </row>
    <row r="611" ht="12.0" customHeight="1">
      <c r="A611" s="106"/>
      <c r="B611" s="41"/>
      <c r="E611" s="41"/>
      <c r="G611" s="107"/>
      <c r="H611" s="36"/>
      <c r="I611" s="108"/>
      <c r="J611" s="47"/>
      <c r="K611" s="109"/>
      <c r="L611" s="110"/>
      <c r="M611" s="109"/>
    </row>
    <row r="612" ht="12.0" customHeight="1">
      <c r="A612" s="106"/>
      <c r="B612" s="41"/>
      <c r="E612" s="41"/>
      <c r="G612" s="107"/>
      <c r="H612" s="36"/>
      <c r="I612" s="108"/>
      <c r="J612" s="47"/>
      <c r="K612" s="109"/>
      <c r="L612" s="110"/>
      <c r="M612" s="109"/>
    </row>
    <row r="613" ht="12.0" customHeight="1">
      <c r="A613" s="106"/>
      <c r="B613" s="41"/>
      <c r="E613" s="41"/>
      <c r="G613" s="107"/>
      <c r="H613" s="36"/>
      <c r="I613" s="108"/>
      <c r="J613" s="47"/>
      <c r="K613" s="109"/>
      <c r="L613" s="110"/>
      <c r="M613" s="109"/>
    </row>
    <row r="614" ht="12.0" customHeight="1">
      <c r="A614" s="106"/>
      <c r="B614" s="41"/>
      <c r="E614" s="41"/>
      <c r="G614" s="107"/>
      <c r="H614" s="36"/>
      <c r="I614" s="108"/>
      <c r="J614" s="47"/>
      <c r="K614" s="109"/>
      <c r="L614" s="110"/>
      <c r="M614" s="109"/>
    </row>
    <row r="615" ht="12.0" customHeight="1">
      <c r="A615" s="106"/>
      <c r="B615" s="41"/>
      <c r="E615" s="41"/>
      <c r="G615" s="107"/>
      <c r="H615" s="36"/>
      <c r="I615" s="108"/>
      <c r="J615" s="47"/>
      <c r="K615" s="109"/>
      <c r="L615" s="110"/>
      <c r="M615" s="109"/>
    </row>
    <row r="616" ht="12.0" customHeight="1">
      <c r="A616" s="106"/>
      <c r="B616" s="41"/>
      <c r="E616" s="41"/>
      <c r="G616" s="107"/>
      <c r="H616" s="36"/>
      <c r="I616" s="108"/>
      <c r="J616" s="47"/>
      <c r="K616" s="109"/>
      <c r="L616" s="110"/>
      <c r="M616" s="109"/>
    </row>
    <row r="617" ht="12.0" customHeight="1">
      <c r="A617" s="106"/>
      <c r="B617" s="41"/>
      <c r="E617" s="41"/>
      <c r="G617" s="107"/>
      <c r="H617" s="36"/>
      <c r="I617" s="108"/>
      <c r="J617" s="47"/>
      <c r="K617" s="109"/>
      <c r="L617" s="110"/>
      <c r="M617" s="109"/>
    </row>
    <row r="618" ht="12.0" customHeight="1">
      <c r="A618" s="106"/>
      <c r="B618" s="41"/>
      <c r="E618" s="41"/>
      <c r="G618" s="107"/>
      <c r="H618" s="36"/>
      <c r="I618" s="108"/>
      <c r="J618" s="47"/>
      <c r="K618" s="109"/>
      <c r="L618" s="110"/>
      <c r="M618" s="109"/>
    </row>
    <row r="619" ht="12.0" customHeight="1">
      <c r="A619" s="106"/>
      <c r="B619" s="41"/>
      <c r="E619" s="41"/>
      <c r="G619" s="107"/>
      <c r="H619" s="36"/>
      <c r="I619" s="108"/>
      <c r="J619" s="47"/>
      <c r="K619" s="109"/>
      <c r="L619" s="110"/>
      <c r="M619" s="109"/>
    </row>
    <row r="620" ht="12.0" customHeight="1">
      <c r="A620" s="106"/>
      <c r="B620" s="41"/>
      <c r="E620" s="41"/>
      <c r="G620" s="107"/>
      <c r="H620" s="36"/>
      <c r="I620" s="108"/>
      <c r="J620" s="47"/>
      <c r="K620" s="109"/>
      <c r="L620" s="110"/>
      <c r="M620" s="109"/>
    </row>
    <row r="621" ht="12.0" customHeight="1">
      <c r="A621" s="106"/>
      <c r="B621" s="41"/>
      <c r="E621" s="41"/>
      <c r="G621" s="107"/>
      <c r="H621" s="36"/>
      <c r="I621" s="108"/>
      <c r="J621" s="47"/>
      <c r="K621" s="109"/>
      <c r="L621" s="110"/>
      <c r="M621" s="109"/>
    </row>
    <row r="622" ht="12.0" customHeight="1">
      <c r="A622" s="106"/>
      <c r="B622" s="41"/>
      <c r="E622" s="41"/>
      <c r="G622" s="107"/>
      <c r="H622" s="36"/>
      <c r="I622" s="108"/>
      <c r="J622" s="47"/>
      <c r="K622" s="109"/>
      <c r="L622" s="110"/>
      <c r="M622" s="109"/>
    </row>
    <row r="623" ht="12.0" customHeight="1">
      <c r="A623" s="106"/>
      <c r="B623" s="41"/>
      <c r="E623" s="41"/>
      <c r="G623" s="107"/>
      <c r="H623" s="36"/>
      <c r="I623" s="108"/>
      <c r="J623" s="47"/>
      <c r="K623" s="109"/>
      <c r="L623" s="110"/>
      <c r="M623" s="109"/>
    </row>
    <row r="624" ht="12.0" customHeight="1">
      <c r="A624" s="106"/>
      <c r="B624" s="41"/>
      <c r="E624" s="41"/>
      <c r="G624" s="107"/>
      <c r="H624" s="36"/>
      <c r="I624" s="108"/>
      <c r="J624" s="47"/>
      <c r="K624" s="109"/>
      <c r="L624" s="110"/>
      <c r="M624" s="109"/>
    </row>
    <row r="625" ht="12.0" customHeight="1">
      <c r="A625" s="106"/>
      <c r="B625" s="41"/>
      <c r="E625" s="41"/>
      <c r="G625" s="107"/>
      <c r="H625" s="36"/>
      <c r="I625" s="108"/>
      <c r="J625" s="47"/>
      <c r="K625" s="109"/>
      <c r="L625" s="110"/>
      <c r="M625" s="109"/>
    </row>
    <row r="626" ht="12.0" customHeight="1">
      <c r="A626" s="106"/>
      <c r="B626" s="41"/>
      <c r="E626" s="41"/>
      <c r="G626" s="107"/>
      <c r="H626" s="36"/>
      <c r="I626" s="108"/>
      <c r="J626" s="47"/>
      <c r="K626" s="109"/>
      <c r="L626" s="110"/>
      <c r="M626" s="109"/>
    </row>
    <row r="627" ht="12.0" customHeight="1">
      <c r="A627" s="106"/>
      <c r="B627" s="41"/>
      <c r="E627" s="41"/>
      <c r="G627" s="107"/>
      <c r="H627" s="36"/>
      <c r="I627" s="108"/>
      <c r="J627" s="47"/>
      <c r="K627" s="109"/>
      <c r="L627" s="110"/>
      <c r="M627" s="109"/>
    </row>
    <row r="628" ht="12.0" customHeight="1">
      <c r="A628" s="106"/>
      <c r="B628" s="41"/>
      <c r="E628" s="41"/>
      <c r="G628" s="107"/>
      <c r="H628" s="36"/>
      <c r="I628" s="108"/>
      <c r="J628" s="47"/>
      <c r="K628" s="109"/>
      <c r="L628" s="110"/>
      <c r="M628" s="109"/>
    </row>
    <row r="629" ht="12.0" customHeight="1">
      <c r="A629" s="106"/>
      <c r="B629" s="41"/>
      <c r="E629" s="41"/>
      <c r="G629" s="107"/>
      <c r="H629" s="36"/>
      <c r="I629" s="108"/>
      <c r="J629" s="47"/>
      <c r="K629" s="109"/>
      <c r="L629" s="110"/>
      <c r="M629" s="109"/>
    </row>
    <row r="630" ht="12.0" customHeight="1">
      <c r="A630" s="106"/>
      <c r="B630" s="41"/>
      <c r="E630" s="41"/>
      <c r="G630" s="107"/>
      <c r="H630" s="36"/>
      <c r="I630" s="108"/>
      <c r="J630" s="47"/>
      <c r="K630" s="109"/>
      <c r="L630" s="110"/>
      <c r="M630" s="109"/>
    </row>
    <row r="631" ht="12.0" customHeight="1">
      <c r="A631" s="106"/>
      <c r="B631" s="41"/>
      <c r="E631" s="41"/>
      <c r="G631" s="107"/>
      <c r="H631" s="36"/>
      <c r="I631" s="108"/>
      <c r="J631" s="47"/>
      <c r="K631" s="109"/>
      <c r="L631" s="110"/>
      <c r="M631" s="109"/>
    </row>
    <row r="632" ht="12.0" customHeight="1">
      <c r="A632" s="106"/>
      <c r="B632" s="41"/>
      <c r="E632" s="41"/>
      <c r="G632" s="107"/>
      <c r="H632" s="36"/>
      <c r="I632" s="108"/>
      <c r="J632" s="47"/>
      <c r="K632" s="109"/>
      <c r="L632" s="110"/>
      <c r="M632" s="109"/>
    </row>
    <row r="633" ht="12.0" customHeight="1">
      <c r="A633" s="106"/>
      <c r="B633" s="41"/>
      <c r="E633" s="41"/>
      <c r="G633" s="107"/>
      <c r="H633" s="36"/>
      <c r="I633" s="108"/>
      <c r="J633" s="47"/>
      <c r="K633" s="109"/>
      <c r="L633" s="110"/>
      <c r="M633" s="109"/>
    </row>
    <row r="634" ht="12.0" customHeight="1">
      <c r="A634" s="106"/>
      <c r="B634" s="41"/>
      <c r="E634" s="41"/>
      <c r="G634" s="107"/>
      <c r="H634" s="36"/>
      <c r="I634" s="108"/>
      <c r="J634" s="47"/>
      <c r="K634" s="109"/>
      <c r="L634" s="110"/>
      <c r="M634" s="109"/>
    </row>
    <row r="635" ht="12.0" customHeight="1">
      <c r="A635" s="106"/>
      <c r="B635" s="41"/>
      <c r="E635" s="41"/>
      <c r="G635" s="107"/>
      <c r="H635" s="36"/>
      <c r="I635" s="108"/>
      <c r="J635" s="47"/>
      <c r="K635" s="109"/>
      <c r="L635" s="110"/>
      <c r="M635" s="109"/>
    </row>
    <row r="636" ht="12.0" customHeight="1">
      <c r="A636" s="106"/>
      <c r="B636" s="41"/>
      <c r="E636" s="41"/>
      <c r="G636" s="107"/>
      <c r="H636" s="36"/>
      <c r="I636" s="108"/>
      <c r="J636" s="47"/>
      <c r="K636" s="109"/>
      <c r="L636" s="110"/>
      <c r="M636" s="109"/>
    </row>
    <row r="637" ht="12.0" customHeight="1">
      <c r="A637" s="106"/>
      <c r="B637" s="41"/>
      <c r="E637" s="41"/>
      <c r="G637" s="107"/>
      <c r="H637" s="36"/>
      <c r="I637" s="108"/>
      <c r="J637" s="47"/>
      <c r="K637" s="109"/>
      <c r="L637" s="110"/>
      <c r="M637" s="109"/>
    </row>
    <row r="638" ht="12.0" customHeight="1">
      <c r="A638" s="106"/>
      <c r="B638" s="41"/>
      <c r="E638" s="41"/>
      <c r="G638" s="107"/>
      <c r="H638" s="36"/>
      <c r="I638" s="108"/>
      <c r="J638" s="47"/>
      <c r="K638" s="109"/>
      <c r="L638" s="110"/>
      <c r="M638" s="109"/>
    </row>
    <row r="639" ht="12.0" customHeight="1">
      <c r="A639" s="106"/>
      <c r="B639" s="41"/>
      <c r="E639" s="41"/>
      <c r="G639" s="107"/>
      <c r="H639" s="36"/>
      <c r="I639" s="108"/>
      <c r="J639" s="47"/>
      <c r="K639" s="109"/>
      <c r="L639" s="110"/>
      <c r="M639" s="109"/>
    </row>
    <row r="640" ht="12.0" customHeight="1">
      <c r="A640" s="106"/>
      <c r="B640" s="41"/>
      <c r="E640" s="41"/>
      <c r="G640" s="107"/>
      <c r="H640" s="36"/>
      <c r="I640" s="108"/>
      <c r="J640" s="47"/>
      <c r="K640" s="109"/>
      <c r="L640" s="110"/>
      <c r="M640" s="109"/>
    </row>
    <row r="641" ht="12.0" customHeight="1">
      <c r="A641" s="106"/>
      <c r="B641" s="41"/>
      <c r="E641" s="41"/>
      <c r="G641" s="107"/>
      <c r="H641" s="36"/>
      <c r="I641" s="108"/>
      <c r="J641" s="47"/>
      <c r="K641" s="109"/>
      <c r="L641" s="110"/>
      <c r="M641" s="109"/>
    </row>
    <row r="642" ht="12.0" customHeight="1">
      <c r="A642" s="106"/>
      <c r="B642" s="41"/>
      <c r="E642" s="41"/>
      <c r="G642" s="107"/>
      <c r="H642" s="36"/>
      <c r="I642" s="108"/>
      <c r="J642" s="47"/>
      <c r="K642" s="109"/>
      <c r="L642" s="110"/>
      <c r="M642" s="109"/>
    </row>
    <row r="643" ht="12.0" customHeight="1">
      <c r="A643" s="106"/>
      <c r="B643" s="41"/>
      <c r="E643" s="41"/>
      <c r="G643" s="107"/>
      <c r="H643" s="36"/>
      <c r="I643" s="108"/>
      <c r="J643" s="47"/>
      <c r="K643" s="109"/>
      <c r="L643" s="110"/>
      <c r="M643" s="109"/>
    </row>
    <row r="644" ht="12.0" customHeight="1">
      <c r="A644" s="106"/>
      <c r="B644" s="41"/>
      <c r="E644" s="41"/>
      <c r="G644" s="107"/>
      <c r="H644" s="36"/>
      <c r="I644" s="108"/>
      <c r="J644" s="47"/>
      <c r="K644" s="109"/>
      <c r="L644" s="110"/>
      <c r="M644" s="109"/>
    </row>
    <row r="645" ht="12.0" customHeight="1">
      <c r="A645" s="106"/>
      <c r="B645" s="41"/>
      <c r="E645" s="41"/>
      <c r="G645" s="107"/>
      <c r="H645" s="36"/>
      <c r="I645" s="108"/>
      <c r="J645" s="47"/>
      <c r="K645" s="109"/>
      <c r="L645" s="110"/>
      <c r="M645" s="109"/>
    </row>
    <row r="646" ht="12.0" customHeight="1">
      <c r="A646" s="106"/>
      <c r="B646" s="41"/>
      <c r="E646" s="41"/>
      <c r="G646" s="107"/>
      <c r="H646" s="36"/>
      <c r="I646" s="108"/>
      <c r="J646" s="47"/>
      <c r="K646" s="109"/>
      <c r="L646" s="110"/>
      <c r="M646" s="109"/>
    </row>
    <row r="647" ht="12.0" customHeight="1">
      <c r="A647" s="106"/>
      <c r="B647" s="41"/>
      <c r="E647" s="41"/>
      <c r="G647" s="107"/>
      <c r="H647" s="36"/>
      <c r="I647" s="108"/>
      <c r="J647" s="47"/>
      <c r="K647" s="109"/>
      <c r="L647" s="110"/>
      <c r="M647" s="109"/>
    </row>
    <row r="648" ht="12.0" customHeight="1">
      <c r="A648" s="106"/>
      <c r="B648" s="41"/>
      <c r="E648" s="41"/>
      <c r="G648" s="107"/>
      <c r="H648" s="36"/>
      <c r="I648" s="108"/>
      <c r="J648" s="47"/>
      <c r="K648" s="109"/>
      <c r="L648" s="110"/>
      <c r="M648" s="109"/>
    </row>
    <row r="649" ht="12.0" customHeight="1">
      <c r="A649" s="106"/>
      <c r="B649" s="41"/>
      <c r="E649" s="41"/>
      <c r="G649" s="107"/>
      <c r="H649" s="36"/>
      <c r="I649" s="108"/>
      <c r="J649" s="47"/>
      <c r="K649" s="109"/>
      <c r="L649" s="110"/>
      <c r="M649" s="109"/>
    </row>
    <row r="650" ht="12.0" customHeight="1">
      <c r="A650" s="106"/>
      <c r="B650" s="41"/>
      <c r="E650" s="41"/>
      <c r="G650" s="107"/>
      <c r="H650" s="36"/>
      <c r="I650" s="108"/>
      <c r="J650" s="47"/>
      <c r="K650" s="109"/>
      <c r="L650" s="110"/>
      <c r="M650" s="109"/>
    </row>
    <row r="651" ht="12.0" customHeight="1">
      <c r="A651" s="106"/>
      <c r="B651" s="41"/>
      <c r="E651" s="41"/>
      <c r="G651" s="107"/>
      <c r="H651" s="36"/>
      <c r="I651" s="108"/>
      <c r="J651" s="47"/>
      <c r="K651" s="109"/>
      <c r="L651" s="110"/>
      <c r="M651" s="109"/>
    </row>
    <row r="652" ht="12.0" customHeight="1">
      <c r="A652" s="106"/>
      <c r="B652" s="41"/>
      <c r="E652" s="41"/>
      <c r="G652" s="107"/>
      <c r="H652" s="36"/>
      <c r="I652" s="108"/>
      <c r="J652" s="47"/>
      <c r="K652" s="109"/>
      <c r="L652" s="110"/>
      <c r="M652" s="109"/>
    </row>
    <row r="653" ht="12.0" customHeight="1">
      <c r="A653" s="106"/>
      <c r="B653" s="41"/>
      <c r="E653" s="41"/>
      <c r="G653" s="107"/>
      <c r="H653" s="36"/>
      <c r="I653" s="108"/>
      <c r="J653" s="47"/>
      <c r="K653" s="109"/>
      <c r="L653" s="110"/>
      <c r="M653" s="109"/>
    </row>
    <row r="654" ht="12.0" customHeight="1">
      <c r="A654" s="106"/>
      <c r="B654" s="41"/>
      <c r="E654" s="41"/>
      <c r="G654" s="107"/>
      <c r="H654" s="36"/>
      <c r="I654" s="108"/>
      <c r="J654" s="47"/>
      <c r="K654" s="109"/>
      <c r="L654" s="110"/>
      <c r="M654" s="109"/>
    </row>
    <row r="655" ht="12.0" customHeight="1">
      <c r="A655" s="106"/>
      <c r="B655" s="41"/>
      <c r="E655" s="41"/>
      <c r="G655" s="107"/>
      <c r="H655" s="36"/>
      <c r="I655" s="108"/>
      <c r="J655" s="47"/>
      <c r="K655" s="109"/>
      <c r="L655" s="110"/>
      <c r="M655" s="109"/>
    </row>
    <row r="656" ht="12.0" customHeight="1">
      <c r="A656" s="106"/>
      <c r="B656" s="41"/>
      <c r="E656" s="41"/>
      <c r="G656" s="107"/>
      <c r="H656" s="36"/>
      <c r="I656" s="108"/>
      <c r="J656" s="47"/>
      <c r="K656" s="109"/>
      <c r="L656" s="110"/>
      <c r="M656" s="109"/>
    </row>
    <row r="657" ht="12.0" customHeight="1">
      <c r="A657" s="106"/>
      <c r="B657" s="41"/>
      <c r="E657" s="41"/>
      <c r="G657" s="107"/>
      <c r="H657" s="36"/>
      <c r="I657" s="108"/>
      <c r="J657" s="47"/>
      <c r="K657" s="109"/>
      <c r="L657" s="110"/>
      <c r="M657" s="109"/>
    </row>
    <row r="658" ht="12.0" customHeight="1">
      <c r="A658" s="106"/>
      <c r="B658" s="41"/>
      <c r="E658" s="41"/>
      <c r="G658" s="107"/>
      <c r="H658" s="36"/>
      <c r="I658" s="108"/>
      <c r="J658" s="47"/>
      <c r="K658" s="109"/>
      <c r="L658" s="110"/>
      <c r="M658" s="109"/>
    </row>
    <row r="659" ht="12.0" customHeight="1">
      <c r="A659" s="106"/>
      <c r="B659" s="41"/>
      <c r="E659" s="41"/>
      <c r="G659" s="107"/>
      <c r="H659" s="36"/>
      <c r="I659" s="108"/>
      <c r="J659" s="47"/>
      <c r="K659" s="109"/>
      <c r="L659" s="110"/>
      <c r="M659" s="109"/>
    </row>
    <row r="660" ht="12.0" customHeight="1">
      <c r="A660" s="106"/>
      <c r="B660" s="41"/>
      <c r="E660" s="41"/>
      <c r="G660" s="107"/>
      <c r="H660" s="36"/>
      <c r="I660" s="108"/>
      <c r="J660" s="47"/>
      <c r="K660" s="109"/>
      <c r="L660" s="110"/>
      <c r="M660" s="109"/>
    </row>
    <row r="661" ht="12.0" customHeight="1">
      <c r="A661" s="106"/>
      <c r="B661" s="41"/>
      <c r="E661" s="41"/>
      <c r="G661" s="107"/>
      <c r="H661" s="36"/>
      <c r="I661" s="108"/>
      <c r="J661" s="47"/>
      <c r="K661" s="109"/>
      <c r="L661" s="110"/>
      <c r="M661" s="109"/>
    </row>
    <row r="662" ht="12.0" customHeight="1">
      <c r="A662" s="106"/>
      <c r="B662" s="41"/>
      <c r="E662" s="41"/>
      <c r="G662" s="107"/>
      <c r="H662" s="36"/>
      <c r="I662" s="108"/>
      <c r="J662" s="47"/>
      <c r="K662" s="109"/>
      <c r="L662" s="110"/>
      <c r="M662" s="109"/>
    </row>
    <row r="663" ht="12.0" customHeight="1">
      <c r="A663" s="106"/>
      <c r="B663" s="41"/>
      <c r="E663" s="41"/>
      <c r="G663" s="107"/>
      <c r="H663" s="36"/>
      <c r="I663" s="108"/>
      <c r="J663" s="47"/>
      <c r="K663" s="109"/>
      <c r="L663" s="110"/>
      <c r="M663" s="109"/>
    </row>
    <row r="664" ht="12.0" customHeight="1">
      <c r="A664" s="106"/>
      <c r="B664" s="41"/>
      <c r="E664" s="41"/>
      <c r="G664" s="107"/>
      <c r="H664" s="36"/>
      <c r="I664" s="108"/>
      <c r="J664" s="47"/>
      <c r="K664" s="109"/>
      <c r="L664" s="110"/>
      <c r="M664" s="109"/>
    </row>
    <row r="665" ht="12.0" customHeight="1">
      <c r="A665" s="106"/>
      <c r="B665" s="41"/>
      <c r="E665" s="41"/>
      <c r="G665" s="107"/>
      <c r="H665" s="36"/>
      <c r="I665" s="108"/>
      <c r="J665" s="47"/>
      <c r="K665" s="109"/>
      <c r="L665" s="110"/>
      <c r="M665" s="109"/>
    </row>
    <row r="666" ht="12.0" customHeight="1">
      <c r="A666" s="106"/>
      <c r="B666" s="41"/>
      <c r="E666" s="41"/>
      <c r="G666" s="107"/>
      <c r="H666" s="36"/>
      <c r="I666" s="108"/>
      <c r="J666" s="47"/>
      <c r="K666" s="109"/>
      <c r="L666" s="110"/>
      <c r="M666" s="109"/>
    </row>
    <row r="667" ht="12.0" customHeight="1">
      <c r="A667" s="106"/>
      <c r="B667" s="41"/>
      <c r="E667" s="41"/>
      <c r="G667" s="107"/>
      <c r="H667" s="36"/>
      <c r="I667" s="108"/>
      <c r="J667" s="47"/>
      <c r="K667" s="109"/>
      <c r="L667" s="110"/>
      <c r="M667" s="109"/>
    </row>
    <row r="668" ht="12.0" customHeight="1">
      <c r="A668" s="106"/>
      <c r="B668" s="41"/>
      <c r="E668" s="41"/>
      <c r="G668" s="107"/>
      <c r="H668" s="36"/>
      <c r="I668" s="108"/>
      <c r="J668" s="47"/>
      <c r="K668" s="109"/>
      <c r="L668" s="110"/>
      <c r="M668" s="109"/>
    </row>
    <row r="669" ht="12.0" customHeight="1">
      <c r="A669" s="106"/>
      <c r="B669" s="41"/>
      <c r="E669" s="41"/>
      <c r="G669" s="107"/>
      <c r="H669" s="36"/>
      <c r="I669" s="108"/>
      <c r="J669" s="47"/>
      <c r="K669" s="109"/>
      <c r="L669" s="110"/>
      <c r="M669" s="109"/>
    </row>
    <row r="670" ht="12.0" customHeight="1">
      <c r="A670" s="106"/>
      <c r="B670" s="41"/>
      <c r="E670" s="41"/>
      <c r="G670" s="107"/>
      <c r="H670" s="36"/>
      <c r="I670" s="108"/>
      <c r="J670" s="47"/>
      <c r="K670" s="109"/>
      <c r="L670" s="110"/>
      <c r="M670" s="109"/>
    </row>
    <row r="671" ht="12.0" customHeight="1">
      <c r="A671" s="106"/>
      <c r="B671" s="41"/>
      <c r="E671" s="41"/>
      <c r="G671" s="107"/>
      <c r="H671" s="36"/>
      <c r="I671" s="108"/>
      <c r="J671" s="47"/>
      <c r="K671" s="109"/>
      <c r="L671" s="110"/>
      <c r="M671" s="109"/>
    </row>
    <row r="672" ht="12.0" customHeight="1">
      <c r="A672" s="106"/>
      <c r="B672" s="41"/>
      <c r="E672" s="41"/>
      <c r="G672" s="107"/>
      <c r="H672" s="36"/>
      <c r="I672" s="108"/>
      <c r="J672" s="47"/>
      <c r="K672" s="109"/>
      <c r="L672" s="110"/>
      <c r="M672" s="109"/>
    </row>
    <row r="673" ht="12.0" customHeight="1">
      <c r="A673" s="106"/>
      <c r="B673" s="41"/>
      <c r="E673" s="41"/>
      <c r="G673" s="107"/>
      <c r="H673" s="36"/>
      <c r="I673" s="108"/>
      <c r="J673" s="47"/>
      <c r="K673" s="109"/>
      <c r="L673" s="110"/>
      <c r="M673" s="109"/>
    </row>
    <row r="674" ht="12.0" customHeight="1">
      <c r="A674" s="106"/>
      <c r="B674" s="41"/>
      <c r="E674" s="41"/>
      <c r="G674" s="107"/>
      <c r="H674" s="36"/>
      <c r="I674" s="108"/>
      <c r="J674" s="47"/>
      <c r="K674" s="109"/>
      <c r="L674" s="110"/>
      <c r="M674" s="109"/>
    </row>
    <row r="675" ht="12.0" customHeight="1">
      <c r="A675" s="106"/>
      <c r="B675" s="41"/>
      <c r="E675" s="41"/>
      <c r="G675" s="107"/>
      <c r="H675" s="36"/>
      <c r="I675" s="108"/>
      <c r="J675" s="47"/>
      <c r="K675" s="109"/>
      <c r="L675" s="110"/>
      <c r="M675" s="109"/>
    </row>
    <row r="676" ht="12.0" customHeight="1">
      <c r="A676" s="106"/>
      <c r="B676" s="41"/>
      <c r="E676" s="41"/>
      <c r="G676" s="107"/>
      <c r="H676" s="36"/>
      <c r="I676" s="108"/>
      <c r="J676" s="47"/>
      <c r="K676" s="109"/>
      <c r="L676" s="110"/>
      <c r="M676" s="109"/>
    </row>
    <row r="677" ht="12.0" customHeight="1">
      <c r="A677" s="106"/>
      <c r="B677" s="41"/>
      <c r="E677" s="41"/>
      <c r="G677" s="107"/>
      <c r="H677" s="36"/>
      <c r="I677" s="108"/>
      <c r="J677" s="47"/>
      <c r="K677" s="109"/>
      <c r="L677" s="110"/>
      <c r="M677" s="109"/>
    </row>
    <row r="678" ht="12.0" customHeight="1">
      <c r="A678" s="106"/>
      <c r="B678" s="41"/>
      <c r="E678" s="41"/>
      <c r="G678" s="107"/>
      <c r="H678" s="36"/>
      <c r="I678" s="108"/>
      <c r="J678" s="47"/>
      <c r="K678" s="109"/>
      <c r="L678" s="110"/>
      <c r="M678" s="109"/>
    </row>
    <row r="679" ht="12.0" customHeight="1">
      <c r="A679" s="106"/>
      <c r="B679" s="41"/>
      <c r="E679" s="41"/>
      <c r="G679" s="107"/>
      <c r="H679" s="36"/>
      <c r="I679" s="108"/>
      <c r="J679" s="47"/>
      <c r="K679" s="109"/>
      <c r="L679" s="110"/>
      <c r="M679" s="109"/>
    </row>
    <row r="680" ht="12.0" customHeight="1">
      <c r="A680" s="106"/>
      <c r="B680" s="41"/>
      <c r="E680" s="41"/>
      <c r="G680" s="107"/>
      <c r="H680" s="36"/>
      <c r="I680" s="108"/>
      <c r="J680" s="47"/>
      <c r="K680" s="109"/>
      <c r="L680" s="110"/>
      <c r="M680" s="109"/>
    </row>
    <row r="681" ht="12.0" customHeight="1">
      <c r="A681" s="106"/>
      <c r="B681" s="41"/>
      <c r="E681" s="41"/>
      <c r="G681" s="107"/>
      <c r="H681" s="36"/>
      <c r="I681" s="108"/>
      <c r="J681" s="47"/>
      <c r="K681" s="109"/>
      <c r="L681" s="110"/>
      <c r="M681" s="109"/>
    </row>
    <row r="682" ht="12.0" customHeight="1">
      <c r="A682" s="106"/>
      <c r="B682" s="41"/>
      <c r="E682" s="41"/>
      <c r="G682" s="107"/>
      <c r="H682" s="36"/>
      <c r="I682" s="108"/>
      <c r="J682" s="47"/>
      <c r="K682" s="109"/>
      <c r="L682" s="110"/>
      <c r="M682" s="109"/>
    </row>
    <row r="683" ht="12.0" customHeight="1">
      <c r="A683" s="106"/>
      <c r="B683" s="41"/>
      <c r="E683" s="41"/>
      <c r="G683" s="107"/>
      <c r="H683" s="36"/>
      <c r="I683" s="108"/>
      <c r="J683" s="47"/>
      <c r="K683" s="109"/>
      <c r="L683" s="110"/>
      <c r="M683" s="109"/>
    </row>
    <row r="684" ht="12.0" customHeight="1">
      <c r="A684" s="106"/>
      <c r="B684" s="41"/>
      <c r="E684" s="41"/>
      <c r="G684" s="107"/>
      <c r="H684" s="36"/>
      <c r="I684" s="108"/>
      <c r="J684" s="47"/>
      <c r="K684" s="109"/>
      <c r="L684" s="110"/>
      <c r="M684" s="109"/>
    </row>
    <row r="685" ht="12.0" customHeight="1">
      <c r="A685" s="106"/>
      <c r="B685" s="41"/>
      <c r="E685" s="41"/>
      <c r="G685" s="107"/>
      <c r="H685" s="36"/>
      <c r="I685" s="108"/>
      <c r="J685" s="47"/>
      <c r="K685" s="109"/>
      <c r="L685" s="110"/>
      <c r="M685" s="109"/>
    </row>
    <row r="686" ht="12.0" customHeight="1">
      <c r="A686" s="106"/>
      <c r="B686" s="41"/>
      <c r="E686" s="41"/>
      <c r="G686" s="107"/>
      <c r="H686" s="36"/>
      <c r="I686" s="108"/>
      <c r="J686" s="47"/>
      <c r="K686" s="109"/>
      <c r="L686" s="110"/>
      <c r="M686" s="109"/>
    </row>
    <row r="687" ht="12.0" customHeight="1">
      <c r="A687" s="106"/>
      <c r="B687" s="41"/>
      <c r="E687" s="41"/>
      <c r="G687" s="107"/>
      <c r="H687" s="36"/>
      <c r="I687" s="108"/>
      <c r="J687" s="47"/>
      <c r="K687" s="109"/>
      <c r="L687" s="110"/>
      <c r="M687" s="109"/>
    </row>
    <row r="688" ht="12.0" customHeight="1">
      <c r="A688" s="106"/>
      <c r="B688" s="41"/>
      <c r="E688" s="41"/>
      <c r="G688" s="107"/>
      <c r="H688" s="36"/>
      <c r="I688" s="108"/>
      <c r="J688" s="47"/>
      <c r="K688" s="109"/>
      <c r="L688" s="110"/>
      <c r="M688" s="109"/>
    </row>
    <row r="689" ht="12.0" customHeight="1">
      <c r="A689" s="106"/>
      <c r="B689" s="41"/>
      <c r="E689" s="41"/>
      <c r="G689" s="107"/>
      <c r="H689" s="36"/>
      <c r="I689" s="108"/>
      <c r="J689" s="47"/>
      <c r="K689" s="109"/>
      <c r="L689" s="110"/>
      <c r="M689" s="109"/>
    </row>
    <row r="690" ht="12.0" customHeight="1">
      <c r="A690" s="106"/>
      <c r="B690" s="41"/>
      <c r="E690" s="41"/>
      <c r="G690" s="107"/>
      <c r="H690" s="36"/>
      <c r="I690" s="108"/>
      <c r="J690" s="47"/>
      <c r="K690" s="109"/>
      <c r="L690" s="110"/>
      <c r="M690" s="109"/>
    </row>
    <row r="691" ht="12.0" customHeight="1">
      <c r="A691" s="106"/>
      <c r="B691" s="41"/>
      <c r="E691" s="41"/>
      <c r="G691" s="107"/>
      <c r="H691" s="36"/>
      <c r="I691" s="108"/>
      <c r="J691" s="47"/>
      <c r="K691" s="109"/>
      <c r="L691" s="110"/>
      <c r="M691" s="109"/>
    </row>
    <row r="692" ht="12.0" customHeight="1">
      <c r="A692" s="106"/>
      <c r="B692" s="41"/>
      <c r="E692" s="41"/>
      <c r="G692" s="107"/>
      <c r="H692" s="36"/>
      <c r="I692" s="108"/>
      <c r="J692" s="47"/>
      <c r="K692" s="109"/>
      <c r="L692" s="110"/>
      <c r="M692" s="109"/>
    </row>
    <row r="693" ht="12.0" customHeight="1">
      <c r="A693" s="106"/>
      <c r="B693" s="41"/>
      <c r="E693" s="41"/>
      <c r="G693" s="107"/>
      <c r="H693" s="36"/>
      <c r="I693" s="108"/>
      <c r="J693" s="47"/>
      <c r="K693" s="109"/>
      <c r="L693" s="110"/>
      <c r="M693" s="109"/>
    </row>
    <row r="694" ht="12.0" customHeight="1">
      <c r="A694" s="106"/>
      <c r="B694" s="41"/>
      <c r="E694" s="41"/>
      <c r="G694" s="107"/>
      <c r="H694" s="36"/>
      <c r="I694" s="108"/>
      <c r="J694" s="47"/>
      <c r="K694" s="109"/>
      <c r="L694" s="110"/>
      <c r="M694" s="109"/>
    </row>
    <row r="695" ht="12.0" customHeight="1">
      <c r="A695" s="106"/>
      <c r="B695" s="41"/>
      <c r="E695" s="41"/>
      <c r="G695" s="107"/>
      <c r="H695" s="36"/>
      <c r="I695" s="108"/>
      <c r="J695" s="47"/>
      <c r="K695" s="109"/>
      <c r="L695" s="110"/>
      <c r="M695" s="109"/>
    </row>
    <row r="696" ht="12.0" customHeight="1">
      <c r="A696" s="106"/>
      <c r="B696" s="41"/>
      <c r="E696" s="41"/>
      <c r="G696" s="107"/>
      <c r="H696" s="36"/>
      <c r="I696" s="108"/>
      <c r="J696" s="47"/>
      <c r="K696" s="109"/>
      <c r="L696" s="110"/>
      <c r="M696" s="109"/>
    </row>
    <row r="697" ht="12.0" customHeight="1">
      <c r="A697" s="106"/>
      <c r="B697" s="41"/>
      <c r="E697" s="41"/>
      <c r="G697" s="107"/>
      <c r="H697" s="36"/>
      <c r="I697" s="108"/>
      <c r="J697" s="47"/>
      <c r="K697" s="109"/>
      <c r="L697" s="110"/>
      <c r="M697" s="109"/>
    </row>
    <row r="698" ht="12.0" customHeight="1">
      <c r="A698" s="106"/>
      <c r="B698" s="41"/>
      <c r="E698" s="41"/>
      <c r="G698" s="107"/>
      <c r="H698" s="36"/>
      <c r="I698" s="108"/>
      <c r="J698" s="47"/>
      <c r="K698" s="109"/>
      <c r="L698" s="110"/>
      <c r="M698" s="109"/>
    </row>
    <row r="699" ht="12.0" customHeight="1">
      <c r="A699" s="106"/>
      <c r="B699" s="41"/>
      <c r="E699" s="41"/>
      <c r="G699" s="107"/>
      <c r="H699" s="36"/>
      <c r="I699" s="108"/>
      <c r="J699" s="47"/>
      <c r="K699" s="109"/>
      <c r="L699" s="110"/>
      <c r="M699" s="109"/>
    </row>
    <row r="700" ht="12.0" customHeight="1">
      <c r="A700" s="106"/>
      <c r="B700" s="41"/>
      <c r="E700" s="41"/>
      <c r="G700" s="107"/>
      <c r="H700" s="36"/>
      <c r="I700" s="108"/>
      <c r="J700" s="47"/>
      <c r="K700" s="109"/>
      <c r="L700" s="110"/>
      <c r="M700" s="109"/>
    </row>
    <row r="701" ht="12.0" customHeight="1">
      <c r="A701" s="106"/>
      <c r="B701" s="41"/>
      <c r="E701" s="41"/>
      <c r="G701" s="107"/>
      <c r="H701" s="36"/>
      <c r="I701" s="108"/>
      <c r="J701" s="47"/>
      <c r="K701" s="109"/>
      <c r="L701" s="110"/>
      <c r="M701" s="109"/>
    </row>
    <row r="702" ht="12.0" customHeight="1">
      <c r="A702" s="106"/>
      <c r="B702" s="41"/>
      <c r="E702" s="41"/>
      <c r="G702" s="107"/>
      <c r="H702" s="36"/>
      <c r="I702" s="108"/>
      <c r="J702" s="47"/>
      <c r="K702" s="109"/>
      <c r="L702" s="110"/>
      <c r="M702" s="109"/>
    </row>
    <row r="703" ht="12.0" customHeight="1">
      <c r="A703" s="106"/>
      <c r="B703" s="41"/>
      <c r="E703" s="41"/>
      <c r="G703" s="107"/>
      <c r="H703" s="36"/>
      <c r="I703" s="108"/>
      <c r="J703" s="47"/>
      <c r="K703" s="109"/>
      <c r="L703" s="110"/>
      <c r="M703" s="109"/>
    </row>
    <row r="704" ht="12.0" customHeight="1">
      <c r="A704" s="106"/>
      <c r="B704" s="41"/>
      <c r="E704" s="41"/>
      <c r="G704" s="107"/>
      <c r="H704" s="36"/>
      <c r="I704" s="108"/>
      <c r="J704" s="47"/>
      <c r="K704" s="109"/>
      <c r="L704" s="110"/>
      <c r="M704" s="109"/>
    </row>
    <row r="705" ht="12.0" customHeight="1">
      <c r="A705" s="106"/>
      <c r="B705" s="41"/>
      <c r="E705" s="41"/>
      <c r="G705" s="107"/>
      <c r="H705" s="36"/>
      <c r="I705" s="108"/>
      <c r="J705" s="47"/>
      <c r="K705" s="109"/>
      <c r="L705" s="110"/>
      <c r="M705" s="109"/>
    </row>
    <row r="706" ht="12.0" customHeight="1">
      <c r="A706" s="106"/>
      <c r="B706" s="41"/>
      <c r="E706" s="41"/>
      <c r="G706" s="107"/>
      <c r="H706" s="36"/>
      <c r="I706" s="108"/>
      <c r="J706" s="47"/>
      <c r="K706" s="109"/>
      <c r="L706" s="110"/>
      <c r="M706" s="109"/>
    </row>
    <row r="707" ht="12.0" customHeight="1">
      <c r="A707" s="106"/>
      <c r="B707" s="41"/>
      <c r="E707" s="41"/>
      <c r="G707" s="107"/>
      <c r="H707" s="36"/>
      <c r="I707" s="108"/>
      <c r="J707" s="47"/>
      <c r="K707" s="109"/>
      <c r="L707" s="110"/>
      <c r="M707" s="109"/>
    </row>
    <row r="708" ht="12.0" customHeight="1">
      <c r="A708" s="106"/>
      <c r="B708" s="41"/>
      <c r="E708" s="41"/>
      <c r="G708" s="107"/>
      <c r="H708" s="36"/>
      <c r="I708" s="108"/>
      <c r="J708" s="47"/>
      <c r="K708" s="109"/>
      <c r="L708" s="110"/>
      <c r="M708" s="109"/>
    </row>
    <row r="709" ht="12.0" customHeight="1">
      <c r="A709" s="106"/>
      <c r="B709" s="41"/>
      <c r="E709" s="41"/>
      <c r="G709" s="107"/>
      <c r="H709" s="36"/>
      <c r="I709" s="108"/>
      <c r="J709" s="47"/>
      <c r="K709" s="109"/>
      <c r="L709" s="110"/>
      <c r="M709" s="109"/>
    </row>
    <row r="710" ht="12.0" customHeight="1">
      <c r="A710" s="106"/>
      <c r="B710" s="41"/>
      <c r="E710" s="41"/>
      <c r="G710" s="107"/>
      <c r="H710" s="36"/>
      <c r="I710" s="108"/>
      <c r="J710" s="47"/>
      <c r="K710" s="109"/>
      <c r="L710" s="110"/>
      <c r="M710" s="109"/>
    </row>
    <row r="711" ht="12.0" customHeight="1">
      <c r="A711" s="106"/>
      <c r="B711" s="41"/>
      <c r="E711" s="41"/>
      <c r="G711" s="107"/>
      <c r="H711" s="36"/>
      <c r="I711" s="108"/>
      <c r="J711" s="47"/>
      <c r="K711" s="109"/>
      <c r="L711" s="110"/>
      <c r="M711" s="109"/>
    </row>
    <row r="712" ht="12.0" customHeight="1">
      <c r="A712" s="106"/>
      <c r="B712" s="41"/>
      <c r="E712" s="41"/>
      <c r="G712" s="107"/>
      <c r="H712" s="36"/>
      <c r="I712" s="108"/>
      <c r="J712" s="47"/>
      <c r="K712" s="109"/>
      <c r="L712" s="110"/>
      <c r="M712" s="109"/>
    </row>
    <row r="713" ht="12.0" customHeight="1">
      <c r="A713" s="106"/>
      <c r="B713" s="41"/>
      <c r="E713" s="41"/>
      <c r="G713" s="107"/>
      <c r="H713" s="36"/>
      <c r="I713" s="108"/>
      <c r="J713" s="47"/>
      <c r="K713" s="109"/>
      <c r="L713" s="110"/>
      <c r="M713" s="109"/>
    </row>
    <row r="714" ht="12.0" customHeight="1">
      <c r="A714" s="106"/>
      <c r="B714" s="41"/>
      <c r="E714" s="41"/>
      <c r="G714" s="107"/>
      <c r="H714" s="36"/>
      <c r="I714" s="108"/>
      <c r="J714" s="47"/>
      <c r="K714" s="109"/>
      <c r="L714" s="110"/>
      <c r="M714" s="109"/>
    </row>
    <row r="715" ht="12.0" customHeight="1">
      <c r="A715" s="106"/>
      <c r="B715" s="41"/>
      <c r="E715" s="41"/>
      <c r="G715" s="107"/>
      <c r="H715" s="36"/>
      <c r="I715" s="108"/>
      <c r="J715" s="47"/>
      <c r="K715" s="109"/>
      <c r="L715" s="110"/>
      <c r="M715" s="109"/>
    </row>
    <row r="716" ht="12.0" customHeight="1">
      <c r="A716" s="106"/>
      <c r="B716" s="41"/>
      <c r="E716" s="41"/>
      <c r="G716" s="107"/>
      <c r="H716" s="36"/>
      <c r="I716" s="108"/>
      <c r="J716" s="47"/>
      <c r="K716" s="109"/>
      <c r="L716" s="110"/>
      <c r="M716" s="109"/>
    </row>
    <row r="717" ht="12.0" customHeight="1">
      <c r="A717" s="106"/>
      <c r="B717" s="41"/>
      <c r="E717" s="41"/>
      <c r="G717" s="107"/>
      <c r="H717" s="36"/>
      <c r="I717" s="108"/>
      <c r="J717" s="47"/>
      <c r="K717" s="109"/>
      <c r="L717" s="110"/>
      <c r="M717" s="109"/>
    </row>
    <row r="718" ht="12.0" customHeight="1">
      <c r="A718" s="106"/>
      <c r="B718" s="41"/>
      <c r="E718" s="41"/>
      <c r="G718" s="107"/>
      <c r="H718" s="36"/>
      <c r="I718" s="108"/>
      <c r="J718" s="47"/>
      <c r="K718" s="109"/>
      <c r="L718" s="110"/>
      <c r="M718" s="109"/>
    </row>
    <row r="719" ht="12.0" customHeight="1">
      <c r="A719" s="106"/>
      <c r="B719" s="41"/>
      <c r="E719" s="41"/>
      <c r="G719" s="107"/>
      <c r="H719" s="36"/>
      <c r="I719" s="108"/>
      <c r="J719" s="47"/>
      <c r="K719" s="109"/>
      <c r="L719" s="110"/>
      <c r="M719" s="109"/>
    </row>
    <row r="720" ht="12.0" customHeight="1">
      <c r="A720" s="106"/>
      <c r="B720" s="41"/>
      <c r="E720" s="41"/>
      <c r="G720" s="107"/>
      <c r="H720" s="36"/>
      <c r="I720" s="108"/>
      <c r="J720" s="47"/>
      <c r="K720" s="109"/>
      <c r="L720" s="110"/>
      <c r="M720" s="109"/>
    </row>
    <row r="721" ht="12.0" customHeight="1">
      <c r="A721" s="106"/>
      <c r="B721" s="41"/>
      <c r="E721" s="41"/>
      <c r="G721" s="107"/>
      <c r="H721" s="36"/>
      <c r="I721" s="108"/>
      <c r="J721" s="47"/>
      <c r="K721" s="109"/>
      <c r="L721" s="110"/>
      <c r="M721" s="109"/>
    </row>
    <row r="722" ht="12.0" customHeight="1">
      <c r="A722" s="106"/>
      <c r="B722" s="41"/>
      <c r="E722" s="41"/>
      <c r="G722" s="107"/>
      <c r="H722" s="36"/>
      <c r="I722" s="108"/>
      <c r="J722" s="47"/>
      <c r="K722" s="109"/>
      <c r="L722" s="110"/>
      <c r="M722" s="109"/>
    </row>
    <row r="723" ht="12.0" customHeight="1">
      <c r="A723" s="106"/>
      <c r="B723" s="41"/>
      <c r="E723" s="41"/>
      <c r="G723" s="107"/>
      <c r="H723" s="36"/>
      <c r="I723" s="108"/>
      <c r="J723" s="47"/>
      <c r="K723" s="109"/>
      <c r="L723" s="110"/>
      <c r="M723" s="109"/>
    </row>
    <row r="724" ht="12.0" customHeight="1">
      <c r="A724" s="106"/>
      <c r="B724" s="41"/>
      <c r="E724" s="41"/>
      <c r="G724" s="107"/>
      <c r="H724" s="36"/>
      <c r="I724" s="108"/>
      <c r="J724" s="47"/>
      <c r="K724" s="109"/>
      <c r="L724" s="110"/>
      <c r="M724" s="109"/>
    </row>
    <row r="725" ht="12.0" customHeight="1">
      <c r="A725" s="106"/>
      <c r="B725" s="41"/>
      <c r="E725" s="41"/>
      <c r="G725" s="107"/>
      <c r="H725" s="36"/>
      <c r="I725" s="108"/>
      <c r="J725" s="47"/>
      <c r="K725" s="109"/>
      <c r="L725" s="110"/>
      <c r="M725" s="109"/>
    </row>
    <row r="726" ht="12.0" customHeight="1">
      <c r="A726" s="106"/>
      <c r="B726" s="41"/>
      <c r="E726" s="41"/>
      <c r="G726" s="107"/>
      <c r="H726" s="36"/>
      <c r="I726" s="108"/>
      <c r="J726" s="47"/>
      <c r="K726" s="109"/>
      <c r="L726" s="110"/>
      <c r="M726" s="109"/>
    </row>
    <row r="727" ht="12.0" customHeight="1">
      <c r="A727" s="106"/>
      <c r="B727" s="41"/>
      <c r="E727" s="41"/>
      <c r="G727" s="107"/>
      <c r="H727" s="36"/>
      <c r="I727" s="108"/>
      <c r="J727" s="47"/>
      <c r="K727" s="109"/>
      <c r="L727" s="110"/>
      <c r="M727" s="109"/>
    </row>
    <row r="728" ht="12.0" customHeight="1">
      <c r="A728" s="106"/>
      <c r="B728" s="41"/>
      <c r="E728" s="41"/>
      <c r="G728" s="107"/>
      <c r="H728" s="36"/>
      <c r="I728" s="108"/>
      <c r="J728" s="47"/>
      <c r="K728" s="109"/>
      <c r="L728" s="110"/>
      <c r="M728" s="109"/>
    </row>
    <row r="729" ht="12.0" customHeight="1">
      <c r="A729" s="106"/>
      <c r="B729" s="41"/>
      <c r="E729" s="41"/>
      <c r="G729" s="107"/>
      <c r="H729" s="36"/>
      <c r="I729" s="108"/>
      <c r="J729" s="47"/>
      <c r="K729" s="109"/>
      <c r="L729" s="110"/>
      <c r="M729" s="109"/>
    </row>
    <row r="730" ht="12.0" customHeight="1">
      <c r="A730" s="106"/>
      <c r="B730" s="41"/>
      <c r="E730" s="41"/>
      <c r="G730" s="107"/>
      <c r="H730" s="36"/>
      <c r="I730" s="108"/>
      <c r="J730" s="47"/>
      <c r="K730" s="109"/>
      <c r="L730" s="110"/>
      <c r="M730" s="109"/>
    </row>
    <row r="731" ht="12.0" customHeight="1">
      <c r="A731" s="106"/>
      <c r="B731" s="41"/>
      <c r="E731" s="41"/>
      <c r="G731" s="107"/>
      <c r="H731" s="36"/>
      <c r="I731" s="108"/>
      <c r="J731" s="47"/>
      <c r="K731" s="109"/>
      <c r="L731" s="110"/>
      <c r="M731" s="109"/>
    </row>
    <row r="732" ht="12.0" customHeight="1">
      <c r="A732" s="106"/>
      <c r="B732" s="41"/>
      <c r="E732" s="41"/>
      <c r="G732" s="107"/>
      <c r="H732" s="36"/>
      <c r="I732" s="108"/>
      <c r="J732" s="47"/>
      <c r="K732" s="109"/>
      <c r="L732" s="110"/>
      <c r="M732" s="109"/>
    </row>
    <row r="733" ht="12.0" customHeight="1">
      <c r="A733" s="106"/>
      <c r="B733" s="41"/>
      <c r="E733" s="41"/>
      <c r="G733" s="107"/>
      <c r="H733" s="36"/>
      <c r="I733" s="108"/>
      <c r="J733" s="47"/>
      <c r="K733" s="109"/>
      <c r="L733" s="110"/>
      <c r="M733" s="109"/>
    </row>
    <row r="734" ht="12.0" customHeight="1">
      <c r="A734" s="106"/>
      <c r="B734" s="41"/>
      <c r="E734" s="41"/>
      <c r="G734" s="107"/>
      <c r="H734" s="36"/>
      <c r="I734" s="108"/>
      <c r="J734" s="47"/>
      <c r="K734" s="109"/>
      <c r="L734" s="110"/>
      <c r="M734" s="109"/>
    </row>
    <row r="735" ht="12.0" customHeight="1">
      <c r="A735" s="106"/>
      <c r="B735" s="41"/>
      <c r="E735" s="41"/>
      <c r="G735" s="107"/>
      <c r="H735" s="36"/>
      <c r="I735" s="108"/>
      <c r="J735" s="47"/>
      <c r="K735" s="109"/>
      <c r="L735" s="110"/>
      <c r="M735" s="109"/>
    </row>
    <row r="736" ht="12.0" customHeight="1">
      <c r="A736" s="106"/>
      <c r="B736" s="41"/>
      <c r="E736" s="41"/>
      <c r="G736" s="107"/>
      <c r="H736" s="36"/>
      <c r="I736" s="108"/>
      <c r="J736" s="47"/>
      <c r="K736" s="109"/>
      <c r="L736" s="110"/>
      <c r="M736" s="109"/>
    </row>
    <row r="737" ht="12.0" customHeight="1">
      <c r="A737" s="106"/>
      <c r="B737" s="41"/>
      <c r="E737" s="41"/>
      <c r="G737" s="107"/>
      <c r="H737" s="36"/>
      <c r="I737" s="108"/>
      <c r="J737" s="47"/>
      <c r="K737" s="109"/>
      <c r="L737" s="110"/>
      <c r="M737" s="109"/>
    </row>
    <row r="738" ht="12.0" customHeight="1">
      <c r="A738" s="106"/>
      <c r="B738" s="41"/>
      <c r="E738" s="41"/>
      <c r="G738" s="107"/>
      <c r="H738" s="36"/>
      <c r="I738" s="108"/>
      <c r="J738" s="47"/>
      <c r="K738" s="109"/>
      <c r="L738" s="110"/>
      <c r="M738" s="109"/>
    </row>
    <row r="739" ht="12.0" customHeight="1">
      <c r="A739" s="106"/>
      <c r="B739" s="41"/>
      <c r="E739" s="41"/>
      <c r="G739" s="107"/>
      <c r="H739" s="36"/>
      <c r="I739" s="108"/>
      <c r="J739" s="47"/>
      <c r="K739" s="109"/>
      <c r="L739" s="110"/>
      <c r="M739" s="109"/>
    </row>
    <row r="740" ht="12.0" customHeight="1">
      <c r="A740" s="106"/>
      <c r="B740" s="41"/>
      <c r="E740" s="41"/>
      <c r="G740" s="107"/>
      <c r="H740" s="36"/>
      <c r="I740" s="108"/>
      <c r="J740" s="47"/>
      <c r="K740" s="109"/>
      <c r="L740" s="110"/>
      <c r="M740" s="109"/>
    </row>
    <row r="741" ht="12.0" customHeight="1">
      <c r="A741" s="106"/>
      <c r="B741" s="41"/>
      <c r="E741" s="41"/>
      <c r="G741" s="107"/>
      <c r="H741" s="36"/>
      <c r="I741" s="108"/>
      <c r="J741" s="47"/>
      <c r="K741" s="109"/>
      <c r="L741" s="110"/>
      <c r="M741" s="109"/>
    </row>
    <row r="742" ht="12.0" customHeight="1">
      <c r="A742" s="106"/>
      <c r="B742" s="41"/>
      <c r="E742" s="41"/>
      <c r="G742" s="107"/>
      <c r="H742" s="36"/>
      <c r="I742" s="108"/>
      <c r="J742" s="47"/>
      <c r="K742" s="109"/>
      <c r="L742" s="110"/>
      <c r="M742" s="109"/>
    </row>
    <row r="743" ht="12.0" customHeight="1">
      <c r="A743" s="106"/>
      <c r="B743" s="41"/>
      <c r="E743" s="41"/>
      <c r="G743" s="107"/>
      <c r="H743" s="36"/>
      <c r="I743" s="108"/>
      <c r="J743" s="47"/>
      <c r="K743" s="109"/>
      <c r="L743" s="110"/>
      <c r="M743" s="109"/>
    </row>
    <row r="744" ht="12.0" customHeight="1">
      <c r="A744" s="106"/>
      <c r="B744" s="41"/>
      <c r="E744" s="41"/>
      <c r="G744" s="107"/>
      <c r="H744" s="36"/>
      <c r="I744" s="108"/>
      <c r="J744" s="47"/>
      <c r="K744" s="109"/>
      <c r="L744" s="110"/>
      <c r="M744" s="109"/>
    </row>
    <row r="745" ht="12.0" customHeight="1">
      <c r="A745" s="106"/>
      <c r="B745" s="41"/>
      <c r="E745" s="41"/>
      <c r="G745" s="107"/>
      <c r="H745" s="36"/>
      <c r="I745" s="108"/>
      <c r="J745" s="47"/>
      <c r="K745" s="109"/>
      <c r="L745" s="110"/>
      <c r="M745" s="109"/>
    </row>
    <row r="746" ht="12.0" customHeight="1">
      <c r="A746" s="106"/>
      <c r="B746" s="41"/>
      <c r="E746" s="41"/>
      <c r="G746" s="107"/>
      <c r="H746" s="36"/>
      <c r="I746" s="108"/>
      <c r="J746" s="47"/>
      <c r="K746" s="109"/>
      <c r="L746" s="110"/>
      <c r="M746" s="109"/>
    </row>
    <row r="747" ht="12.0" customHeight="1">
      <c r="A747" s="106"/>
      <c r="B747" s="41"/>
      <c r="E747" s="41"/>
      <c r="G747" s="107"/>
      <c r="H747" s="36"/>
      <c r="I747" s="108"/>
      <c r="J747" s="47"/>
      <c r="K747" s="109"/>
      <c r="L747" s="110"/>
      <c r="M747" s="109"/>
    </row>
    <row r="748" ht="12.0" customHeight="1">
      <c r="A748" s="106"/>
      <c r="B748" s="41"/>
      <c r="E748" s="41"/>
      <c r="G748" s="107"/>
      <c r="H748" s="36"/>
      <c r="I748" s="108"/>
      <c r="J748" s="47"/>
      <c r="K748" s="109"/>
      <c r="L748" s="110"/>
      <c r="M748" s="109"/>
    </row>
    <row r="749" ht="12.0" customHeight="1">
      <c r="A749" s="106"/>
      <c r="B749" s="41"/>
      <c r="E749" s="41"/>
      <c r="G749" s="107"/>
      <c r="H749" s="36"/>
      <c r="I749" s="108"/>
      <c r="J749" s="47"/>
      <c r="K749" s="109"/>
      <c r="L749" s="110"/>
      <c r="M749" s="109"/>
    </row>
    <row r="750" ht="12.0" customHeight="1">
      <c r="A750" s="106"/>
      <c r="B750" s="41"/>
      <c r="E750" s="41"/>
      <c r="G750" s="107"/>
      <c r="H750" s="36"/>
      <c r="I750" s="108"/>
      <c r="J750" s="47"/>
      <c r="K750" s="109"/>
      <c r="L750" s="110"/>
      <c r="M750" s="109"/>
    </row>
    <row r="751" ht="12.0" customHeight="1">
      <c r="A751" s="106"/>
      <c r="B751" s="41"/>
      <c r="E751" s="41"/>
      <c r="G751" s="107"/>
      <c r="H751" s="36"/>
      <c r="I751" s="108"/>
      <c r="J751" s="47"/>
      <c r="K751" s="109"/>
      <c r="L751" s="110"/>
      <c r="M751" s="109"/>
    </row>
    <row r="752" ht="12.0" customHeight="1">
      <c r="A752" s="106"/>
      <c r="B752" s="41"/>
      <c r="E752" s="41"/>
      <c r="G752" s="107"/>
      <c r="H752" s="36"/>
      <c r="I752" s="108"/>
      <c r="J752" s="47"/>
      <c r="K752" s="109"/>
      <c r="L752" s="110"/>
      <c r="M752" s="109"/>
    </row>
    <row r="753" ht="12.0" customHeight="1">
      <c r="A753" s="106"/>
      <c r="B753" s="41"/>
      <c r="E753" s="41"/>
      <c r="G753" s="107"/>
      <c r="H753" s="36"/>
      <c r="I753" s="108"/>
      <c r="J753" s="47"/>
      <c r="K753" s="109"/>
      <c r="L753" s="110"/>
      <c r="M753" s="109"/>
    </row>
    <row r="754" ht="12.0" customHeight="1">
      <c r="A754" s="106"/>
      <c r="B754" s="41"/>
      <c r="E754" s="41"/>
      <c r="G754" s="107"/>
      <c r="H754" s="36"/>
      <c r="I754" s="108"/>
      <c r="J754" s="47"/>
      <c r="K754" s="109"/>
      <c r="L754" s="110"/>
      <c r="M754" s="109"/>
    </row>
    <row r="755" ht="12.0" customHeight="1">
      <c r="A755" s="106"/>
      <c r="B755" s="41"/>
      <c r="E755" s="41"/>
      <c r="G755" s="107"/>
      <c r="H755" s="36"/>
      <c r="I755" s="108"/>
      <c r="J755" s="47"/>
      <c r="K755" s="109"/>
      <c r="L755" s="110"/>
      <c r="M755" s="109"/>
    </row>
    <row r="756" ht="12.0" customHeight="1">
      <c r="A756" s="106"/>
      <c r="B756" s="41"/>
      <c r="E756" s="41"/>
      <c r="G756" s="107"/>
      <c r="H756" s="36"/>
      <c r="I756" s="108"/>
      <c r="J756" s="47"/>
      <c r="K756" s="109"/>
      <c r="L756" s="110"/>
      <c r="M756" s="109"/>
    </row>
    <row r="757" ht="12.0" customHeight="1">
      <c r="A757" s="106"/>
      <c r="B757" s="41"/>
      <c r="E757" s="41"/>
      <c r="G757" s="107"/>
      <c r="H757" s="36"/>
      <c r="I757" s="108"/>
      <c r="J757" s="47"/>
      <c r="K757" s="109"/>
      <c r="L757" s="110"/>
      <c r="M757" s="109"/>
    </row>
    <row r="758" ht="12.0" customHeight="1">
      <c r="A758" s="106"/>
      <c r="B758" s="41"/>
      <c r="E758" s="41"/>
      <c r="G758" s="107"/>
      <c r="H758" s="36"/>
      <c r="I758" s="108"/>
      <c r="J758" s="47"/>
      <c r="K758" s="109"/>
      <c r="L758" s="110"/>
      <c r="M758" s="109"/>
    </row>
    <row r="759" ht="12.0" customHeight="1">
      <c r="A759" s="106"/>
      <c r="B759" s="41"/>
      <c r="E759" s="41"/>
      <c r="G759" s="107"/>
      <c r="H759" s="36"/>
      <c r="I759" s="108"/>
      <c r="J759" s="47"/>
      <c r="K759" s="109"/>
      <c r="L759" s="110"/>
      <c r="M759" s="109"/>
    </row>
    <row r="760" ht="12.0" customHeight="1">
      <c r="A760" s="106"/>
      <c r="B760" s="41"/>
      <c r="E760" s="41"/>
      <c r="G760" s="107"/>
      <c r="H760" s="36"/>
      <c r="I760" s="108"/>
      <c r="J760" s="47"/>
      <c r="K760" s="109"/>
      <c r="L760" s="110"/>
      <c r="M760" s="109"/>
    </row>
    <row r="761" ht="12.0" customHeight="1">
      <c r="A761" s="106"/>
      <c r="B761" s="41"/>
      <c r="E761" s="41"/>
      <c r="G761" s="107"/>
      <c r="H761" s="36"/>
      <c r="I761" s="108"/>
      <c r="J761" s="47"/>
      <c r="K761" s="109"/>
      <c r="L761" s="110"/>
      <c r="M761" s="109"/>
    </row>
    <row r="762" ht="12.0" customHeight="1">
      <c r="A762" s="106"/>
      <c r="B762" s="41"/>
      <c r="E762" s="41"/>
      <c r="G762" s="107"/>
      <c r="H762" s="36"/>
      <c r="I762" s="108"/>
      <c r="J762" s="47"/>
      <c r="K762" s="109"/>
      <c r="L762" s="110"/>
      <c r="M762" s="109"/>
    </row>
    <row r="763" ht="12.0" customHeight="1">
      <c r="A763" s="106"/>
      <c r="B763" s="41"/>
      <c r="E763" s="41"/>
      <c r="G763" s="107"/>
      <c r="H763" s="36"/>
      <c r="I763" s="108"/>
      <c r="J763" s="47"/>
      <c r="K763" s="109"/>
      <c r="L763" s="110"/>
      <c r="M763" s="109"/>
    </row>
    <row r="764" ht="12.0" customHeight="1">
      <c r="A764" s="106"/>
      <c r="B764" s="41"/>
      <c r="E764" s="41"/>
      <c r="G764" s="107"/>
      <c r="H764" s="36"/>
      <c r="I764" s="108"/>
      <c r="J764" s="47"/>
      <c r="K764" s="109"/>
      <c r="L764" s="110"/>
      <c r="M764" s="109"/>
    </row>
    <row r="765" ht="12.0" customHeight="1">
      <c r="A765" s="106"/>
      <c r="B765" s="41"/>
      <c r="E765" s="41"/>
      <c r="G765" s="107"/>
      <c r="H765" s="36"/>
      <c r="I765" s="108"/>
      <c r="J765" s="47"/>
      <c r="K765" s="109"/>
      <c r="L765" s="110"/>
      <c r="M765" s="109"/>
    </row>
    <row r="766" ht="12.0" customHeight="1">
      <c r="A766" s="106"/>
      <c r="B766" s="41"/>
      <c r="E766" s="41"/>
      <c r="G766" s="107"/>
      <c r="H766" s="36"/>
      <c r="I766" s="108"/>
      <c r="J766" s="47"/>
      <c r="K766" s="109"/>
      <c r="L766" s="110"/>
      <c r="M766" s="109"/>
    </row>
    <row r="767" ht="12.0" customHeight="1">
      <c r="A767" s="106"/>
      <c r="B767" s="41"/>
      <c r="E767" s="41"/>
      <c r="G767" s="107"/>
      <c r="H767" s="36"/>
      <c r="I767" s="108"/>
      <c r="J767" s="47"/>
      <c r="K767" s="109"/>
      <c r="L767" s="110"/>
      <c r="M767" s="109"/>
    </row>
    <row r="768" ht="12.0" customHeight="1">
      <c r="A768" s="106"/>
      <c r="B768" s="41"/>
      <c r="E768" s="41"/>
      <c r="G768" s="107"/>
      <c r="H768" s="36"/>
      <c r="I768" s="108"/>
      <c r="J768" s="47"/>
      <c r="K768" s="109"/>
      <c r="L768" s="110"/>
      <c r="M768" s="109"/>
    </row>
    <row r="769" ht="12.0" customHeight="1">
      <c r="A769" s="106"/>
      <c r="B769" s="41"/>
      <c r="E769" s="41"/>
      <c r="G769" s="107"/>
      <c r="H769" s="36"/>
      <c r="I769" s="108"/>
      <c r="J769" s="47"/>
      <c r="K769" s="109"/>
      <c r="L769" s="110"/>
      <c r="M769" s="109"/>
    </row>
    <row r="770" ht="12.0" customHeight="1">
      <c r="A770" s="106"/>
      <c r="B770" s="41"/>
      <c r="E770" s="41"/>
      <c r="G770" s="107"/>
      <c r="H770" s="36"/>
      <c r="I770" s="108"/>
      <c r="J770" s="47"/>
      <c r="K770" s="109"/>
      <c r="L770" s="110"/>
      <c r="M770" s="109"/>
    </row>
    <row r="771" ht="12.0" customHeight="1">
      <c r="A771" s="106"/>
      <c r="B771" s="41"/>
      <c r="E771" s="41"/>
      <c r="G771" s="107"/>
      <c r="H771" s="36"/>
      <c r="I771" s="108"/>
      <c r="J771" s="47"/>
      <c r="K771" s="109"/>
      <c r="L771" s="110"/>
      <c r="M771" s="109"/>
    </row>
    <row r="772" ht="12.0" customHeight="1">
      <c r="A772" s="106"/>
      <c r="B772" s="41"/>
      <c r="E772" s="41"/>
      <c r="G772" s="107"/>
      <c r="H772" s="36"/>
      <c r="I772" s="108"/>
      <c r="J772" s="47"/>
      <c r="K772" s="109"/>
      <c r="L772" s="110"/>
      <c r="M772" s="109"/>
    </row>
    <row r="773" ht="12.0" customHeight="1">
      <c r="A773" s="106"/>
      <c r="B773" s="41"/>
      <c r="E773" s="41"/>
      <c r="G773" s="107"/>
      <c r="H773" s="36"/>
      <c r="I773" s="108"/>
      <c r="J773" s="47"/>
      <c r="K773" s="109"/>
      <c r="L773" s="110"/>
      <c r="M773" s="109"/>
    </row>
    <row r="774" ht="12.0" customHeight="1">
      <c r="A774" s="106"/>
      <c r="B774" s="41"/>
      <c r="E774" s="41"/>
      <c r="G774" s="107"/>
      <c r="H774" s="36"/>
      <c r="I774" s="108"/>
      <c r="J774" s="47"/>
      <c r="K774" s="109"/>
      <c r="L774" s="110"/>
      <c r="M774" s="109"/>
    </row>
    <row r="775" ht="12.0" customHeight="1">
      <c r="A775" s="106"/>
      <c r="B775" s="41"/>
      <c r="E775" s="41"/>
      <c r="G775" s="107"/>
      <c r="H775" s="36"/>
      <c r="I775" s="108"/>
      <c r="J775" s="47"/>
      <c r="K775" s="109"/>
      <c r="L775" s="110"/>
      <c r="M775" s="109"/>
    </row>
    <row r="776" ht="12.0" customHeight="1">
      <c r="A776" s="106"/>
      <c r="B776" s="41"/>
      <c r="E776" s="41"/>
      <c r="G776" s="107"/>
      <c r="H776" s="36"/>
      <c r="I776" s="108"/>
      <c r="J776" s="47"/>
      <c r="K776" s="109"/>
      <c r="L776" s="110"/>
      <c r="M776" s="109"/>
    </row>
    <row r="777" ht="12.0" customHeight="1">
      <c r="A777" s="106"/>
      <c r="B777" s="41"/>
      <c r="E777" s="41"/>
      <c r="G777" s="107"/>
      <c r="H777" s="36"/>
      <c r="I777" s="108"/>
      <c r="J777" s="47"/>
      <c r="K777" s="109"/>
      <c r="L777" s="110"/>
      <c r="M777" s="109"/>
    </row>
    <row r="778" ht="12.0" customHeight="1">
      <c r="A778" s="106"/>
      <c r="B778" s="41"/>
      <c r="E778" s="41"/>
      <c r="G778" s="107"/>
      <c r="H778" s="36"/>
      <c r="I778" s="108"/>
      <c r="J778" s="47"/>
      <c r="K778" s="109"/>
      <c r="L778" s="110"/>
      <c r="M778" s="109"/>
    </row>
    <row r="779" ht="12.0" customHeight="1">
      <c r="A779" s="106"/>
      <c r="B779" s="41"/>
      <c r="E779" s="41"/>
      <c r="G779" s="107"/>
      <c r="H779" s="36"/>
      <c r="I779" s="108"/>
      <c r="J779" s="47"/>
      <c r="K779" s="109"/>
      <c r="L779" s="110"/>
      <c r="M779" s="109"/>
    </row>
    <row r="780" ht="12.0" customHeight="1">
      <c r="A780" s="106"/>
      <c r="B780" s="41"/>
      <c r="E780" s="41"/>
      <c r="G780" s="107"/>
      <c r="H780" s="36"/>
      <c r="I780" s="108"/>
      <c r="J780" s="47"/>
      <c r="K780" s="109"/>
      <c r="L780" s="110"/>
      <c r="M780" s="109"/>
    </row>
    <row r="781" ht="12.0" customHeight="1">
      <c r="A781" s="106"/>
      <c r="B781" s="41"/>
      <c r="E781" s="41"/>
      <c r="G781" s="107"/>
      <c r="H781" s="36"/>
      <c r="I781" s="108"/>
      <c r="J781" s="47"/>
      <c r="K781" s="109"/>
      <c r="L781" s="110"/>
      <c r="M781" s="109"/>
    </row>
    <row r="782" ht="12.0" customHeight="1">
      <c r="A782" s="106"/>
      <c r="B782" s="41"/>
      <c r="E782" s="41"/>
      <c r="G782" s="107"/>
      <c r="H782" s="36"/>
      <c r="I782" s="108"/>
      <c r="J782" s="47"/>
      <c r="K782" s="109"/>
      <c r="L782" s="110"/>
      <c r="M782" s="109"/>
    </row>
    <row r="783" ht="12.0" customHeight="1">
      <c r="A783" s="106"/>
      <c r="B783" s="41"/>
      <c r="E783" s="41"/>
      <c r="G783" s="107"/>
      <c r="H783" s="36"/>
      <c r="I783" s="108"/>
      <c r="J783" s="47"/>
      <c r="K783" s="109"/>
      <c r="L783" s="110"/>
      <c r="M783" s="109"/>
    </row>
    <row r="784" ht="12.0" customHeight="1">
      <c r="A784" s="106"/>
      <c r="B784" s="41"/>
      <c r="E784" s="41"/>
      <c r="G784" s="107"/>
      <c r="H784" s="36"/>
      <c r="I784" s="108"/>
      <c r="J784" s="47"/>
      <c r="K784" s="109"/>
      <c r="L784" s="110"/>
      <c r="M784" s="109"/>
    </row>
    <row r="785" ht="12.0" customHeight="1">
      <c r="A785" s="106"/>
      <c r="B785" s="41"/>
      <c r="E785" s="41"/>
      <c r="G785" s="107"/>
      <c r="H785" s="36"/>
      <c r="I785" s="108"/>
      <c r="J785" s="47"/>
      <c r="K785" s="109"/>
      <c r="L785" s="110"/>
      <c r="M785" s="109"/>
    </row>
    <row r="786" ht="12.0" customHeight="1">
      <c r="A786" s="106"/>
      <c r="B786" s="41"/>
      <c r="E786" s="41"/>
      <c r="G786" s="107"/>
      <c r="H786" s="36"/>
      <c r="I786" s="108"/>
      <c r="J786" s="47"/>
      <c r="K786" s="109"/>
      <c r="L786" s="110"/>
      <c r="M786" s="109"/>
    </row>
    <row r="787" ht="12.0" customHeight="1">
      <c r="A787" s="106"/>
      <c r="B787" s="41"/>
      <c r="E787" s="41"/>
      <c r="G787" s="107"/>
      <c r="H787" s="36"/>
      <c r="I787" s="108"/>
      <c r="J787" s="47"/>
      <c r="K787" s="109"/>
      <c r="L787" s="110"/>
      <c r="M787" s="109"/>
    </row>
    <row r="788" ht="12.0" customHeight="1">
      <c r="A788" s="106"/>
      <c r="B788" s="41"/>
      <c r="E788" s="41"/>
      <c r="G788" s="107"/>
      <c r="H788" s="36"/>
      <c r="I788" s="108"/>
      <c r="J788" s="47"/>
      <c r="K788" s="109"/>
      <c r="L788" s="110"/>
      <c r="M788" s="109"/>
    </row>
    <row r="789" ht="12.0" customHeight="1">
      <c r="A789" s="106"/>
      <c r="B789" s="41"/>
      <c r="E789" s="41"/>
      <c r="G789" s="107"/>
      <c r="H789" s="36"/>
      <c r="I789" s="108"/>
      <c r="J789" s="47"/>
      <c r="K789" s="109"/>
      <c r="L789" s="110"/>
      <c r="M789" s="109"/>
    </row>
    <row r="790" ht="12.0" customHeight="1">
      <c r="A790" s="106"/>
      <c r="B790" s="41"/>
      <c r="E790" s="41"/>
      <c r="G790" s="107"/>
      <c r="H790" s="36"/>
      <c r="I790" s="108"/>
      <c r="J790" s="47"/>
      <c r="K790" s="109"/>
      <c r="L790" s="110"/>
      <c r="M790" s="109"/>
    </row>
    <row r="791" ht="12.0" customHeight="1">
      <c r="A791" s="106"/>
      <c r="B791" s="41"/>
      <c r="E791" s="41"/>
      <c r="G791" s="107"/>
      <c r="H791" s="36"/>
      <c r="I791" s="108"/>
      <c r="J791" s="47"/>
      <c r="K791" s="109"/>
      <c r="L791" s="110"/>
      <c r="M791" s="109"/>
    </row>
    <row r="792" ht="12.0" customHeight="1">
      <c r="A792" s="106"/>
      <c r="B792" s="41"/>
      <c r="E792" s="41"/>
      <c r="G792" s="107"/>
      <c r="H792" s="36"/>
      <c r="I792" s="108"/>
      <c r="J792" s="47"/>
      <c r="K792" s="109"/>
      <c r="L792" s="110"/>
      <c r="M792" s="109"/>
    </row>
    <row r="793" ht="12.0" customHeight="1">
      <c r="A793" s="106"/>
      <c r="B793" s="41"/>
      <c r="E793" s="41"/>
      <c r="G793" s="107"/>
      <c r="H793" s="36"/>
      <c r="I793" s="108"/>
      <c r="J793" s="47"/>
      <c r="K793" s="109"/>
      <c r="L793" s="110"/>
      <c r="M793" s="109"/>
    </row>
    <row r="794" ht="12.0" customHeight="1">
      <c r="A794" s="106"/>
      <c r="B794" s="41"/>
      <c r="E794" s="41"/>
      <c r="G794" s="107"/>
      <c r="H794" s="36"/>
      <c r="I794" s="108"/>
      <c r="J794" s="47"/>
      <c r="K794" s="109"/>
      <c r="L794" s="110"/>
      <c r="M794" s="109"/>
    </row>
    <row r="795" ht="12.0" customHeight="1">
      <c r="A795" s="106"/>
      <c r="B795" s="41"/>
      <c r="E795" s="41"/>
      <c r="G795" s="107"/>
      <c r="H795" s="36"/>
      <c r="I795" s="108"/>
      <c r="J795" s="47"/>
      <c r="K795" s="109"/>
      <c r="L795" s="110"/>
      <c r="M795" s="109"/>
    </row>
    <row r="796" ht="12.0" customHeight="1">
      <c r="A796" s="106"/>
      <c r="B796" s="41"/>
      <c r="E796" s="41"/>
      <c r="G796" s="107"/>
      <c r="H796" s="36"/>
      <c r="I796" s="108"/>
      <c r="J796" s="47"/>
      <c r="K796" s="109"/>
      <c r="L796" s="110"/>
      <c r="M796" s="109"/>
    </row>
    <row r="797" ht="12.0" customHeight="1">
      <c r="A797" s="106"/>
      <c r="B797" s="41"/>
      <c r="E797" s="41"/>
      <c r="G797" s="107"/>
      <c r="H797" s="36"/>
      <c r="I797" s="108"/>
      <c r="J797" s="47"/>
      <c r="K797" s="109"/>
      <c r="L797" s="110"/>
      <c r="M797" s="109"/>
    </row>
    <row r="798" ht="12.0" customHeight="1">
      <c r="A798" s="106"/>
      <c r="B798" s="41"/>
      <c r="E798" s="41"/>
      <c r="G798" s="107"/>
      <c r="H798" s="36"/>
      <c r="I798" s="108"/>
      <c r="J798" s="47"/>
      <c r="K798" s="109"/>
      <c r="L798" s="110"/>
      <c r="M798" s="109"/>
    </row>
    <row r="799" ht="12.0" customHeight="1">
      <c r="A799" s="106"/>
      <c r="B799" s="41"/>
      <c r="E799" s="41"/>
      <c r="G799" s="107"/>
      <c r="H799" s="36"/>
      <c r="I799" s="108"/>
      <c r="J799" s="47"/>
      <c r="K799" s="109"/>
      <c r="L799" s="110"/>
      <c r="M799" s="109"/>
    </row>
    <row r="800" ht="12.0" customHeight="1">
      <c r="A800" s="106"/>
      <c r="B800" s="41"/>
      <c r="E800" s="41"/>
      <c r="G800" s="107"/>
      <c r="H800" s="36"/>
      <c r="I800" s="108"/>
      <c r="J800" s="47"/>
      <c r="K800" s="109"/>
      <c r="L800" s="110"/>
      <c r="M800" s="109"/>
    </row>
    <row r="801" ht="12.0" customHeight="1">
      <c r="A801" s="106"/>
      <c r="B801" s="41"/>
      <c r="E801" s="41"/>
      <c r="G801" s="107"/>
      <c r="H801" s="36"/>
      <c r="I801" s="108"/>
      <c r="J801" s="47"/>
      <c r="K801" s="109"/>
      <c r="L801" s="110"/>
      <c r="M801" s="109"/>
    </row>
    <row r="802" ht="12.0" customHeight="1">
      <c r="A802" s="106"/>
      <c r="B802" s="41"/>
      <c r="E802" s="41"/>
      <c r="G802" s="107"/>
      <c r="H802" s="36"/>
      <c r="I802" s="108"/>
      <c r="J802" s="47"/>
      <c r="K802" s="109"/>
      <c r="L802" s="110"/>
      <c r="M802" s="109"/>
    </row>
    <row r="803" ht="12.0" customHeight="1">
      <c r="A803" s="106"/>
      <c r="B803" s="41"/>
      <c r="E803" s="41"/>
      <c r="G803" s="107"/>
      <c r="H803" s="36"/>
      <c r="I803" s="108"/>
      <c r="J803" s="47"/>
      <c r="K803" s="109"/>
      <c r="L803" s="110"/>
      <c r="M803" s="109"/>
    </row>
    <row r="804" ht="12.0" customHeight="1">
      <c r="A804" s="106"/>
      <c r="B804" s="41"/>
      <c r="E804" s="41"/>
      <c r="G804" s="107"/>
      <c r="H804" s="36"/>
      <c r="I804" s="108"/>
      <c r="J804" s="47"/>
      <c r="K804" s="109"/>
      <c r="L804" s="110"/>
      <c r="M804" s="109"/>
    </row>
    <row r="805" ht="12.0" customHeight="1">
      <c r="A805" s="106"/>
      <c r="B805" s="41"/>
      <c r="E805" s="41"/>
      <c r="G805" s="107"/>
      <c r="H805" s="36"/>
      <c r="I805" s="108"/>
      <c r="J805" s="47"/>
      <c r="K805" s="109"/>
      <c r="L805" s="110"/>
      <c r="M805" s="109"/>
    </row>
    <row r="806" ht="12.0" customHeight="1">
      <c r="A806" s="106"/>
      <c r="B806" s="41"/>
      <c r="E806" s="41"/>
      <c r="G806" s="107"/>
      <c r="H806" s="36"/>
      <c r="I806" s="108"/>
      <c r="J806" s="47"/>
      <c r="K806" s="109"/>
      <c r="L806" s="110"/>
      <c r="M806" s="109"/>
    </row>
    <row r="807" ht="12.0" customHeight="1">
      <c r="A807" s="106"/>
      <c r="B807" s="41"/>
      <c r="E807" s="41"/>
      <c r="G807" s="107"/>
      <c r="H807" s="36"/>
      <c r="I807" s="108"/>
      <c r="J807" s="47"/>
      <c r="K807" s="109"/>
      <c r="L807" s="110"/>
      <c r="M807" s="109"/>
    </row>
    <row r="808" ht="12.0" customHeight="1">
      <c r="A808" s="106"/>
      <c r="B808" s="41"/>
      <c r="E808" s="41"/>
      <c r="G808" s="107"/>
      <c r="H808" s="36"/>
      <c r="I808" s="108"/>
      <c r="J808" s="47"/>
      <c r="K808" s="109"/>
      <c r="L808" s="110"/>
      <c r="M808" s="109"/>
    </row>
    <row r="809" ht="12.0" customHeight="1">
      <c r="A809" s="106"/>
      <c r="B809" s="41"/>
      <c r="E809" s="41"/>
      <c r="G809" s="107"/>
      <c r="H809" s="36"/>
      <c r="I809" s="108"/>
      <c r="J809" s="47"/>
      <c r="K809" s="109"/>
      <c r="L809" s="110"/>
      <c r="M809" s="109"/>
    </row>
    <row r="810" ht="12.0" customHeight="1">
      <c r="A810" s="106"/>
      <c r="B810" s="41"/>
      <c r="E810" s="41"/>
      <c r="G810" s="107"/>
      <c r="H810" s="36"/>
      <c r="I810" s="108"/>
      <c r="J810" s="47"/>
      <c r="K810" s="109"/>
      <c r="L810" s="110"/>
      <c r="M810" s="109"/>
    </row>
    <row r="811" ht="12.0" customHeight="1">
      <c r="A811" s="106"/>
      <c r="B811" s="41"/>
      <c r="E811" s="41"/>
      <c r="G811" s="107"/>
      <c r="H811" s="36"/>
      <c r="I811" s="108"/>
      <c r="J811" s="47"/>
      <c r="K811" s="109"/>
      <c r="L811" s="110"/>
      <c r="M811" s="109"/>
    </row>
    <row r="812" ht="12.0" customHeight="1">
      <c r="A812" s="106"/>
      <c r="B812" s="41"/>
      <c r="E812" s="41"/>
      <c r="G812" s="107"/>
      <c r="H812" s="36"/>
      <c r="I812" s="108"/>
      <c r="J812" s="47"/>
      <c r="K812" s="109"/>
      <c r="L812" s="110"/>
      <c r="M812" s="109"/>
    </row>
    <row r="813" ht="12.0" customHeight="1">
      <c r="A813" s="106"/>
      <c r="B813" s="41"/>
      <c r="E813" s="41"/>
      <c r="G813" s="107"/>
      <c r="H813" s="36"/>
      <c r="I813" s="108"/>
      <c r="J813" s="47"/>
      <c r="K813" s="109"/>
      <c r="L813" s="110"/>
      <c r="M813" s="109"/>
    </row>
    <row r="814" ht="12.0" customHeight="1">
      <c r="A814" s="106"/>
      <c r="B814" s="41"/>
      <c r="E814" s="41"/>
      <c r="G814" s="107"/>
      <c r="H814" s="36"/>
      <c r="I814" s="108"/>
      <c r="J814" s="47"/>
      <c r="K814" s="109"/>
      <c r="L814" s="110"/>
      <c r="M814" s="109"/>
    </row>
    <row r="815" ht="12.0" customHeight="1">
      <c r="A815" s="106"/>
      <c r="B815" s="41"/>
      <c r="E815" s="41"/>
      <c r="G815" s="107"/>
      <c r="H815" s="36"/>
      <c r="I815" s="108"/>
      <c r="J815" s="47"/>
      <c r="K815" s="109"/>
      <c r="L815" s="110"/>
      <c r="M815" s="109"/>
    </row>
    <row r="816" ht="12.0" customHeight="1">
      <c r="A816" s="106"/>
      <c r="B816" s="41"/>
      <c r="E816" s="41"/>
      <c r="G816" s="107"/>
      <c r="H816" s="36"/>
      <c r="I816" s="108"/>
      <c r="J816" s="47"/>
      <c r="K816" s="109"/>
      <c r="L816" s="110"/>
      <c r="M816" s="109"/>
    </row>
    <row r="817" ht="12.0" customHeight="1">
      <c r="A817" s="106"/>
      <c r="B817" s="41"/>
      <c r="E817" s="41"/>
      <c r="G817" s="107"/>
      <c r="H817" s="36"/>
      <c r="I817" s="108"/>
      <c r="J817" s="47"/>
      <c r="K817" s="109"/>
      <c r="L817" s="110"/>
      <c r="M817" s="109"/>
    </row>
    <row r="818" ht="12.0" customHeight="1">
      <c r="A818" s="106"/>
      <c r="B818" s="41"/>
      <c r="E818" s="41"/>
      <c r="G818" s="107"/>
      <c r="H818" s="36"/>
      <c r="I818" s="108"/>
      <c r="J818" s="47"/>
      <c r="K818" s="109"/>
      <c r="L818" s="110"/>
      <c r="M818" s="109"/>
    </row>
    <row r="819" ht="12.0" customHeight="1">
      <c r="A819" s="106"/>
      <c r="B819" s="41"/>
      <c r="E819" s="41"/>
      <c r="G819" s="107"/>
      <c r="H819" s="36"/>
      <c r="I819" s="108"/>
      <c r="J819" s="47"/>
      <c r="K819" s="109"/>
      <c r="L819" s="110"/>
      <c r="M819" s="109"/>
    </row>
    <row r="820" ht="12.0" customHeight="1">
      <c r="A820" s="106"/>
      <c r="B820" s="41"/>
      <c r="E820" s="41"/>
      <c r="G820" s="107"/>
      <c r="H820" s="36"/>
      <c r="I820" s="108"/>
      <c r="J820" s="47"/>
      <c r="K820" s="109"/>
      <c r="L820" s="110"/>
      <c r="M820" s="109"/>
    </row>
    <row r="821" ht="12.0" customHeight="1">
      <c r="A821" s="106"/>
      <c r="B821" s="41"/>
      <c r="E821" s="41"/>
      <c r="G821" s="107"/>
      <c r="H821" s="36"/>
      <c r="I821" s="108"/>
      <c r="J821" s="47"/>
      <c r="K821" s="109"/>
      <c r="L821" s="110"/>
      <c r="M821" s="109"/>
    </row>
    <row r="822" ht="12.0" customHeight="1">
      <c r="A822" s="106"/>
      <c r="B822" s="41"/>
      <c r="E822" s="41"/>
      <c r="G822" s="107"/>
      <c r="H822" s="36"/>
      <c r="I822" s="108"/>
      <c r="J822" s="47"/>
      <c r="K822" s="109"/>
      <c r="L822" s="110"/>
      <c r="M822" s="109"/>
    </row>
    <row r="823" ht="12.0" customHeight="1">
      <c r="A823" s="106"/>
      <c r="B823" s="41"/>
      <c r="E823" s="41"/>
      <c r="G823" s="107"/>
      <c r="H823" s="36"/>
      <c r="I823" s="108"/>
      <c r="J823" s="47"/>
      <c r="K823" s="109"/>
      <c r="L823" s="110"/>
      <c r="M823" s="109"/>
    </row>
    <row r="824" ht="12.0" customHeight="1">
      <c r="A824" s="106"/>
      <c r="B824" s="41"/>
      <c r="E824" s="41"/>
      <c r="G824" s="107"/>
      <c r="H824" s="36"/>
      <c r="I824" s="108"/>
      <c r="J824" s="47"/>
      <c r="K824" s="109"/>
      <c r="L824" s="110"/>
      <c r="M824" s="109"/>
    </row>
    <row r="825" ht="12.0" customHeight="1">
      <c r="A825" s="106"/>
      <c r="B825" s="41"/>
      <c r="E825" s="41"/>
      <c r="G825" s="107"/>
      <c r="H825" s="36"/>
      <c r="I825" s="108"/>
      <c r="J825" s="47"/>
      <c r="K825" s="109"/>
      <c r="L825" s="110"/>
      <c r="M825" s="109"/>
    </row>
    <row r="826" ht="12.0" customHeight="1">
      <c r="A826" s="106"/>
      <c r="B826" s="41"/>
      <c r="E826" s="41"/>
      <c r="G826" s="107"/>
      <c r="H826" s="36"/>
      <c r="I826" s="108"/>
      <c r="J826" s="47"/>
      <c r="K826" s="109"/>
      <c r="L826" s="110"/>
      <c r="M826" s="109"/>
    </row>
    <row r="827" ht="12.0" customHeight="1">
      <c r="A827" s="106"/>
      <c r="B827" s="41"/>
      <c r="E827" s="41"/>
      <c r="G827" s="107"/>
      <c r="H827" s="36"/>
      <c r="I827" s="108"/>
      <c r="J827" s="47"/>
      <c r="K827" s="109"/>
      <c r="L827" s="110"/>
      <c r="M827" s="109"/>
    </row>
    <row r="828" ht="12.0" customHeight="1">
      <c r="A828" s="106"/>
      <c r="B828" s="41"/>
      <c r="E828" s="41"/>
      <c r="G828" s="107"/>
      <c r="H828" s="36"/>
      <c r="I828" s="108"/>
      <c r="J828" s="47"/>
      <c r="K828" s="109"/>
      <c r="L828" s="110"/>
      <c r="M828" s="109"/>
    </row>
    <row r="829" ht="12.0" customHeight="1">
      <c r="A829" s="106"/>
      <c r="B829" s="41"/>
      <c r="E829" s="41"/>
      <c r="G829" s="107"/>
      <c r="H829" s="36"/>
      <c r="I829" s="108"/>
      <c r="J829" s="47"/>
      <c r="K829" s="109"/>
      <c r="L829" s="110"/>
      <c r="M829" s="109"/>
    </row>
    <row r="830" ht="12.0" customHeight="1">
      <c r="A830" s="106"/>
      <c r="B830" s="41"/>
      <c r="E830" s="41"/>
      <c r="G830" s="107"/>
      <c r="H830" s="36"/>
      <c r="I830" s="108"/>
      <c r="J830" s="47"/>
      <c r="K830" s="109"/>
      <c r="L830" s="110"/>
      <c r="M830" s="109"/>
    </row>
    <row r="831" ht="12.0" customHeight="1">
      <c r="A831" s="106"/>
      <c r="B831" s="41"/>
      <c r="E831" s="41"/>
      <c r="G831" s="107"/>
      <c r="H831" s="36"/>
      <c r="I831" s="108"/>
      <c r="J831" s="47"/>
      <c r="K831" s="109"/>
      <c r="L831" s="110"/>
      <c r="M831" s="109"/>
    </row>
    <row r="832" ht="12.0" customHeight="1">
      <c r="A832" s="106"/>
      <c r="B832" s="41"/>
      <c r="E832" s="41"/>
      <c r="G832" s="107"/>
      <c r="H832" s="36"/>
      <c r="I832" s="108"/>
      <c r="J832" s="47"/>
      <c r="K832" s="109"/>
      <c r="L832" s="110"/>
      <c r="M832" s="109"/>
    </row>
    <row r="833" ht="12.0" customHeight="1">
      <c r="A833" s="106"/>
      <c r="B833" s="41"/>
      <c r="E833" s="41"/>
      <c r="G833" s="107"/>
      <c r="H833" s="36"/>
      <c r="I833" s="108"/>
      <c r="J833" s="47"/>
      <c r="K833" s="109"/>
      <c r="L833" s="110"/>
      <c r="M833" s="109"/>
    </row>
    <row r="834" ht="12.0" customHeight="1">
      <c r="A834" s="106"/>
      <c r="B834" s="41"/>
      <c r="E834" s="41"/>
      <c r="G834" s="107"/>
      <c r="H834" s="36"/>
      <c r="I834" s="108"/>
      <c r="J834" s="47"/>
      <c r="K834" s="109"/>
      <c r="L834" s="110"/>
      <c r="M834" s="109"/>
    </row>
    <row r="835" ht="12.0" customHeight="1">
      <c r="A835" s="106"/>
      <c r="B835" s="41"/>
      <c r="E835" s="41"/>
      <c r="G835" s="107"/>
      <c r="H835" s="36"/>
      <c r="I835" s="108"/>
      <c r="J835" s="47"/>
      <c r="K835" s="109"/>
      <c r="L835" s="110"/>
      <c r="M835" s="109"/>
    </row>
    <row r="836" ht="12.0" customHeight="1">
      <c r="A836" s="106"/>
      <c r="B836" s="41"/>
      <c r="E836" s="41"/>
      <c r="G836" s="107"/>
      <c r="H836" s="36"/>
      <c r="I836" s="108"/>
      <c r="J836" s="47"/>
      <c r="K836" s="109"/>
      <c r="L836" s="110"/>
      <c r="M836" s="109"/>
    </row>
    <row r="837" ht="12.0" customHeight="1">
      <c r="A837" s="106"/>
      <c r="B837" s="41"/>
      <c r="E837" s="41"/>
      <c r="G837" s="107"/>
      <c r="H837" s="36"/>
      <c r="I837" s="108"/>
      <c r="J837" s="47"/>
      <c r="K837" s="109"/>
      <c r="L837" s="110"/>
      <c r="M837" s="109"/>
    </row>
    <row r="838" ht="12.0" customHeight="1">
      <c r="A838" s="106"/>
      <c r="B838" s="41"/>
      <c r="E838" s="41"/>
      <c r="G838" s="107"/>
      <c r="H838" s="36"/>
      <c r="I838" s="108"/>
      <c r="J838" s="47"/>
      <c r="K838" s="109"/>
      <c r="L838" s="110"/>
      <c r="M838" s="109"/>
    </row>
    <row r="839" ht="12.0" customHeight="1">
      <c r="A839" s="106"/>
      <c r="B839" s="41"/>
      <c r="E839" s="41"/>
      <c r="G839" s="107"/>
      <c r="H839" s="36"/>
      <c r="I839" s="108"/>
      <c r="J839" s="47"/>
      <c r="K839" s="109"/>
      <c r="L839" s="110"/>
      <c r="M839" s="109"/>
    </row>
    <row r="840" ht="12.0" customHeight="1">
      <c r="A840" s="106"/>
      <c r="B840" s="41"/>
      <c r="E840" s="41"/>
      <c r="G840" s="107"/>
      <c r="H840" s="36"/>
      <c r="I840" s="108"/>
      <c r="J840" s="47"/>
      <c r="K840" s="109"/>
      <c r="L840" s="110"/>
      <c r="M840" s="109"/>
    </row>
    <row r="841" ht="12.0" customHeight="1">
      <c r="A841" s="106"/>
      <c r="B841" s="41"/>
      <c r="E841" s="41"/>
      <c r="G841" s="107"/>
      <c r="H841" s="36"/>
      <c r="I841" s="108"/>
      <c r="J841" s="47"/>
      <c r="K841" s="109"/>
      <c r="L841" s="110"/>
      <c r="M841" s="109"/>
    </row>
    <row r="842" ht="12.0" customHeight="1">
      <c r="A842" s="106"/>
      <c r="B842" s="41"/>
      <c r="E842" s="41"/>
      <c r="G842" s="107"/>
      <c r="H842" s="36"/>
      <c r="I842" s="108"/>
      <c r="J842" s="47"/>
      <c r="K842" s="109"/>
      <c r="L842" s="110"/>
      <c r="M842" s="109"/>
    </row>
    <row r="843" ht="12.0" customHeight="1">
      <c r="A843" s="106"/>
      <c r="B843" s="41"/>
      <c r="E843" s="41"/>
      <c r="G843" s="107"/>
      <c r="H843" s="36"/>
      <c r="I843" s="108"/>
      <c r="J843" s="47"/>
      <c r="K843" s="109"/>
      <c r="L843" s="110"/>
      <c r="M843" s="109"/>
    </row>
    <row r="844" ht="12.0" customHeight="1">
      <c r="A844" s="106"/>
      <c r="B844" s="41"/>
      <c r="E844" s="41"/>
      <c r="G844" s="107"/>
      <c r="H844" s="36"/>
      <c r="I844" s="108"/>
      <c r="J844" s="47"/>
      <c r="K844" s="109"/>
      <c r="L844" s="110"/>
      <c r="M844" s="109"/>
    </row>
    <row r="845" ht="12.0" customHeight="1">
      <c r="A845" s="106"/>
      <c r="B845" s="41"/>
      <c r="E845" s="41"/>
      <c r="G845" s="107"/>
      <c r="H845" s="36"/>
      <c r="I845" s="108"/>
      <c r="J845" s="47"/>
      <c r="K845" s="109"/>
      <c r="L845" s="110"/>
      <c r="M845" s="109"/>
    </row>
    <row r="846" ht="12.0" customHeight="1">
      <c r="A846" s="106"/>
      <c r="B846" s="41"/>
      <c r="E846" s="41"/>
      <c r="G846" s="107"/>
      <c r="H846" s="36"/>
      <c r="I846" s="108"/>
      <c r="J846" s="47"/>
      <c r="K846" s="109"/>
      <c r="L846" s="110"/>
      <c r="M846" s="109"/>
    </row>
    <row r="847" ht="12.0" customHeight="1">
      <c r="A847" s="106"/>
      <c r="B847" s="41"/>
      <c r="E847" s="41"/>
      <c r="G847" s="107"/>
      <c r="H847" s="36"/>
      <c r="I847" s="108"/>
      <c r="J847" s="47"/>
      <c r="K847" s="109"/>
      <c r="L847" s="110"/>
      <c r="M847" s="109"/>
    </row>
    <row r="848" ht="12.0" customHeight="1">
      <c r="A848" s="106"/>
      <c r="B848" s="41"/>
      <c r="E848" s="41"/>
      <c r="G848" s="107"/>
      <c r="H848" s="36"/>
      <c r="I848" s="108"/>
      <c r="J848" s="47"/>
      <c r="K848" s="109"/>
      <c r="L848" s="110"/>
      <c r="M848" s="109"/>
    </row>
    <row r="849" ht="12.0" customHeight="1">
      <c r="A849" s="106"/>
      <c r="B849" s="41"/>
      <c r="E849" s="41"/>
      <c r="G849" s="107"/>
      <c r="H849" s="36"/>
      <c r="I849" s="108"/>
      <c r="J849" s="47"/>
      <c r="K849" s="109"/>
      <c r="L849" s="110"/>
      <c r="M849" s="109"/>
    </row>
    <row r="850" ht="12.0" customHeight="1">
      <c r="A850" s="106"/>
      <c r="B850" s="41"/>
      <c r="E850" s="41"/>
      <c r="G850" s="107"/>
      <c r="H850" s="36"/>
      <c r="I850" s="108"/>
      <c r="J850" s="47"/>
      <c r="K850" s="109"/>
      <c r="L850" s="110"/>
      <c r="M850" s="109"/>
    </row>
    <row r="851" ht="12.0" customHeight="1">
      <c r="A851" s="106"/>
      <c r="B851" s="41"/>
      <c r="E851" s="41"/>
      <c r="G851" s="107"/>
      <c r="H851" s="36"/>
      <c r="I851" s="108"/>
      <c r="J851" s="47"/>
      <c r="K851" s="109"/>
      <c r="L851" s="110"/>
      <c r="M851" s="109"/>
    </row>
    <row r="852" ht="12.0" customHeight="1">
      <c r="A852" s="106"/>
      <c r="B852" s="41"/>
      <c r="E852" s="41"/>
      <c r="G852" s="107"/>
      <c r="H852" s="36"/>
      <c r="I852" s="108"/>
      <c r="J852" s="47"/>
      <c r="K852" s="109"/>
      <c r="L852" s="110"/>
      <c r="M852" s="109"/>
    </row>
    <row r="853" ht="12.0" customHeight="1">
      <c r="A853" s="106"/>
      <c r="B853" s="41"/>
      <c r="E853" s="41"/>
      <c r="G853" s="107"/>
      <c r="H853" s="36"/>
      <c r="I853" s="108"/>
      <c r="J853" s="47"/>
      <c r="K853" s="109"/>
      <c r="L853" s="110"/>
      <c r="M853" s="109"/>
    </row>
    <row r="854" ht="12.0" customHeight="1">
      <c r="A854" s="106"/>
      <c r="B854" s="41"/>
      <c r="E854" s="41"/>
      <c r="G854" s="107"/>
      <c r="H854" s="36"/>
      <c r="I854" s="108"/>
      <c r="J854" s="47"/>
      <c r="K854" s="109"/>
      <c r="L854" s="110"/>
      <c r="M854" s="109"/>
    </row>
    <row r="855" ht="12.0" customHeight="1">
      <c r="A855" s="106"/>
      <c r="B855" s="41"/>
      <c r="E855" s="41"/>
      <c r="G855" s="107"/>
      <c r="H855" s="36"/>
      <c r="I855" s="108"/>
      <c r="J855" s="47"/>
      <c r="K855" s="109"/>
      <c r="L855" s="110"/>
      <c r="M855" s="109"/>
    </row>
    <row r="856" ht="12.0" customHeight="1">
      <c r="A856" s="106"/>
      <c r="B856" s="41"/>
      <c r="E856" s="41"/>
      <c r="G856" s="107"/>
      <c r="H856" s="36"/>
      <c r="I856" s="108"/>
      <c r="J856" s="47"/>
      <c r="K856" s="109"/>
      <c r="L856" s="110"/>
      <c r="M856" s="109"/>
    </row>
    <row r="857" ht="12.0" customHeight="1">
      <c r="A857" s="106"/>
      <c r="B857" s="41"/>
      <c r="E857" s="41"/>
      <c r="G857" s="107"/>
      <c r="H857" s="36"/>
      <c r="I857" s="108"/>
      <c r="J857" s="47"/>
      <c r="K857" s="109"/>
      <c r="L857" s="110"/>
      <c r="M857" s="109"/>
    </row>
    <row r="858" ht="12.0" customHeight="1">
      <c r="A858" s="106"/>
      <c r="B858" s="41"/>
      <c r="E858" s="41"/>
      <c r="G858" s="107"/>
      <c r="H858" s="36"/>
      <c r="I858" s="108"/>
      <c r="J858" s="47"/>
      <c r="K858" s="109"/>
      <c r="L858" s="110"/>
      <c r="M858" s="109"/>
    </row>
    <row r="859" ht="12.0" customHeight="1">
      <c r="A859" s="106"/>
      <c r="B859" s="41"/>
      <c r="E859" s="41"/>
      <c r="G859" s="107"/>
      <c r="H859" s="36"/>
      <c r="I859" s="108"/>
      <c r="J859" s="47"/>
      <c r="K859" s="109"/>
      <c r="L859" s="110"/>
      <c r="M859" s="109"/>
    </row>
    <row r="860" ht="12.0" customHeight="1">
      <c r="A860" s="106"/>
      <c r="B860" s="41"/>
      <c r="E860" s="41"/>
      <c r="G860" s="107"/>
      <c r="H860" s="36"/>
      <c r="I860" s="108"/>
      <c r="J860" s="47"/>
      <c r="K860" s="109"/>
      <c r="L860" s="110"/>
      <c r="M860" s="109"/>
    </row>
    <row r="861" ht="12.0" customHeight="1">
      <c r="A861" s="106"/>
      <c r="B861" s="41"/>
      <c r="E861" s="41"/>
      <c r="G861" s="107"/>
      <c r="H861" s="36"/>
      <c r="I861" s="108"/>
      <c r="J861" s="47"/>
      <c r="K861" s="109"/>
      <c r="L861" s="110"/>
      <c r="M861" s="109"/>
    </row>
    <row r="862" ht="12.0" customHeight="1">
      <c r="A862" s="106"/>
      <c r="B862" s="41"/>
      <c r="E862" s="41"/>
      <c r="G862" s="107"/>
      <c r="H862" s="36"/>
      <c r="I862" s="108"/>
      <c r="J862" s="47"/>
      <c r="K862" s="109"/>
      <c r="L862" s="110"/>
      <c r="M862" s="109"/>
    </row>
    <row r="863" ht="12.0" customHeight="1">
      <c r="A863" s="106"/>
      <c r="B863" s="41"/>
      <c r="E863" s="41"/>
      <c r="G863" s="107"/>
      <c r="H863" s="36"/>
      <c r="I863" s="108"/>
      <c r="J863" s="47"/>
      <c r="K863" s="109"/>
      <c r="L863" s="110"/>
      <c r="M863" s="109"/>
    </row>
    <row r="864" ht="12.0" customHeight="1">
      <c r="A864" s="106"/>
      <c r="B864" s="41"/>
      <c r="E864" s="41"/>
      <c r="G864" s="107"/>
      <c r="H864" s="36"/>
      <c r="I864" s="108"/>
      <c r="J864" s="47"/>
      <c r="K864" s="109"/>
      <c r="L864" s="110"/>
      <c r="M864" s="109"/>
    </row>
    <row r="865" ht="12.0" customHeight="1">
      <c r="A865" s="106"/>
      <c r="B865" s="41"/>
      <c r="E865" s="41"/>
      <c r="G865" s="107"/>
      <c r="H865" s="36"/>
      <c r="I865" s="108"/>
      <c r="J865" s="47"/>
      <c r="K865" s="109"/>
      <c r="L865" s="110"/>
      <c r="M865" s="109"/>
    </row>
    <row r="866" ht="12.0" customHeight="1">
      <c r="A866" s="106"/>
      <c r="B866" s="41"/>
      <c r="E866" s="41"/>
      <c r="G866" s="107"/>
      <c r="H866" s="36"/>
      <c r="I866" s="108"/>
      <c r="J866" s="47"/>
      <c r="K866" s="109"/>
      <c r="L866" s="110"/>
      <c r="M866" s="109"/>
    </row>
    <row r="867" ht="12.0" customHeight="1">
      <c r="A867" s="106"/>
      <c r="B867" s="41"/>
      <c r="E867" s="41"/>
      <c r="G867" s="107"/>
      <c r="H867" s="36"/>
      <c r="I867" s="108"/>
      <c r="J867" s="47"/>
      <c r="K867" s="109"/>
      <c r="L867" s="110"/>
      <c r="M867" s="109"/>
    </row>
    <row r="868" ht="12.0" customHeight="1">
      <c r="A868" s="106"/>
      <c r="B868" s="41"/>
      <c r="E868" s="41"/>
      <c r="G868" s="107"/>
      <c r="H868" s="36"/>
      <c r="I868" s="108"/>
      <c r="J868" s="47"/>
      <c r="K868" s="109"/>
      <c r="L868" s="110"/>
      <c r="M868" s="109"/>
    </row>
    <row r="869" ht="12.0" customHeight="1">
      <c r="A869" s="106"/>
      <c r="B869" s="41"/>
      <c r="E869" s="41"/>
      <c r="G869" s="107"/>
      <c r="H869" s="36"/>
      <c r="I869" s="108"/>
      <c r="J869" s="47"/>
      <c r="K869" s="109"/>
      <c r="L869" s="110"/>
      <c r="M869" s="109"/>
    </row>
    <row r="870" ht="12.0" customHeight="1">
      <c r="A870" s="106"/>
      <c r="B870" s="41"/>
      <c r="E870" s="41"/>
      <c r="G870" s="107"/>
      <c r="H870" s="36"/>
      <c r="I870" s="108"/>
      <c r="J870" s="47"/>
      <c r="K870" s="109"/>
      <c r="L870" s="110"/>
      <c r="M870" s="109"/>
    </row>
    <row r="871" ht="12.0" customHeight="1">
      <c r="A871" s="106"/>
      <c r="B871" s="41"/>
      <c r="E871" s="41"/>
      <c r="G871" s="107"/>
      <c r="H871" s="36"/>
      <c r="I871" s="108"/>
      <c r="J871" s="47"/>
      <c r="K871" s="109"/>
      <c r="L871" s="110"/>
      <c r="M871" s="109"/>
    </row>
    <row r="872" ht="12.0" customHeight="1">
      <c r="A872" s="106"/>
      <c r="B872" s="41"/>
      <c r="E872" s="41"/>
      <c r="G872" s="107"/>
      <c r="H872" s="36"/>
      <c r="I872" s="108"/>
      <c r="J872" s="47"/>
      <c r="K872" s="109"/>
      <c r="L872" s="110"/>
      <c r="M872" s="109"/>
    </row>
    <row r="873" ht="12.0" customHeight="1">
      <c r="A873" s="106"/>
      <c r="B873" s="41"/>
      <c r="E873" s="41"/>
      <c r="G873" s="107"/>
      <c r="H873" s="36"/>
      <c r="I873" s="108"/>
      <c r="J873" s="47"/>
      <c r="K873" s="109"/>
      <c r="L873" s="110"/>
      <c r="M873" s="109"/>
    </row>
    <row r="874" ht="12.0" customHeight="1">
      <c r="A874" s="106"/>
      <c r="B874" s="41"/>
      <c r="E874" s="41"/>
      <c r="G874" s="107"/>
      <c r="H874" s="36"/>
      <c r="I874" s="108"/>
      <c r="J874" s="47"/>
      <c r="K874" s="109"/>
      <c r="L874" s="110"/>
      <c r="M874" s="109"/>
    </row>
    <row r="875" ht="12.0" customHeight="1">
      <c r="A875" s="106"/>
      <c r="B875" s="41"/>
      <c r="E875" s="41"/>
      <c r="G875" s="107"/>
      <c r="H875" s="36"/>
      <c r="I875" s="108"/>
      <c r="J875" s="47"/>
      <c r="K875" s="109"/>
      <c r="L875" s="110"/>
      <c r="M875" s="109"/>
    </row>
    <row r="876" ht="12.0" customHeight="1">
      <c r="A876" s="106"/>
      <c r="B876" s="41"/>
      <c r="E876" s="41"/>
      <c r="G876" s="107"/>
      <c r="H876" s="36"/>
      <c r="I876" s="108"/>
      <c r="J876" s="47"/>
      <c r="K876" s="109"/>
      <c r="L876" s="110"/>
      <c r="M876" s="109"/>
    </row>
    <row r="877" ht="12.0" customHeight="1">
      <c r="A877" s="106"/>
      <c r="B877" s="41"/>
      <c r="E877" s="41"/>
      <c r="G877" s="107"/>
      <c r="H877" s="36"/>
      <c r="I877" s="108"/>
      <c r="J877" s="47"/>
      <c r="K877" s="109"/>
      <c r="L877" s="110"/>
      <c r="M877" s="109"/>
    </row>
    <row r="878" ht="12.0" customHeight="1">
      <c r="A878" s="106"/>
      <c r="B878" s="41"/>
      <c r="E878" s="41"/>
      <c r="G878" s="107"/>
      <c r="H878" s="36"/>
      <c r="I878" s="108"/>
      <c r="J878" s="47"/>
      <c r="K878" s="109"/>
      <c r="L878" s="110"/>
      <c r="M878" s="109"/>
    </row>
    <row r="879" ht="12.0" customHeight="1">
      <c r="A879" s="106"/>
      <c r="B879" s="41"/>
      <c r="E879" s="41"/>
      <c r="G879" s="107"/>
      <c r="H879" s="36"/>
      <c r="I879" s="108"/>
      <c r="J879" s="47"/>
      <c r="K879" s="109"/>
      <c r="L879" s="110"/>
      <c r="M879" s="109"/>
    </row>
    <row r="880" ht="12.0" customHeight="1">
      <c r="A880" s="106"/>
      <c r="B880" s="41"/>
      <c r="E880" s="41"/>
      <c r="G880" s="107"/>
      <c r="H880" s="36"/>
      <c r="I880" s="108"/>
      <c r="J880" s="47"/>
      <c r="K880" s="109"/>
      <c r="L880" s="110"/>
      <c r="M880" s="109"/>
    </row>
    <row r="881" ht="12.0" customHeight="1">
      <c r="A881" s="106"/>
      <c r="B881" s="41"/>
      <c r="E881" s="41"/>
      <c r="G881" s="107"/>
      <c r="H881" s="36"/>
      <c r="I881" s="108"/>
      <c r="J881" s="47"/>
      <c r="K881" s="109"/>
      <c r="L881" s="110"/>
      <c r="M881" s="109"/>
    </row>
    <row r="882" ht="12.0" customHeight="1">
      <c r="A882" s="106"/>
      <c r="B882" s="41"/>
      <c r="E882" s="41"/>
      <c r="G882" s="107"/>
      <c r="H882" s="36"/>
      <c r="I882" s="108"/>
      <c r="J882" s="47"/>
      <c r="K882" s="109"/>
      <c r="L882" s="110"/>
      <c r="M882" s="109"/>
    </row>
    <row r="883" ht="12.0" customHeight="1">
      <c r="A883" s="106"/>
      <c r="B883" s="41"/>
      <c r="E883" s="41"/>
      <c r="G883" s="107"/>
      <c r="H883" s="36"/>
      <c r="I883" s="108"/>
      <c r="J883" s="47"/>
      <c r="K883" s="109"/>
      <c r="L883" s="110"/>
      <c r="M883" s="109"/>
    </row>
    <row r="884" ht="12.0" customHeight="1">
      <c r="A884" s="106"/>
      <c r="B884" s="41"/>
      <c r="E884" s="41"/>
      <c r="G884" s="107"/>
      <c r="H884" s="36"/>
      <c r="I884" s="108"/>
      <c r="J884" s="47"/>
      <c r="K884" s="109"/>
      <c r="L884" s="110"/>
      <c r="M884" s="109"/>
    </row>
    <row r="885" ht="12.0" customHeight="1">
      <c r="A885" s="106"/>
      <c r="B885" s="41"/>
      <c r="E885" s="41"/>
      <c r="G885" s="107"/>
      <c r="H885" s="36"/>
      <c r="I885" s="108"/>
      <c r="J885" s="47"/>
      <c r="K885" s="109"/>
      <c r="L885" s="110"/>
      <c r="M885" s="109"/>
    </row>
    <row r="886" ht="12.0" customHeight="1">
      <c r="A886" s="106"/>
      <c r="B886" s="41"/>
      <c r="E886" s="41"/>
      <c r="G886" s="107"/>
      <c r="H886" s="36"/>
      <c r="I886" s="108"/>
      <c r="J886" s="47"/>
      <c r="K886" s="109"/>
      <c r="L886" s="110"/>
      <c r="M886" s="109"/>
    </row>
    <row r="887" ht="12.0" customHeight="1">
      <c r="A887" s="106"/>
      <c r="B887" s="41"/>
      <c r="E887" s="41"/>
      <c r="G887" s="107"/>
      <c r="H887" s="36"/>
      <c r="I887" s="108"/>
      <c r="J887" s="47"/>
      <c r="K887" s="109"/>
      <c r="L887" s="110"/>
      <c r="M887" s="109"/>
    </row>
    <row r="888" ht="12.0" customHeight="1">
      <c r="A888" s="106"/>
      <c r="B888" s="41"/>
      <c r="E888" s="41"/>
      <c r="G888" s="107"/>
      <c r="H888" s="36"/>
      <c r="I888" s="108"/>
      <c r="J888" s="47"/>
      <c r="K888" s="109"/>
      <c r="L888" s="110"/>
      <c r="M888" s="109"/>
    </row>
    <row r="889" ht="12.0" customHeight="1">
      <c r="A889" s="106"/>
      <c r="B889" s="41"/>
      <c r="E889" s="41"/>
      <c r="G889" s="107"/>
      <c r="H889" s="36"/>
      <c r="I889" s="108"/>
      <c r="J889" s="47"/>
      <c r="K889" s="109"/>
      <c r="L889" s="110"/>
      <c r="M889" s="109"/>
    </row>
    <row r="890" ht="12.0" customHeight="1">
      <c r="A890" s="106"/>
      <c r="B890" s="41"/>
      <c r="E890" s="41"/>
      <c r="G890" s="107"/>
      <c r="H890" s="36"/>
      <c r="I890" s="108"/>
      <c r="J890" s="47"/>
      <c r="K890" s="109"/>
      <c r="L890" s="110"/>
      <c r="M890" s="109"/>
    </row>
    <row r="891" ht="12.0" customHeight="1">
      <c r="A891" s="106"/>
      <c r="B891" s="41"/>
      <c r="E891" s="41"/>
      <c r="G891" s="107"/>
      <c r="H891" s="36"/>
      <c r="I891" s="108"/>
      <c r="J891" s="47"/>
      <c r="K891" s="109"/>
      <c r="L891" s="110"/>
      <c r="M891" s="109"/>
    </row>
    <row r="892" ht="12.0" customHeight="1">
      <c r="A892" s="106"/>
      <c r="B892" s="41"/>
      <c r="E892" s="41"/>
      <c r="G892" s="107"/>
      <c r="H892" s="36"/>
      <c r="I892" s="108"/>
      <c r="J892" s="47"/>
      <c r="K892" s="109"/>
      <c r="L892" s="110"/>
      <c r="M892" s="109"/>
    </row>
    <row r="893" ht="12.0" customHeight="1">
      <c r="A893" s="106"/>
      <c r="B893" s="41"/>
      <c r="E893" s="41"/>
      <c r="G893" s="107"/>
      <c r="H893" s="36"/>
      <c r="I893" s="108"/>
      <c r="J893" s="47"/>
      <c r="K893" s="109"/>
      <c r="L893" s="110"/>
      <c r="M893" s="109"/>
    </row>
    <row r="894" ht="12.0" customHeight="1">
      <c r="A894" s="106"/>
      <c r="B894" s="41"/>
      <c r="E894" s="41"/>
      <c r="G894" s="107"/>
      <c r="H894" s="36"/>
      <c r="I894" s="108"/>
      <c r="J894" s="47"/>
      <c r="K894" s="109"/>
      <c r="L894" s="110"/>
      <c r="M894" s="109"/>
    </row>
    <row r="895" ht="12.0" customHeight="1">
      <c r="A895" s="106"/>
      <c r="B895" s="41"/>
      <c r="E895" s="41"/>
      <c r="G895" s="107"/>
      <c r="H895" s="36"/>
      <c r="I895" s="108"/>
      <c r="J895" s="47"/>
      <c r="K895" s="109"/>
      <c r="L895" s="110"/>
      <c r="M895" s="109"/>
    </row>
    <row r="896" ht="12.0" customHeight="1">
      <c r="A896" s="106"/>
      <c r="B896" s="41"/>
      <c r="E896" s="41"/>
      <c r="G896" s="107"/>
      <c r="H896" s="36"/>
      <c r="I896" s="108"/>
      <c r="J896" s="47"/>
      <c r="K896" s="109"/>
      <c r="L896" s="110"/>
      <c r="M896" s="109"/>
    </row>
    <row r="897" ht="12.0" customHeight="1">
      <c r="A897" s="106"/>
      <c r="B897" s="41"/>
      <c r="E897" s="41"/>
      <c r="G897" s="107"/>
      <c r="H897" s="36"/>
      <c r="I897" s="108"/>
      <c r="J897" s="47"/>
      <c r="K897" s="109"/>
      <c r="L897" s="110"/>
      <c r="M897" s="109"/>
    </row>
    <row r="898" ht="12.0" customHeight="1">
      <c r="A898" s="106"/>
      <c r="B898" s="41"/>
      <c r="E898" s="41"/>
      <c r="G898" s="107"/>
      <c r="H898" s="36"/>
      <c r="I898" s="108"/>
      <c r="J898" s="47"/>
      <c r="K898" s="109"/>
      <c r="L898" s="110"/>
      <c r="M898" s="109"/>
    </row>
    <row r="899" ht="12.0" customHeight="1">
      <c r="A899" s="106"/>
      <c r="B899" s="41"/>
      <c r="E899" s="41"/>
      <c r="G899" s="107"/>
      <c r="H899" s="36"/>
      <c r="I899" s="108"/>
      <c r="J899" s="47"/>
      <c r="K899" s="109"/>
      <c r="L899" s="110"/>
      <c r="M899" s="109"/>
    </row>
    <row r="900" ht="12.0" customHeight="1">
      <c r="A900" s="106"/>
      <c r="B900" s="41"/>
      <c r="E900" s="41"/>
      <c r="G900" s="107"/>
      <c r="H900" s="36"/>
      <c r="I900" s="108"/>
      <c r="J900" s="47"/>
      <c r="K900" s="109"/>
      <c r="L900" s="110"/>
      <c r="M900" s="109"/>
    </row>
    <row r="901" ht="12.0" customHeight="1">
      <c r="A901" s="106"/>
      <c r="B901" s="41"/>
      <c r="E901" s="41"/>
      <c r="G901" s="107"/>
      <c r="H901" s="36"/>
      <c r="I901" s="108"/>
      <c r="J901" s="47"/>
      <c r="K901" s="109"/>
      <c r="L901" s="110"/>
      <c r="M901" s="109"/>
    </row>
    <row r="902" ht="12.0" customHeight="1">
      <c r="A902" s="106"/>
      <c r="B902" s="41"/>
      <c r="E902" s="41"/>
      <c r="G902" s="107"/>
      <c r="H902" s="36"/>
      <c r="I902" s="108"/>
      <c r="J902" s="47"/>
      <c r="K902" s="109"/>
      <c r="L902" s="110"/>
      <c r="M902" s="109"/>
    </row>
    <row r="903" ht="12.0" customHeight="1">
      <c r="A903" s="106"/>
      <c r="B903" s="41"/>
      <c r="E903" s="41"/>
      <c r="G903" s="107"/>
      <c r="H903" s="36"/>
      <c r="I903" s="108"/>
      <c r="J903" s="47"/>
      <c r="K903" s="109"/>
      <c r="L903" s="110"/>
      <c r="M903" s="109"/>
    </row>
    <row r="904" ht="12.0" customHeight="1">
      <c r="A904" s="106"/>
      <c r="B904" s="41"/>
      <c r="E904" s="41"/>
      <c r="G904" s="107"/>
      <c r="H904" s="36"/>
      <c r="I904" s="108"/>
      <c r="J904" s="47"/>
      <c r="K904" s="109"/>
      <c r="L904" s="110"/>
      <c r="M904" s="109"/>
    </row>
    <row r="905" ht="12.0" customHeight="1">
      <c r="A905" s="106"/>
      <c r="B905" s="41"/>
      <c r="E905" s="41"/>
      <c r="G905" s="107"/>
      <c r="H905" s="36"/>
      <c r="I905" s="108"/>
      <c r="J905" s="47"/>
      <c r="K905" s="109"/>
      <c r="L905" s="110"/>
      <c r="M905" s="109"/>
    </row>
    <row r="906" ht="12.0" customHeight="1">
      <c r="A906" s="106"/>
      <c r="B906" s="41"/>
      <c r="E906" s="41"/>
      <c r="G906" s="107"/>
      <c r="H906" s="36"/>
      <c r="I906" s="108"/>
      <c r="J906" s="47"/>
      <c r="K906" s="109"/>
      <c r="L906" s="110"/>
      <c r="M906" s="109"/>
    </row>
    <row r="907" ht="12.0" customHeight="1">
      <c r="A907" s="106"/>
      <c r="B907" s="41"/>
      <c r="E907" s="41"/>
      <c r="G907" s="107"/>
      <c r="H907" s="36"/>
      <c r="I907" s="108"/>
      <c r="J907" s="47"/>
      <c r="K907" s="109"/>
      <c r="L907" s="110"/>
      <c r="M907" s="109"/>
    </row>
    <row r="908" ht="12.0" customHeight="1">
      <c r="A908" s="106"/>
      <c r="B908" s="41"/>
      <c r="E908" s="41"/>
      <c r="G908" s="107"/>
      <c r="H908" s="36"/>
      <c r="I908" s="108"/>
      <c r="J908" s="47"/>
      <c r="K908" s="109"/>
      <c r="L908" s="110"/>
      <c r="M908" s="109"/>
    </row>
    <row r="909" ht="12.0" customHeight="1">
      <c r="A909" s="106"/>
      <c r="B909" s="41"/>
      <c r="E909" s="41"/>
      <c r="G909" s="107"/>
      <c r="H909" s="36"/>
      <c r="I909" s="108"/>
      <c r="J909" s="47"/>
      <c r="K909" s="109"/>
      <c r="L909" s="110"/>
      <c r="M909" s="109"/>
    </row>
    <row r="910" ht="12.0" customHeight="1">
      <c r="A910" s="106"/>
      <c r="B910" s="41"/>
      <c r="E910" s="41"/>
      <c r="G910" s="107"/>
      <c r="H910" s="36"/>
      <c r="I910" s="108"/>
      <c r="J910" s="47"/>
      <c r="K910" s="109"/>
      <c r="L910" s="110"/>
      <c r="M910" s="109"/>
    </row>
    <row r="911" ht="12.0" customHeight="1">
      <c r="A911" s="106"/>
      <c r="B911" s="41"/>
      <c r="E911" s="41"/>
      <c r="G911" s="107"/>
      <c r="H911" s="36"/>
      <c r="I911" s="108"/>
      <c r="J911" s="47"/>
      <c r="K911" s="109"/>
      <c r="L911" s="110"/>
      <c r="M911" s="109"/>
    </row>
    <row r="912" ht="12.0" customHeight="1">
      <c r="A912" s="106"/>
      <c r="B912" s="41"/>
      <c r="E912" s="41"/>
      <c r="G912" s="107"/>
      <c r="H912" s="36"/>
      <c r="I912" s="108"/>
      <c r="J912" s="47"/>
      <c r="K912" s="109"/>
      <c r="L912" s="110"/>
      <c r="M912" s="109"/>
    </row>
    <row r="913" ht="12.0" customHeight="1">
      <c r="A913" s="106"/>
      <c r="B913" s="41"/>
      <c r="E913" s="41"/>
      <c r="G913" s="107"/>
      <c r="H913" s="36"/>
      <c r="I913" s="108"/>
      <c r="J913" s="47"/>
      <c r="K913" s="109"/>
      <c r="L913" s="110"/>
      <c r="M913" s="109"/>
    </row>
    <row r="914" ht="12.0" customHeight="1">
      <c r="A914" s="106"/>
      <c r="B914" s="41"/>
      <c r="E914" s="41"/>
      <c r="G914" s="107"/>
      <c r="H914" s="36"/>
      <c r="I914" s="108"/>
      <c r="J914" s="47"/>
      <c r="K914" s="109"/>
      <c r="L914" s="110"/>
      <c r="M914" s="109"/>
    </row>
    <row r="915" ht="12.0" customHeight="1">
      <c r="A915" s="106"/>
      <c r="B915" s="41"/>
      <c r="E915" s="41"/>
      <c r="G915" s="107"/>
      <c r="H915" s="36"/>
      <c r="I915" s="108"/>
      <c r="J915" s="47"/>
      <c r="K915" s="109"/>
      <c r="L915" s="110"/>
      <c r="M915" s="109"/>
    </row>
    <row r="916" ht="12.0" customHeight="1">
      <c r="A916" s="106"/>
      <c r="B916" s="41"/>
      <c r="E916" s="41"/>
      <c r="G916" s="107"/>
      <c r="H916" s="36"/>
      <c r="I916" s="108"/>
      <c r="J916" s="47"/>
      <c r="K916" s="109"/>
      <c r="L916" s="110"/>
      <c r="M916" s="109"/>
    </row>
    <row r="917" ht="12.0" customHeight="1">
      <c r="A917" s="106"/>
      <c r="B917" s="41"/>
      <c r="E917" s="41"/>
      <c r="G917" s="107"/>
      <c r="H917" s="36"/>
      <c r="I917" s="108"/>
      <c r="J917" s="47"/>
      <c r="K917" s="109"/>
      <c r="L917" s="110"/>
      <c r="M917" s="109"/>
    </row>
    <row r="918" ht="12.0" customHeight="1">
      <c r="A918" s="106"/>
      <c r="B918" s="41"/>
      <c r="E918" s="41"/>
      <c r="G918" s="107"/>
      <c r="H918" s="36"/>
      <c r="I918" s="108"/>
      <c r="J918" s="47"/>
      <c r="K918" s="109"/>
      <c r="L918" s="110"/>
      <c r="M918" s="109"/>
    </row>
    <row r="919" ht="12.0" customHeight="1">
      <c r="A919" s="106"/>
      <c r="B919" s="41"/>
      <c r="E919" s="41"/>
      <c r="G919" s="107"/>
      <c r="H919" s="36"/>
      <c r="I919" s="108"/>
      <c r="J919" s="47"/>
      <c r="K919" s="109"/>
      <c r="L919" s="110"/>
      <c r="M919" s="109"/>
    </row>
    <row r="920" ht="12.0" customHeight="1">
      <c r="A920" s="106"/>
      <c r="B920" s="41"/>
      <c r="E920" s="41"/>
      <c r="G920" s="107"/>
      <c r="H920" s="36"/>
      <c r="I920" s="108"/>
      <c r="J920" s="47"/>
      <c r="K920" s="109"/>
      <c r="L920" s="110"/>
      <c r="M920" s="109"/>
    </row>
    <row r="921" ht="12.0" customHeight="1">
      <c r="A921" s="106"/>
      <c r="B921" s="41"/>
      <c r="E921" s="41"/>
      <c r="G921" s="107"/>
      <c r="H921" s="36"/>
      <c r="I921" s="108"/>
      <c r="J921" s="47"/>
      <c r="K921" s="109"/>
      <c r="L921" s="110"/>
      <c r="M921" s="109"/>
    </row>
    <row r="922" ht="12.0" customHeight="1">
      <c r="A922" s="106"/>
      <c r="B922" s="41"/>
      <c r="E922" s="41"/>
      <c r="G922" s="107"/>
      <c r="H922" s="36"/>
      <c r="I922" s="108"/>
      <c r="J922" s="47"/>
      <c r="K922" s="109"/>
      <c r="L922" s="110"/>
      <c r="M922" s="109"/>
    </row>
    <row r="923" ht="12.0" customHeight="1">
      <c r="A923" s="106"/>
      <c r="B923" s="41"/>
      <c r="E923" s="41"/>
      <c r="G923" s="107"/>
      <c r="H923" s="36"/>
      <c r="I923" s="108"/>
      <c r="J923" s="47"/>
      <c r="K923" s="109"/>
      <c r="L923" s="110"/>
      <c r="M923" s="109"/>
    </row>
    <row r="924" ht="12.0" customHeight="1">
      <c r="A924" s="106"/>
      <c r="B924" s="41"/>
      <c r="E924" s="41"/>
      <c r="G924" s="107"/>
      <c r="H924" s="36"/>
      <c r="I924" s="108"/>
      <c r="J924" s="47"/>
      <c r="K924" s="109"/>
      <c r="L924" s="110"/>
      <c r="M924" s="109"/>
    </row>
    <row r="925" ht="12.0" customHeight="1">
      <c r="A925" s="106"/>
      <c r="B925" s="41"/>
      <c r="E925" s="41"/>
      <c r="G925" s="107"/>
      <c r="H925" s="36"/>
      <c r="I925" s="108"/>
      <c r="J925" s="47"/>
      <c r="K925" s="109"/>
      <c r="L925" s="110"/>
      <c r="M925" s="109"/>
    </row>
    <row r="926" ht="12.0" customHeight="1">
      <c r="A926" s="106"/>
      <c r="B926" s="41"/>
      <c r="E926" s="41"/>
      <c r="G926" s="107"/>
      <c r="H926" s="36"/>
      <c r="I926" s="108"/>
      <c r="J926" s="47"/>
      <c r="K926" s="109"/>
      <c r="L926" s="110"/>
      <c r="M926" s="109"/>
    </row>
    <row r="927" ht="12.0" customHeight="1">
      <c r="A927" s="106"/>
      <c r="B927" s="41"/>
      <c r="E927" s="41"/>
      <c r="G927" s="107"/>
      <c r="H927" s="36"/>
      <c r="I927" s="108"/>
      <c r="J927" s="47"/>
      <c r="K927" s="109"/>
      <c r="L927" s="110"/>
      <c r="M927" s="109"/>
    </row>
    <row r="928" ht="12.0" customHeight="1">
      <c r="A928" s="106"/>
      <c r="B928" s="41"/>
      <c r="E928" s="41"/>
      <c r="G928" s="107"/>
      <c r="H928" s="36"/>
      <c r="I928" s="108"/>
      <c r="J928" s="47"/>
      <c r="K928" s="109"/>
      <c r="L928" s="110"/>
      <c r="M928" s="109"/>
    </row>
    <row r="929" ht="12.0" customHeight="1">
      <c r="A929" s="106"/>
      <c r="B929" s="41"/>
      <c r="E929" s="41"/>
      <c r="G929" s="107"/>
      <c r="H929" s="36"/>
      <c r="I929" s="108"/>
      <c r="J929" s="47"/>
      <c r="K929" s="109"/>
      <c r="L929" s="110"/>
      <c r="M929" s="109"/>
    </row>
    <row r="930" ht="12.0" customHeight="1">
      <c r="A930" s="106"/>
      <c r="B930" s="41"/>
      <c r="E930" s="41"/>
      <c r="G930" s="107"/>
      <c r="H930" s="36"/>
      <c r="I930" s="108"/>
      <c r="J930" s="47"/>
      <c r="K930" s="109"/>
      <c r="L930" s="110"/>
      <c r="M930" s="109"/>
    </row>
    <row r="931" ht="12.0" customHeight="1">
      <c r="A931" s="106"/>
      <c r="B931" s="41"/>
      <c r="E931" s="41"/>
      <c r="G931" s="107"/>
      <c r="H931" s="36"/>
      <c r="I931" s="108"/>
      <c r="J931" s="47"/>
      <c r="K931" s="109"/>
      <c r="L931" s="110"/>
      <c r="M931" s="109"/>
    </row>
    <row r="932" ht="12.0" customHeight="1">
      <c r="A932" s="106"/>
      <c r="B932" s="41"/>
      <c r="E932" s="41"/>
      <c r="G932" s="107"/>
      <c r="H932" s="36"/>
      <c r="I932" s="108"/>
      <c r="J932" s="47"/>
      <c r="K932" s="109"/>
      <c r="L932" s="110"/>
      <c r="M932" s="109"/>
    </row>
    <row r="933" ht="12.0" customHeight="1">
      <c r="A933" s="106"/>
      <c r="B933" s="41"/>
      <c r="E933" s="41"/>
      <c r="G933" s="107"/>
      <c r="H933" s="36"/>
      <c r="I933" s="108"/>
      <c r="J933" s="47"/>
      <c r="K933" s="109"/>
      <c r="L933" s="110"/>
      <c r="M933" s="109"/>
    </row>
    <row r="934" ht="12.0" customHeight="1">
      <c r="A934" s="106"/>
      <c r="B934" s="41"/>
      <c r="E934" s="41"/>
      <c r="G934" s="107"/>
      <c r="H934" s="36"/>
      <c r="I934" s="108"/>
      <c r="J934" s="47"/>
      <c r="K934" s="109"/>
      <c r="L934" s="110"/>
      <c r="M934" s="109"/>
    </row>
    <row r="935" ht="12.0" customHeight="1">
      <c r="A935" s="106"/>
      <c r="B935" s="41"/>
      <c r="E935" s="41"/>
      <c r="G935" s="107"/>
      <c r="H935" s="36"/>
      <c r="I935" s="108"/>
      <c r="J935" s="47"/>
      <c r="K935" s="109"/>
      <c r="L935" s="110"/>
      <c r="M935" s="109"/>
    </row>
    <row r="936" ht="12.0" customHeight="1">
      <c r="A936" s="106"/>
      <c r="B936" s="41"/>
      <c r="E936" s="41"/>
      <c r="G936" s="107"/>
      <c r="H936" s="36"/>
      <c r="I936" s="108"/>
      <c r="J936" s="47"/>
      <c r="K936" s="109"/>
      <c r="L936" s="110"/>
      <c r="M936" s="109"/>
    </row>
    <row r="937" ht="12.0" customHeight="1">
      <c r="A937" s="106"/>
      <c r="B937" s="41"/>
      <c r="E937" s="41"/>
      <c r="G937" s="107"/>
      <c r="H937" s="36"/>
      <c r="I937" s="108"/>
      <c r="J937" s="47"/>
      <c r="K937" s="109"/>
      <c r="L937" s="110"/>
      <c r="M937" s="109"/>
    </row>
    <row r="938" ht="12.0" customHeight="1">
      <c r="A938" s="106"/>
      <c r="B938" s="41"/>
      <c r="E938" s="41"/>
      <c r="G938" s="107"/>
      <c r="H938" s="36"/>
      <c r="I938" s="108"/>
      <c r="J938" s="47"/>
      <c r="K938" s="109"/>
      <c r="L938" s="110"/>
      <c r="M938" s="109"/>
    </row>
    <row r="939" ht="12.0" customHeight="1">
      <c r="A939" s="106"/>
      <c r="B939" s="41"/>
      <c r="E939" s="41"/>
      <c r="G939" s="107"/>
      <c r="H939" s="36"/>
      <c r="I939" s="108"/>
      <c r="J939" s="47"/>
      <c r="K939" s="109"/>
      <c r="L939" s="110"/>
      <c r="M939" s="109"/>
    </row>
    <row r="940" ht="12.0" customHeight="1">
      <c r="A940" s="106"/>
      <c r="B940" s="41"/>
      <c r="E940" s="41"/>
      <c r="G940" s="107"/>
      <c r="H940" s="36"/>
      <c r="I940" s="108"/>
      <c r="J940" s="47"/>
      <c r="K940" s="109"/>
      <c r="L940" s="110"/>
      <c r="M940" s="109"/>
    </row>
    <row r="941" ht="12.0" customHeight="1">
      <c r="A941" s="106"/>
      <c r="B941" s="41"/>
      <c r="E941" s="41"/>
      <c r="G941" s="107"/>
      <c r="H941" s="36"/>
      <c r="I941" s="108"/>
      <c r="J941" s="47"/>
      <c r="K941" s="109"/>
      <c r="L941" s="110"/>
      <c r="M941" s="109"/>
    </row>
    <row r="942" ht="12.0" customHeight="1">
      <c r="A942" s="106"/>
      <c r="B942" s="41"/>
      <c r="E942" s="41"/>
      <c r="G942" s="107"/>
      <c r="H942" s="36"/>
      <c r="I942" s="108"/>
      <c r="J942" s="47"/>
      <c r="K942" s="109"/>
      <c r="L942" s="110"/>
      <c r="M942" s="109"/>
    </row>
    <row r="943" ht="12.0" customHeight="1">
      <c r="A943" s="106"/>
      <c r="B943" s="41"/>
      <c r="E943" s="41"/>
      <c r="G943" s="107"/>
      <c r="H943" s="36"/>
      <c r="I943" s="108"/>
      <c r="J943" s="47"/>
      <c r="K943" s="109"/>
      <c r="L943" s="110"/>
      <c r="M943" s="109"/>
    </row>
    <row r="944" ht="12.0" customHeight="1">
      <c r="A944" s="106"/>
      <c r="B944" s="41"/>
      <c r="E944" s="41"/>
      <c r="G944" s="107"/>
      <c r="H944" s="36"/>
      <c r="I944" s="108"/>
      <c r="J944" s="47"/>
      <c r="K944" s="109"/>
      <c r="L944" s="110"/>
      <c r="M944" s="109"/>
    </row>
    <row r="945" ht="12.0" customHeight="1">
      <c r="A945" s="106"/>
      <c r="B945" s="41"/>
      <c r="E945" s="41"/>
      <c r="G945" s="107"/>
      <c r="H945" s="36"/>
      <c r="I945" s="108"/>
      <c r="J945" s="47"/>
      <c r="K945" s="109"/>
      <c r="L945" s="110"/>
      <c r="M945" s="109"/>
    </row>
    <row r="946" ht="12.0" customHeight="1">
      <c r="A946" s="106"/>
      <c r="B946" s="41"/>
      <c r="E946" s="41"/>
      <c r="G946" s="107"/>
      <c r="H946" s="36"/>
      <c r="I946" s="108"/>
      <c r="J946" s="47"/>
      <c r="K946" s="109"/>
      <c r="L946" s="110"/>
      <c r="M946" s="109"/>
    </row>
    <row r="947" ht="12.0" customHeight="1">
      <c r="A947" s="106"/>
      <c r="B947" s="41"/>
      <c r="E947" s="41"/>
      <c r="G947" s="107"/>
      <c r="H947" s="36"/>
      <c r="I947" s="108"/>
      <c r="J947" s="47"/>
      <c r="K947" s="109"/>
      <c r="L947" s="110"/>
      <c r="M947" s="109"/>
    </row>
    <row r="948" ht="12.0" customHeight="1">
      <c r="A948" s="106"/>
      <c r="B948" s="41"/>
      <c r="E948" s="41"/>
      <c r="G948" s="107"/>
      <c r="H948" s="36"/>
      <c r="I948" s="108"/>
      <c r="J948" s="47"/>
      <c r="K948" s="109"/>
      <c r="L948" s="110"/>
      <c r="M948" s="109"/>
    </row>
    <row r="949" ht="12.0" customHeight="1">
      <c r="A949" s="106"/>
      <c r="B949" s="41"/>
      <c r="E949" s="41"/>
      <c r="G949" s="107"/>
      <c r="H949" s="36"/>
      <c r="I949" s="108"/>
      <c r="J949" s="47"/>
      <c r="K949" s="109"/>
      <c r="L949" s="110"/>
      <c r="M949" s="109"/>
    </row>
    <row r="950" ht="12.0" customHeight="1">
      <c r="A950" s="106"/>
      <c r="B950" s="41"/>
      <c r="E950" s="41"/>
      <c r="G950" s="107"/>
      <c r="H950" s="36"/>
      <c r="I950" s="108"/>
      <c r="J950" s="47"/>
      <c r="K950" s="109"/>
      <c r="L950" s="110"/>
      <c r="M950" s="109"/>
    </row>
    <row r="951" ht="12.0" customHeight="1">
      <c r="A951" s="106"/>
      <c r="B951" s="41"/>
      <c r="E951" s="41"/>
      <c r="G951" s="107"/>
      <c r="H951" s="36"/>
      <c r="I951" s="108"/>
      <c r="J951" s="47"/>
      <c r="K951" s="109"/>
      <c r="L951" s="110"/>
      <c r="M951" s="109"/>
    </row>
    <row r="952" ht="12.0" customHeight="1">
      <c r="A952" s="106"/>
      <c r="B952" s="41"/>
      <c r="E952" s="41"/>
      <c r="G952" s="107"/>
      <c r="H952" s="36"/>
      <c r="I952" s="108"/>
      <c r="J952" s="47"/>
      <c r="K952" s="109"/>
      <c r="L952" s="110"/>
      <c r="M952" s="109"/>
    </row>
    <row r="953" ht="12.0" customHeight="1">
      <c r="A953" s="106"/>
      <c r="B953" s="41"/>
      <c r="E953" s="41"/>
      <c r="G953" s="107"/>
      <c r="H953" s="36"/>
      <c r="I953" s="108"/>
      <c r="J953" s="47"/>
      <c r="K953" s="109"/>
      <c r="L953" s="110"/>
      <c r="M953" s="109"/>
    </row>
    <row r="954" ht="12.0" customHeight="1">
      <c r="A954" s="106"/>
      <c r="B954" s="41"/>
      <c r="E954" s="41"/>
      <c r="G954" s="107"/>
      <c r="H954" s="36"/>
      <c r="I954" s="108"/>
      <c r="J954" s="47"/>
      <c r="K954" s="109"/>
      <c r="L954" s="110"/>
      <c r="M954" s="109"/>
    </row>
    <row r="955" ht="12.0" customHeight="1">
      <c r="A955" s="106"/>
      <c r="B955" s="41"/>
      <c r="E955" s="41"/>
      <c r="G955" s="107"/>
      <c r="H955" s="36"/>
      <c r="I955" s="108"/>
      <c r="J955" s="47"/>
      <c r="K955" s="109"/>
      <c r="L955" s="110"/>
      <c r="M955" s="109"/>
    </row>
    <row r="956" ht="12.0" customHeight="1">
      <c r="A956" s="106"/>
      <c r="B956" s="41"/>
      <c r="E956" s="41"/>
      <c r="G956" s="107"/>
      <c r="H956" s="36"/>
      <c r="I956" s="108"/>
      <c r="J956" s="47"/>
      <c r="K956" s="109"/>
      <c r="L956" s="110"/>
      <c r="M956" s="109"/>
    </row>
    <row r="957" ht="12.0" customHeight="1">
      <c r="A957" s="106"/>
      <c r="B957" s="41"/>
      <c r="E957" s="41"/>
      <c r="G957" s="107"/>
      <c r="H957" s="36"/>
      <c r="I957" s="108"/>
      <c r="J957" s="47"/>
      <c r="K957" s="109"/>
      <c r="L957" s="110"/>
      <c r="M957" s="109"/>
    </row>
    <row r="958" ht="12.0" customHeight="1">
      <c r="A958" s="106"/>
      <c r="B958" s="41"/>
      <c r="E958" s="41"/>
      <c r="G958" s="107"/>
      <c r="H958" s="36"/>
      <c r="I958" s="108"/>
      <c r="J958" s="47"/>
      <c r="K958" s="109"/>
      <c r="L958" s="110"/>
      <c r="M958" s="109"/>
    </row>
    <row r="959" ht="12.0" customHeight="1">
      <c r="A959" s="106"/>
      <c r="B959" s="41"/>
      <c r="E959" s="41"/>
      <c r="G959" s="107"/>
      <c r="H959" s="36"/>
      <c r="I959" s="108"/>
      <c r="J959" s="47"/>
      <c r="K959" s="109"/>
      <c r="L959" s="110"/>
      <c r="M959" s="109"/>
    </row>
    <row r="960" ht="12.0" customHeight="1">
      <c r="A960" s="106"/>
      <c r="B960" s="41"/>
      <c r="E960" s="41"/>
      <c r="G960" s="107"/>
      <c r="H960" s="36"/>
      <c r="I960" s="108"/>
      <c r="J960" s="47"/>
      <c r="K960" s="109"/>
      <c r="L960" s="110"/>
      <c r="M960" s="109"/>
    </row>
    <row r="961" ht="12.0" customHeight="1">
      <c r="A961" s="106"/>
      <c r="B961" s="41"/>
      <c r="E961" s="41"/>
      <c r="G961" s="107"/>
      <c r="H961" s="36"/>
      <c r="I961" s="108"/>
      <c r="J961" s="47"/>
      <c r="K961" s="109"/>
      <c r="L961" s="110"/>
      <c r="M961" s="109"/>
    </row>
    <row r="962" ht="12.0" customHeight="1">
      <c r="A962" s="106"/>
      <c r="B962" s="41"/>
      <c r="E962" s="41"/>
      <c r="G962" s="107"/>
      <c r="H962" s="36"/>
      <c r="I962" s="108"/>
      <c r="J962" s="47"/>
      <c r="K962" s="109"/>
      <c r="L962" s="110"/>
      <c r="M962" s="109"/>
    </row>
    <row r="963" ht="12.0" customHeight="1">
      <c r="A963" s="106"/>
      <c r="B963" s="41"/>
      <c r="E963" s="41"/>
      <c r="G963" s="107"/>
      <c r="H963" s="36"/>
      <c r="I963" s="108"/>
      <c r="J963" s="47"/>
      <c r="K963" s="109"/>
      <c r="L963" s="110"/>
      <c r="M963" s="109"/>
    </row>
    <row r="964" ht="12.0" customHeight="1">
      <c r="A964" s="106"/>
      <c r="B964" s="41"/>
      <c r="E964" s="41"/>
      <c r="G964" s="107"/>
      <c r="H964" s="36"/>
      <c r="I964" s="108"/>
      <c r="J964" s="47"/>
      <c r="K964" s="109"/>
      <c r="L964" s="110"/>
      <c r="M964" s="109"/>
    </row>
    <row r="965" ht="12.0" customHeight="1">
      <c r="A965" s="106"/>
      <c r="B965" s="41"/>
      <c r="E965" s="41"/>
      <c r="G965" s="107"/>
      <c r="H965" s="36"/>
      <c r="I965" s="108"/>
      <c r="J965" s="47"/>
      <c r="K965" s="109"/>
      <c r="L965" s="110"/>
      <c r="M965" s="109"/>
    </row>
    <row r="966" ht="12.0" customHeight="1">
      <c r="A966" s="106"/>
      <c r="B966" s="41"/>
      <c r="E966" s="41"/>
      <c r="G966" s="107"/>
      <c r="H966" s="36"/>
      <c r="I966" s="108"/>
      <c r="J966" s="47"/>
      <c r="K966" s="109"/>
      <c r="L966" s="110"/>
      <c r="M966" s="109"/>
    </row>
    <row r="967" ht="12.0" customHeight="1">
      <c r="A967" s="106"/>
      <c r="B967" s="41"/>
      <c r="E967" s="41"/>
      <c r="G967" s="107"/>
      <c r="H967" s="36"/>
      <c r="I967" s="108"/>
      <c r="J967" s="47"/>
      <c r="K967" s="109"/>
      <c r="L967" s="110"/>
      <c r="M967" s="109"/>
    </row>
    <row r="968" ht="12.0" customHeight="1">
      <c r="A968" s="106"/>
      <c r="B968" s="41"/>
      <c r="E968" s="41"/>
      <c r="G968" s="107"/>
      <c r="H968" s="36"/>
      <c r="I968" s="108"/>
      <c r="J968" s="47"/>
      <c r="K968" s="109"/>
      <c r="L968" s="110"/>
      <c r="M968" s="109"/>
    </row>
    <row r="969" ht="12.0" customHeight="1">
      <c r="A969" s="106"/>
      <c r="B969" s="41"/>
      <c r="E969" s="41"/>
      <c r="G969" s="107"/>
      <c r="H969" s="36"/>
      <c r="I969" s="108"/>
      <c r="J969" s="47"/>
      <c r="K969" s="109"/>
      <c r="L969" s="110"/>
      <c r="M969" s="109"/>
    </row>
    <row r="970" ht="12.0" customHeight="1">
      <c r="A970" s="106"/>
      <c r="B970" s="41"/>
      <c r="E970" s="41"/>
      <c r="G970" s="107"/>
      <c r="H970" s="36"/>
      <c r="I970" s="108"/>
      <c r="J970" s="47"/>
      <c r="K970" s="109"/>
      <c r="L970" s="110"/>
      <c r="M970" s="109"/>
    </row>
    <row r="971" ht="12.0" customHeight="1">
      <c r="A971" s="106"/>
      <c r="B971" s="41"/>
      <c r="E971" s="41"/>
      <c r="G971" s="107"/>
      <c r="H971" s="36"/>
      <c r="I971" s="108"/>
      <c r="J971" s="47"/>
      <c r="K971" s="109"/>
      <c r="L971" s="110"/>
      <c r="M971" s="109"/>
    </row>
    <row r="972" ht="12.0" customHeight="1">
      <c r="A972" s="106"/>
      <c r="B972" s="41"/>
      <c r="E972" s="41"/>
      <c r="G972" s="107"/>
      <c r="H972" s="36"/>
      <c r="I972" s="108"/>
      <c r="J972" s="47"/>
      <c r="K972" s="109"/>
      <c r="L972" s="110"/>
      <c r="M972" s="109"/>
    </row>
    <row r="973" ht="12.0" customHeight="1">
      <c r="A973" s="106"/>
      <c r="B973" s="41"/>
      <c r="E973" s="41"/>
      <c r="G973" s="107"/>
      <c r="H973" s="36"/>
      <c r="I973" s="108"/>
      <c r="J973" s="47"/>
      <c r="K973" s="109"/>
      <c r="L973" s="110"/>
      <c r="M973" s="109"/>
    </row>
    <row r="974" ht="12.0" customHeight="1">
      <c r="A974" s="106"/>
      <c r="B974" s="41"/>
      <c r="E974" s="41"/>
      <c r="G974" s="107"/>
      <c r="H974" s="36"/>
      <c r="I974" s="108"/>
      <c r="J974" s="47"/>
      <c r="K974" s="109"/>
      <c r="L974" s="110"/>
      <c r="M974" s="109"/>
    </row>
    <row r="975" ht="12.0" customHeight="1">
      <c r="A975" s="106"/>
      <c r="B975" s="41"/>
      <c r="E975" s="41"/>
      <c r="G975" s="107"/>
      <c r="H975" s="36"/>
      <c r="I975" s="108"/>
      <c r="J975" s="47"/>
      <c r="K975" s="109"/>
      <c r="L975" s="110"/>
      <c r="M975" s="109"/>
    </row>
    <row r="976" ht="12.0" customHeight="1">
      <c r="A976" s="106"/>
      <c r="B976" s="41"/>
      <c r="E976" s="41"/>
      <c r="G976" s="107"/>
      <c r="H976" s="36"/>
      <c r="I976" s="108"/>
      <c r="J976" s="47"/>
      <c r="K976" s="109"/>
      <c r="L976" s="110"/>
      <c r="M976" s="109"/>
    </row>
    <row r="977" ht="12.0" customHeight="1">
      <c r="A977" s="106"/>
      <c r="B977" s="41"/>
      <c r="E977" s="41"/>
      <c r="G977" s="107"/>
      <c r="H977" s="36"/>
      <c r="I977" s="108"/>
      <c r="J977" s="47"/>
      <c r="K977" s="109"/>
      <c r="L977" s="110"/>
      <c r="M977" s="109"/>
    </row>
    <row r="978" ht="12.0" customHeight="1">
      <c r="A978" s="106"/>
      <c r="B978" s="41"/>
      <c r="E978" s="41"/>
      <c r="G978" s="107"/>
      <c r="H978" s="36"/>
      <c r="I978" s="108"/>
      <c r="J978" s="47"/>
      <c r="K978" s="109"/>
      <c r="L978" s="110"/>
      <c r="M978" s="109"/>
    </row>
    <row r="979" ht="12.0" customHeight="1">
      <c r="A979" s="106"/>
      <c r="B979" s="41"/>
      <c r="E979" s="41"/>
      <c r="G979" s="107"/>
      <c r="H979" s="36"/>
      <c r="I979" s="108"/>
      <c r="J979" s="47"/>
      <c r="K979" s="109"/>
      <c r="L979" s="110"/>
      <c r="M979" s="109"/>
    </row>
    <row r="980" ht="12.0" customHeight="1">
      <c r="A980" s="106"/>
      <c r="B980" s="41"/>
      <c r="E980" s="41"/>
      <c r="G980" s="107"/>
      <c r="H980" s="36"/>
      <c r="I980" s="108"/>
      <c r="J980" s="47"/>
      <c r="K980" s="109"/>
      <c r="L980" s="110"/>
      <c r="M980" s="109"/>
    </row>
    <row r="981" ht="12.0" customHeight="1">
      <c r="A981" s="106"/>
      <c r="B981" s="41"/>
      <c r="E981" s="41"/>
      <c r="G981" s="107"/>
      <c r="H981" s="36"/>
      <c r="I981" s="108"/>
      <c r="J981" s="47"/>
      <c r="K981" s="109"/>
      <c r="L981" s="110"/>
      <c r="M981" s="109"/>
    </row>
    <row r="982" ht="12.0" customHeight="1">
      <c r="A982" s="106"/>
      <c r="B982" s="41"/>
      <c r="E982" s="41"/>
      <c r="G982" s="107"/>
      <c r="H982" s="36"/>
      <c r="I982" s="108"/>
      <c r="J982" s="47"/>
      <c r="K982" s="109"/>
      <c r="L982" s="110"/>
      <c r="M982" s="109"/>
    </row>
    <row r="983" ht="12.0" customHeight="1">
      <c r="A983" s="106"/>
      <c r="B983" s="41"/>
      <c r="E983" s="41"/>
      <c r="G983" s="107"/>
      <c r="H983" s="36"/>
      <c r="I983" s="108"/>
      <c r="J983" s="47"/>
      <c r="K983" s="109"/>
      <c r="L983" s="110"/>
      <c r="M983" s="109"/>
    </row>
    <row r="984" ht="12.0" customHeight="1">
      <c r="A984" s="106"/>
      <c r="B984" s="41"/>
      <c r="E984" s="41"/>
      <c r="G984" s="107"/>
      <c r="H984" s="36"/>
      <c r="I984" s="108"/>
      <c r="J984" s="47"/>
      <c r="K984" s="109"/>
      <c r="L984" s="110"/>
      <c r="M984" s="109"/>
    </row>
    <row r="985" ht="12.0" customHeight="1">
      <c r="A985" s="106"/>
      <c r="B985" s="41"/>
      <c r="E985" s="41"/>
      <c r="G985" s="107"/>
      <c r="H985" s="36"/>
      <c r="I985" s="108"/>
      <c r="J985" s="47"/>
      <c r="K985" s="109"/>
      <c r="L985" s="110"/>
      <c r="M985" s="109"/>
    </row>
    <row r="986" ht="12.0" customHeight="1">
      <c r="A986" s="106"/>
      <c r="B986" s="41"/>
      <c r="E986" s="41"/>
      <c r="G986" s="107"/>
      <c r="H986" s="36"/>
      <c r="I986" s="108"/>
      <c r="J986" s="47"/>
      <c r="K986" s="109"/>
      <c r="L986" s="110"/>
      <c r="M986" s="109"/>
    </row>
    <row r="987" ht="12.0" customHeight="1">
      <c r="A987" s="106"/>
      <c r="B987" s="41"/>
      <c r="E987" s="41"/>
      <c r="G987" s="107"/>
      <c r="H987" s="36"/>
      <c r="I987" s="108"/>
      <c r="J987" s="47"/>
      <c r="K987" s="109"/>
      <c r="L987" s="110"/>
      <c r="M987" s="109"/>
    </row>
    <row r="988" ht="12.0" customHeight="1">
      <c r="A988" s="106"/>
      <c r="B988" s="41"/>
      <c r="E988" s="41"/>
      <c r="G988" s="107"/>
      <c r="H988" s="36"/>
      <c r="I988" s="108"/>
      <c r="J988" s="47"/>
      <c r="K988" s="109"/>
      <c r="L988" s="110"/>
      <c r="M988" s="109"/>
    </row>
    <row r="989" ht="12.0" customHeight="1">
      <c r="A989" s="106"/>
      <c r="B989" s="41"/>
      <c r="E989" s="41"/>
      <c r="G989" s="107"/>
      <c r="H989" s="36"/>
      <c r="I989" s="108"/>
      <c r="J989" s="47"/>
      <c r="K989" s="109"/>
      <c r="L989" s="110"/>
      <c r="M989" s="109"/>
    </row>
    <row r="990" ht="12.0" customHeight="1">
      <c r="A990" s="106"/>
      <c r="B990" s="41"/>
      <c r="E990" s="41"/>
      <c r="G990" s="107"/>
      <c r="H990" s="36"/>
      <c r="I990" s="108"/>
      <c r="J990" s="47"/>
      <c r="K990" s="109"/>
      <c r="L990" s="110"/>
      <c r="M990" s="109"/>
    </row>
    <row r="991" ht="12.0" customHeight="1">
      <c r="A991" s="106"/>
      <c r="B991" s="41"/>
      <c r="E991" s="41"/>
      <c r="G991" s="107"/>
      <c r="H991" s="36"/>
      <c r="I991" s="108"/>
      <c r="J991" s="47"/>
      <c r="K991" s="109"/>
      <c r="L991" s="110"/>
      <c r="M991" s="109"/>
    </row>
    <row r="992" ht="12.0" customHeight="1">
      <c r="A992" s="106"/>
      <c r="B992" s="41"/>
      <c r="E992" s="41"/>
      <c r="G992" s="107"/>
      <c r="H992" s="36"/>
      <c r="I992" s="108"/>
      <c r="J992" s="47"/>
      <c r="K992" s="109"/>
      <c r="L992" s="110"/>
      <c r="M992" s="109"/>
    </row>
    <row r="993" ht="12.0" customHeight="1">
      <c r="A993" s="106"/>
      <c r="B993" s="41"/>
      <c r="E993" s="41"/>
      <c r="G993" s="107"/>
      <c r="H993" s="36"/>
      <c r="I993" s="108"/>
      <c r="J993" s="47"/>
      <c r="K993" s="109"/>
      <c r="L993" s="110"/>
      <c r="M993" s="109"/>
    </row>
    <row r="994" ht="12.0" customHeight="1">
      <c r="A994" s="106"/>
      <c r="B994" s="41"/>
      <c r="E994" s="41"/>
      <c r="G994" s="107"/>
      <c r="H994" s="36"/>
      <c r="I994" s="108"/>
      <c r="J994" s="47"/>
      <c r="K994" s="109"/>
      <c r="L994" s="110"/>
      <c r="M994" s="109"/>
    </row>
    <row r="995" ht="12.0" customHeight="1">
      <c r="A995" s="106"/>
      <c r="B995" s="41"/>
      <c r="E995" s="41"/>
      <c r="G995" s="107"/>
      <c r="H995" s="36"/>
      <c r="I995" s="108"/>
      <c r="J995" s="47"/>
      <c r="K995" s="109"/>
      <c r="L995" s="110"/>
      <c r="M995" s="109"/>
    </row>
    <row r="996" ht="12.0" customHeight="1">
      <c r="A996" s="106"/>
      <c r="B996" s="41"/>
      <c r="E996" s="41"/>
      <c r="G996" s="107"/>
      <c r="H996" s="36"/>
      <c r="I996" s="108"/>
      <c r="J996" s="47"/>
      <c r="K996" s="109"/>
      <c r="L996" s="110"/>
      <c r="M996" s="109"/>
    </row>
    <row r="997" ht="12.0" customHeight="1">
      <c r="A997" s="106"/>
      <c r="B997" s="41"/>
      <c r="E997" s="41"/>
      <c r="G997" s="107"/>
      <c r="H997" s="36"/>
      <c r="I997" s="108"/>
      <c r="J997" s="47"/>
      <c r="K997" s="109"/>
      <c r="L997" s="110"/>
      <c r="M997" s="109"/>
    </row>
    <row r="998" ht="12.0" customHeight="1">
      <c r="A998" s="106"/>
      <c r="B998" s="41"/>
      <c r="E998" s="41"/>
      <c r="G998" s="107"/>
      <c r="H998" s="36"/>
      <c r="I998" s="108"/>
      <c r="J998" s="47"/>
      <c r="K998" s="109"/>
      <c r="L998" s="110"/>
      <c r="M998" s="109"/>
    </row>
    <row r="999" ht="12.0" customHeight="1">
      <c r="A999" s="106"/>
      <c r="B999" s="41"/>
      <c r="E999" s="41"/>
      <c r="G999" s="107"/>
      <c r="H999" s="36"/>
      <c r="I999" s="108"/>
      <c r="J999" s="47"/>
      <c r="K999" s="109"/>
      <c r="L999" s="110"/>
      <c r="M999" s="109"/>
    </row>
    <row r="1000" ht="12.0" customHeight="1">
      <c r="A1000" s="106"/>
      <c r="B1000" s="41"/>
      <c r="E1000" s="41"/>
      <c r="G1000" s="107"/>
      <c r="H1000" s="36"/>
      <c r="I1000" s="108"/>
      <c r="J1000" s="47"/>
      <c r="K1000" s="109"/>
      <c r="L1000" s="110"/>
      <c r="M1000" s="109"/>
    </row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6.0"/>
    <col customWidth="1" min="3" max="3" width="1.75"/>
    <col customWidth="1" min="4" max="4" width="7.0"/>
    <col customWidth="1" min="5" max="5" width="9.0"/>
    <col customWidth="1" min="6" max="6" width="10.0"/>
    <col customWidth="1" min="7" max="7" width="14.88"/>
    <col customWidth="1" min="8" max="8" width="6.5"/>
    <col customWidth="1" min="9" max="9" width="12.0"/>
    <col customWidth="1" min="10" max="10" width="50.63"/>
    <col customWidth="1" min="11" max="11" width="14.5"/>
    <col customWidth="1" min="12" max="12" width="12.0"/>
    <col customWidth="1" min="13" max="13" width="13.5"/>
    <col customWidth="1" min="14" max="14" width="12.0"/>
    <col customWidth="1" min="15" max="15" width="13.5"/>
    <col customWidth="1" min="16" max="16" width="11.13"/>
    <col customWidth="1" min="17" max="17" width="14.0"/>
    <col customWidth="1" min="18" max="18" width="11.75"/>
    <col customWidth="1" min="19" max="19" width="11.38"/>
    <col customWidth="1" min="20" max="20" width="10.88"/>
    <col customWidth="1" min="21" max="21" width="9.0"/>
    <col customWidth="1" min="22" max="22" width="20.88"/>
    <col customWidth="1" min="23" max="23" width="87.0"/>
    <col customWidth="1" min="24" max="24" width="25.25"/>
    <col customWidth="1" min="25" max="25" width="8.38"/>
    <col customWidth="1" min="26" max="26" width="6.0"/>
    <col customWidth="1" min="27" max="27" width="17.38"/>
    <col customWidth="1" min="28" max="28" width="8.63"/>
  </cols>
  <sheetData>
    <row r="1" ht="12.0" customHeight="1">
      <c r="A1" s="111"/>
      <c r="F1" s="112" t="s">
        <v>2360</v>
      </c>
      <c r="G1" s="112" t="s">
        <v>2361</v>
      </c>
      <c r="H1" s="112" t="s">
        <v>2362</v>
      </c>
      <c r="I1" s="112" t="s">
        <v>2363</v>
      </c>
      <c r="J1" s="113" t="s">
        <v>2364</v>
      </c>
      <c r="K1" s="114" t="s">
        <v>1</v>
      </c>
      <c r="L1" s="115" t="s">
        <v>2365</v>
      </c>
      <c r="M1" s="115" t="s">
        <v>2366</v>
      </c>
      <c r="N1" s="116" t="s">
        <v>2367</v>
      </c>
      <c r="O1" s="116" t="s">
        <v>2368</v>
      </c>
      <c r="P1" s="117" t="s">
        <v>2369</v>
      </c>
      <c r="Q1" s="118" t="s">
        <v>2370</v>
      </c>
      <c r="R1" s="119" t="s">
        <v>6</v>
      </c>
      <c r="S1" s="119" t="s">
        <v>2371</v>
      </c>
      <c r="T1" s="120" t="s">
        <v>7</v>
      </c>
      <c r="U1" s="120" t="s">
        <v>2372</v>
      </c>
      <c r="V1" s="112" t="s">
        <v>2373</v>
      </c>
      <c r="W1" s="121" t="s">
        <v>2374</v>
      </c>
      <c r="X1" s="117" t="s">
        <v>2375</v>
      </c>
      <c r="Y1" s="122" t="s">
        <v>9</v>
      </c>
      <c r="Z1" s="112" t="s">
        <v>2364</v>
      </c>
      <c r="AA1" s="112" t="s">
        <v>1738</v>
      </c>
      <c r="AB1" s="112" t="s">
        <v>2376</v>
      </c>
    </row>
    <row r="2" ht="12.0" customHeight="1">
      <c r="A2" s="111"/>
      <c r="F2" s="123">
        <v>1.0</v>
      </c>
      <c r="G2" s="124" t="s">
        <v>2377</v>
      </c>
      <c r="H2" s="125" t="s">
        <v>2378</v>
      </c>
      <c r="I2" s="126" t="s">
        <v>1741</v>
      </c>
      <c r="J2" s="127" t="str">
        <f t="shared" ref="J2:J516" si="1">H2&amp;I2</f>
        <v>PE25-001</v>
      </c>
      <c r="K2" s="128">
        <v>45677.0</v>
      </c>
      <c r="L2" s="129"/>
      <c r="M2" s="129" t="s">
        <v>12</v>
      </c>
      <c r="N2" s="124" t="s">
        <v>1745</v>
      </c>
      <c r="O2" s="124" t="s">
        <v>2379</v>
      </c>
      <c r="P2" s="130" t="s">
        <v>13</v>
      </c>
      <c r="Q2" s="131">
        <v>1.11104E8</v>
      </c>
      <c r="R2" s="132"/>
      <c r="S2" s="132">
        <f t="shared" ref="S2:S302" si="2">Q2+R2</f>
        <v>111104000</v>
      </c>
      <c r="T2" s="133">
        <f t="shared" ref="T2:T265" si="3">S2*11%</f>
        <v>12221440</v>
      </c>
      <c r="U2" s="132">
        <f t="shared" ref="U2:U302" si="4">S2+T2</f>
        <v>123325440</v>
      </c>
      <c r="V2" s="130"/>
      <c r="W2" s="124" t="s">
        <v>1925</v>
      </c>
      <c r="X2" s="134"/>
      <c r="Y2" s="135" t="str">
        <f>VLOOKUP(J2,[1]TARIKANMYSAP!$H$2:$K$1013,4,FALSE)</f>
        <v>#ERROR!</v>
      </c>
      <c r="Z2" s="136" t="str">
        <f t="shared" ref="Z2:Z265" si="5">J2</f>
        <v>PE25-001</v>
      </c>
      <c r="AA2" s="137"/>
      <c r="AB2" s="137"/>
    </row>
    <row r="3" ht="12.0" customHeight="1">
      <c r="A3" s="111"/>
      <c r="F3" s="123">
        <v>2.0</v>
      </c>
      <c r="G3" s="124" t="s">
        <v>2377</v>
      </c>
      <c r="H3" s="125" t="s">
        <v>2378</v>
      </c>
      <c r="I3" s="126" t="s">
        <v>1749</v>
      </c>
      <c r="J3" s="127" t="str">
        <f t="shared" si="1"/>
        <v>PE25-002</v>
      </c>
      <c r="K3" s="128">
        <v>45677.0</v>
      </c>
      <c r="L3" s="129"/>
      <c r="M3" s="129" t="s">
        <v>18</v>
      </c>
      <c r="N3" s="124" t="s">
        <v>1745</v>
      </c>
      <c r="O3" s="124" t="s">
        <v>2379</v>
      </c>
      <c r="P3" s="130" t="s">
        <v>19</v>
      </c>
      <c r="Q3" s="131">
        <v>4.57884E7</v>
      </c>
      <c r="R3" s="132"/>
      <c r="S3" s="132">
        <f t="shared" si="2"/>
        <v>45788400</v>
      </c>
      <c r="T3" s="133">
        <f t="shared" si="3"/>
        <v>5036724</v>
      </c>
      <c r="U3" s="132">
        <f t="shared" si="4"/>
        <v>50825124</v>
      </c>
      <c r="V3" s="130"/>
      <c r="W3" s="124" t="s">
        <v>1925</v>
      </c>
      <c r="X3" s="134"/>
      <c r="Y3" s="135" t="str">
        <f>VLOOKUP(J3,[1]TARIKANMYSAP!$H$2:$K$1013,4,FALSE)</f>
        <v>#ERROR!</v>
      </c>
      <c r="Z3" s="136" t="str">
        <f t="shared" si="5"/>
        <v>PE25-002</v>
      </c>
      <c r="AA3" s="137"/>
      <c r="AB3" s="137"/>
    </row>
    <row r="4" ht="12.0" customHeight="1">
      <c r="A4" s="111"/>
      <c r="F4" s="123">
        <v>3.0</v>
      </c>
      <c r="G4" s="124" t="s">
        <v>2377</v>
      </c>
      <c r="H4" s="125" t="s">
        <v>2378</v>
      </c>
      <c r="I4" s="126" t="s">
        <v>1755</v>
      </c>
      <c r="J4" s="127" t="str">
        <f t="shared" si="1"/>
        <v>PE25-003</v>
      </c>
      <c r="K4" s="128">
        <v>45677.0</v>
      </c>
      <c r="L4" s="129"/>
      <c r="M4" s="129" t="s">
        <v>23</v>
      </c>
      <c r="N4" s="124" t="s">
        <v>1745</v>
      </c>
      <c r="O4" s="124" t="s">
        <v>2379</v>
      </c>
      <c r="P4" s="130" t="s">
        <v>2380</v>
      </c>
      <c r="Q4" s="131">
        <v>1.539399E7</v>
      </c>
      <c r="R4" s="132"/>
      <c r="S4" s="132">
        <f t="shared" si="2"/>
        <v>15393990</v>
      </c>
      <c r="T4" s="133">
        <f t="shared" si="3"/>
        <v>1693338.9</v>
      </c>
      <c r="U4" s="132">
        <f t="shared" si="4"/>
        <v>17087328.9</v>
      </c>
      <c r="V4" s="130"/>
      <c r="W4" s="124" t="s">
        <v>1925</v>
      </c>
      <c r="X4" s="134"/>
      <c r="Y4" s="135" t="str">
        <f>VLOOKUP(J4,[1]TARIKANMYSAP!$H$2:$K$1013,4,FALSE)</f>
        <v>#ERROR!</v>
      </c>
      <c r="Z4" s="136" t="str">
        <f t="shared" si="5"/>
        <v>PE25-003</v>
      </c>
      <c r="AA4" s="137"/>
      <c r="AB4" s="137"/>
    </row>
    <row r="5" ht="12.0" customHeight="1">
      <c r="A5" s="111"/>
      <c r="F5" s="123">
        <v>4.0</v>
      </c>
      <c r="G5" s="124" t="s">
        <v>2377</v>
      </c>
      <c r="H5" s="125" t="s">
        <v>2378</v>
      </c>
      <c r="I5" s="126" t="s">
        <v>1759</v>
      </c>
      <c r="J5" s="127" t="str">
        <f t="shared" si="1"/>
        <v>PE25-004</v>
      </c>
      <c r="K5" s="128">
        <v>45677.0</v>
      </c>
      <c r="L5" s="129"/>
      <c r="M5" s="129" t="s">
        <v>28</v>
      </c>
      <c r="N5" s="124" t="s">
        <v>1745</v>
      </c>
      <c r="O5" s="124" t="s">
        <v>2379</v>
      </c>
      <c r="P5" s="130" t="s">
        <v>29</v>
      </c>
      <c r="Q5" s="131">
        <v>1.66628E7</v>
      </c>
      <c r="R5" s="132"/>
      <c r="S5" s="132">
        <f t="shared" si="2"/>
        <v>16662800</v>
      </c>
      <c r="T5" s="133">
        <f t="shared" si="3"/>
        <v>1832908</v>
      </c>
      <c r="U5" s="132">
        <f t="shared" si="4"/>
        <v>18495708</v>
      </c>
      <c r="V5" s="130"/>
      <c r="W5" s="124" t="s">
        <v>1925</v>
      </c>
      <c r="X5" s="134"/>
      <c r="Y5" s="135" t="str">
        <f>VLOOKUP(J5,[1]TARIKANMYSAP!$H$2:$K$1013,4,FALSE)</f>
        <v>#ERROR!</v>
      </c>
      <c r="Z5" s="136" t="str">
        <f t="shared" si="5"/>
        <v>PE25-004</v>
      </c>
      <c r="AA5" s="137"/>
      <c r="AB5" s="137"/>
    </row>
    <row r="6" ht="12.0" customHeight="1">
      <c r="A6" s="111"/>
      <c r="F6" s="123">
        <v>5.0</v>
      </c>
      <c r="G6" s="124" t="s">
        <v>2377</v>
      </c>
      <c r="H6" s="125" t="s">
        <v>2378</v>
      </c>
      <c r="I6" s="126" t="s">
        <v>1766</v>
      </c>
      <c r="J6" s="127" t="str">
        <f t="shared" si="1"/>
        <v>PE25-005</v>
      </c>
      <c r="K6" s="128">
        <v>45709.0</v>
      </c>
      <c r="L6" s="129"/>
      <c r="M6" s="129" t="s">
        <v>33</v>
      </c>
      <c r="N6" s="124" t="s">
        <v>1745</v>
      </c>
      <c r="O6" s="124" t="s">
        <v>2381</v>
      </c>
      <c r="P6" s="130" t="s">
        <v>34</v>
      </c>
      <c r="Q6" s="131">
        <v>1.0612241E7</v>
      </c>
      <c r="R6" s="132">
        <f>Q6*12%</f>
        <v>1273468.92</v>
      </c>
      <c r="S6" s="132">
        <f t="shared" si="2"/>
        <v>11885709.92</v>
      </c>
      <c r="T6" s="133">
        <f t="shared" si="3"/>
        <v>1307428.091</v>
      </c>
      <c r="U6" s="132">
        <f t="shared" si="4"/>
        <v>13193138.01</v>
      </c>
      <c r="V6" s="130"/>
      <c r="W6" s="124" t="s">
        <v>2382</v>
      </c>
      <c r="X6" s="134"/>
      <c r="Y6" s="135" t="str">
        <f>VLOOKUP(J6,[1]TARIKANMYSAP!$H$2:$K$1013,4,FALSE)</f>
        <v>#ERROR!</v>
      </c>
      <c r="Z6" s="136" t="str">
        <f t="shared" si="5"/>
        <v>PE25-005</v>
      </c>
      <c r="AA6" s="137"/>
      <c r="AB6" s="137"/>
    </row>
    <row r="7" ht="12.0" customHeight="1">
      <c r="A7" s="111"/>
      <c r="F7" s="123">
        <v>6.0</v>
      </c>
      <c r="G7" s="124" t="s">
        <v>2377</v>
      </c>
      <c r="H7" s="125" t="s">
        <v>2378</v>
      </c>
      <c r="I7" s="126" t="s">
        <v>1774</v>
      </c>
      <c r="J7" s="138" t="str">
        <f t="shared" si="1"/>
        <v>PE25-006</v>
      </c>
      <c r="K7" s="139">
        <v>45677.0</v>
      </c>
      <c r="L7" s="140"/>
      <c r="M7" s="140"/>
      <c r="N7" s="141" t="s">
        <v>1745</v>
      </c>
      <c r="O7" s="141" t="s">
        <v>2379</v>
      </c>
      <c r="P7" s="142" t="s">
        <v>38</v>
      </c>
      <c r="Q7" s="143">
        <v>4.956E7</v>
      </c>
      <c r="R7" s="144"/>
      <c r="S7" s="145">
        <f t="shared" si="2"/>
        <v>49560000</v>
      </c>
      <c r="T7" s="146">
        <f t="shared" si="3"/>
        <v>5451600</v>
      </c>
      <c r="U7" s="145">
        <f t="shared" si="4"/>
        <v>55011600</v>
      </c>
      <c r="V7" s="147"/>
      <c r="W7" s="141" t="s">
        <v>1925</v>
      </c>
      <c r="X7" s="148"/>
      <c r="Y7" s="149" t="s">
        <v>41</v>
      </c>
      <c r="Z7" s="136" t="str">
        <f t="shared" si="5"/>
        <v>PE25-006</v>
      </c>
      <c r="AA7" s="141" t="s">
        <v>2383</v>
      </c>
      <c r="AB7" s="137"/>
    </row>
    <row r="8" ht="12.0" customHeight="1">
      <c r="A8" s="111"/>
      <c r="F8" s="123">
        <v>7.0</v>
      </c>
      <c r="G8" s="124" t="s">
        <v>2377</v>
      </c>
      <c r="H8" s="125" t="s">
        <v>2378</v>
      </c>
      <c r="I8" s="126" t="s">
        <v>1782</v>
      </c>
      <c r="J8" s="127" t="str">
        <f t="shared" si="1"/>
        <v>PE25-007</v>
      </c>
      <c r="K8" s="128">
        <v>45677.0</v>
      </c>
      <c r="L8" s="129"/>
      <c r="M8" s="129" t="s">
        <v>43</v>
      </c>
      <c r="N8" s="137" t="s">
        <v>1745</v>
      </c>
      <c r="O8" s="137" t="s">
        <v>2379</v>
      </c>
      <c r="P8" s="130" t="s">
        <v>44</v>
      </c>
      <c r="Q8" s="131">
        <v>4.95E7</v>
      </c>
      <c r="R8" s="132"/>
      <c r="S8" s="132">
        <f t="shared" si="2"/>
        <v>49500000</v>
      </c>
      <c r="T8" s="133">
        <f t="shared" si="3"/>
        <v>5445000</v>
      </c>
      <c r="U8" s="132">
        <f t="shared" si="4"/>
        <v>54945000</v>
      </c>
      <c r="V8" s="130"/>
      <c r="W8" s="124" t="s">
        <v>1925</v>
      </c>
      <c r="X8" s="134"/>
      <c r="Y8" s="135" t="str">
        <f>VLOOKUP(J8,[1]TARIKANMYSAP!$H$2:$K$1013,4,FALSE)</f>
        <v>#ERROR!</v>
      </c>
      <c r="Z8" s="136" t="str">
        <f t="shared" si="5"/>
        <v>PE25-007</v>
      </c>
      <c r="AA8" s="137"/>
      <c r="AB8" s="137"/>
    </row>
    <row r="9" ht="12.0" customHeight="1">
      <c r="A9" s="111"/>
      <c r="F9" s="123">
        <v>8.0</v>
      </c>
      <c r="G9" s="124" t="s">
        <v>2377</v>
      </c>
      <c r="H9" s="125" t="s">
        <v>2378</v>
      </c>
      <c r="I9" s="126" t="s">
        <v>1788</v>
      </c>
      <c r="J9" s="127" t="str">
        <f t="shared" si="1"/>
        <v>PE25-008</v>
      </c>
      <c r="K9" s="128">
        <v>45677.0</v>
      </c>
      <c r="L9" s="129"/>
      <c r="M9" s="129" t="s">
        <v>48</v>
      </c>
      <c r="N9" s="137" t="s">
        <v>1745</v>
      </c>
      <c r="O9" s="137" t="s">
        <v>2379</v>
      </c>
      <c r="P9" s="130" t="s">
        <v>2384</v>
      </c>
      <c r="Q9" s="131">
        <v>4.991E7</v>
      </c>
      <c r="R9" s="132"/>
      <c r="S9" s="132">
        <f t="shared" si="2"/>
        <v>49910000</v>
      </c>
      <c r="T9" s="133">
        <f t="shared" si="3"/>
        <v>5490100</v>
      </c>
      <c r="U9" s="132">
        <f t="shared" si="4"/>
        <v>55400100</v>
      </c>
      <c r="V9" s="130"/>
      <c r="W9" s="124" t="s">
        <v>1925</v>
      </c>
      <c r="X9" s="134"/>
      <c r="Y9" s="135" t="str">
        <f>VLOOKUP(J9,[1]TARIKANMYSAP!$H$2:$K$1013,4,FALSE)</f>
        <v>#ERROR!</v>
      </c>
      <c r="Z9" s="136" t="str">
        <f t="shared" si="5"/>
        <v>PE25-008</v>
      </c>
      <c r="AA9" s="137"/>
      <c r="AB9" s="137"/>
    </row>
    <row r="10" ht="12.0" customHeight="1">
      <c r="A10" s="111"/>
      <c r="F10" s="123">
        <v>9.0</v>
      </c>
      <c r="G10" s="124" t="s">
        <v>2377</v>
      </c>
      <c r="H10" s="125" t="s">
        <v>2378</v>
      </c>
      <c r="I10" s="126" t="s">
        <v>1794</v>
      </c>
      <c r="J10" s="127" t="str">
        <f t="shared" si="1"/>
        <v>PE25-009</v>
      </c>
      <c r="K10" s="128">
        <v>45677.0</v>
      </c>
      <c r="L10" s="129"/>
      <c r="M10" s="129" t="s">
        <v>53</v>
      </c>
      <c r="N10" s="137" t="s">
        <v>1745</v>
      </c>
      <c r="O10" s="137" t="s">
        <v>2379</v>
      </c>
      <c r="P10" s="130" t="s">
        <v>54</v>
      </c>
      <c r="Q10" s="131">
        <v>7.2574682E7</v>
      </c>
      <c r="R10" s="132"/>
      <c r="S10" s="132">
        <f t="shared" si="2"/>
        <v>72574682</v>
      </c>
      <c r="T10" s="133">
        <f t="shared" si="3"/>
        <v>7983215.02</v>
      </c>
      <c r="U10" s="132">
        <f t="shared" si="4"/>
        <v>80557897.02</v>
      </c>
      <c r="V10" s="130"/>
      <c r="W10" s="124" t="s">
        <v>1925</v>
      </c>
      <c r="X10" s="134"/>
      <c r="Y10" s="135" t="str">
        <f>VLOOKUP(J10,[1]TARIKANMYSAP!$H$2:$K$1013,4,FALSE)</f>
        <v>#ERROR!</v>
      </c>
      <c r="Z10" s="136" t="str">
        <f t="shared" si="5"/>
        <v>PE25-009</v>
      </c>
      <c r="AA10" s="137"/>
      <c r="AB10" s="137"/>
    </row>
    <row r="11" ht="12.0" customHeight="1">
      <c r="A11" s="111"/>
      <c r="F11" s="123">
        <v>10.0</v>
      </c>
      <c r="G11" s="124" t="s">
        <v>2377</v>
      </c>
      <c r="H11" s="125" t="s">
        <v>2378</v>
      </c>
      <c r="I11" s="126" t="s">
        <v>1797</v>
      </c>
      <c r="J11" s="127" t="str">
        <f t="shared" si="1"/>
        <v>PE25-010</v>
      </c>
      <c r="K11" s="128">
        <v>45677.0</v>
      </c>
      <c r="L11" s="129"/>
      <c r="M11" s="129" t="s">
        <v>58</v>
      </c>
      <c r="N11" s="137" t="s">
        <v>1745</v>
      </c>
      <c r="O11" s="137" t="s">
        <v>2379</v>
      </c>
      <c r="P11" s="130" t="s">
        <v>59</v>
      </c>
      <c r="Q11" s="131">
        <v>8.920559E7</v>
      </c>
      <c r="R11" s="132"/>
      <c r="S11" s="132">
        <f t="shared" si="2"/>
        <v>89205590</v>
      </c>
      <c r="T11" s="133">
        <f t="shared" si="3"/>
        <v>9812614.9</v>
      </c>
      <c r="U11" s="132">
        <f t="shared" si="4"/>
        <v>99018204.9</v>
      </c>
      <c r="V11" s="130"/>
      <c r="W11" s="124" t="s">
        <v>1925</v>
      </c>
      <c r="X11" s="134"/>
      <c r="Y11" s="135" t="str">
        <f>VLOOKUP(J11,[1]TARIKANMYSAP!$H$2:$K$1013,4,FALSE)</f>
        <v>#ERROR!</v>
      </c>
      <c r="Z11" s="136" t="str">
        <f t="shared" si="5"/>
        <v>PE25-010</v>
      </c>
      <c r="AA11" s="137"/>
      <c r="AB11" s="137"/>
    </row>
    <row r="12" ht="12.0" customHeight="1">
      <c r="A12" s="111"/>
      <c r="F12" s="123">
        <v>11.0</v>
      </c>
      <c r="G12" s="124" t="s">
        <v>2377</v>
      </c>
      <c r="H12" s="125" t="s">
        <v>2378</v>
      </c>
      <c r="I12" s="126" t="s">
        <v>1803</v>
      </c>
      <c r="J12" s="127" t="str">
        <f t="shared" si="1"/>
        <v>PE25-011</v>
      </c>
      <c r="K12" s="128">
        <v>45677.0</v>
      </c>
      <c r="L12" s="129"/>
      <c r="M12" s="129" t="s">
        <v>63</v>
      </c>
      <c r="N12" s="137" t="s">
        <v>1745</v>
      </c>
      <c r="O12" s="137" t="s">
        <v>2379</v>
      </c>
      <c r="P12" s="130" t="s">
        <v>2385</v>
      </c>
      <c r="Q12" s="131">
        <v>9.756E7</v>
      </c>
      <c r="R12" s="132"/>
      <c r="S12" s="132">
        <f t="shared" si="2"/>
        <v>97560000</v>
      </c>
      <c r="T12" s="133">
        <f t="shared" si="3"/>
        <v>10731600</v>
      </c>
      <c r="U12" s="132">
        <f t="shared" si="4"/>
        <v>108291600</v>
      </c>
      <c r="V12" s="130"/>
      <c r="W12" s="124" t="s">
        <v>1925</v>
      </c>
      <c r="X12" s="134"/>
      <c r="Y12" s="135" t="str">
        <f>VLOOKUP(J12,[1]TARIKANMYSAP!$H$2:$K$1013,4,FALSE)</f>
        <v>#ERROR!</v>
      </c>
      <c r="Z12" s="136" t="str">
        <f t="shared" si="5"/>
        <v>PE25-011</v>
      </c>
      <c r="AA12" s="137"/>
      <c r="AB12" s="137"/>
    </row>
    <row r="13" ht="12.0" customHeight="1">
      <c r="A13" s="111"/>
      <c r="F13" s="123">
        <v>12.0</v>
      </c>
      <c r="G13" s="124" t="s">
        <v>2377</v>
      </c>
      <c r="H13" s="125" t="s">
        <v>2378</v>
      </c>
      <c r="I13" s="126" t="s">
        <v>1807</v>
      </c>
      <c r="J13" s="127" t="str">
        <f t="shared" si="1"/>
        <v>PE25-012</v>
      </c>
      <c r="K13" s="128">
        <v>45679.0</v>
      </c>
      <c r="L13" s="129"/>
      <c r="M13" s="129"/>
      <c r="N13" s="124" t="s">
        <v>1752</v>
      </c>
      <c r="O13" s="124" t="s">
        <v>2381</v>
      </c>
      <c r="P13" s="130" t="s">
        <v>69</v>
      </c>
      <c r="Q13" s="131">
        <v>5571428.0</v>
      </c>
      <c r="R13" s="132"/>
      <c r="S13" s="132">
        <f t="shared" si="2"/>
        <v>5571428</v>
      </c>
      <c r="T13" s="133">
        <f t="shared" si="3"/>
        <v>612857.08</v>
      </c>
      <c r="U13" s="132">
        <f t="shared" si="4"/>
        <v>6184285.08</v>
      </c>
      <c r="V13" s="130"/>
      <c r="W13" s="124" t="s">
        <v>2382</v>
      </c>
      <c r="X13" s="134"/>
      <c r="Y13" s="135" t="str">
        <f>VLOOKUP(J13,[1]TARIKANMYSAP!$H$2:$K$1013,4,FALSE)</f>
        <v>#ERROR!</v>
      </c>
      <c r="Z13" s="136" t="str">
        <f t="shared" si="5"/>
        <v>PE25-012</v>
      </c>
      <c r="AA13" s="137"/>
      <c r="AB13" s="137"/>
    </row>
    <row r="14" ht="12.0" customHeight="1">
      <c r="A14" s="111"/>
      <c r="F14" s="123">
        <v>13.0</v>
      </c>
      <c r="G14" s="124" t="s">
        <v>2377</v>
      </c>
      <c r="H14" s="125" t="s">
        <v>2378</v>
      </c>
      <c r="I14" s="125" t="s">
        <v>1811</v>
      </c>
      <c r="J14" s="127" t="str">
        <f t="shared" si="1"/>
        <v>PE25-013</v>
      </c>
      <c r="K14" s="128">
        <v>45679.0</v>
      </c>
      <c r="L14" s="129"/>
      <c r="M14" s="129"/>
      <c r="N14" s="124" t="s">
        <v>1752</v>
      </c>
      <c r="O14" s="124" t="s">
        <v>2381</v>
      </c>
      <c r="P14" s="130" t="s">
        <v>72</v>
      </c>
      <c r="Q14" s="150">
        <v>1.4183671E7</v>
      </c>
      <c r="R14" s="132">
        <f t="shared" ref="R14:R16" si="6">Q14*12%</f>
        <v>1702040.52</v>
      </c>
      <c r="S14" s="132">
        <f t="shared" si="2"/>
        <v>15885711.52</v>
      </c>
      <c r="T14" s="133">
        <f t="shared" si="3"/>
        <v>1747428.267</v>
      </c>
      <c r="U14" s="132">
        <f t="shared" si="4"/>
        <v>17633139.79</v>
      </c>
      <c r="V14" s="130"/>
      <c r="W14" s="124" t="s">
        <v>2382</v>
      </c>
      <c r="X14" s="134"/>
      <c r="Y14" s="135" t="str">
        <f>VLOOKUP(J14,[1]TARIKANMYSAP!$H$2:$K$1013,4,FALSE)</f>
        <v>#ERROR!</v>
      </c>
      <c r="Z14" s="136" t="str">
        <f t="shared" si="5"/>
        <v>PE25-013</v>
      </c>
      <c r="AA14" s="137"/>
      <c r="AB14" s="137"/>
    </row>
    <row r="15" ht="12.0" customHeight="1">
      <c r="A15" s="111"/>
      <c r="F15" s="123">
        <v>14.0</v>
      </c>
      <c r="G15" s="124" t="s">
        <v>2377</v>
      </c>
      <c r="H15" s="125" t="s">
        <v>2378</v>
      </c>
      <c r="I15" s="126" t="s">
        <v>1814</v>
      </c>
      <c r="J15" s="127" t="str">
        <f t="shared" si="1"/>
        <v>PE25-014</v>
      </c>
      <c r="K15" s="128">
        <v>45679.0</v>
      </c>
      <c r="L15" s="129"/>
      <c r="M15" s="129"/>
      <c r="N15" s="124" t="s">
        <v>1752</v>
      </c>
      <c r="O15" s="124" t="s">
        <v>2381</v>
      </c>
      <c r="P15" s="130" t="s">
        <v>76</v>
      </c>
      <c r="Q15" s="131">
        <v>1.9387752E7</v>
      </c>
      <c r="R15" s="132">
        <f t="shared" si="6"/>
        <v>2326530.24</v>
      </c>
      <c r="S15" s="132">
        <f t="shared" si="2"/>
        <v>21714282.24</v>
      </c>
      <c r="T15" s="133">
        <f t="shared" si="3"/>
        <v>2388571.046</v>
      </c>
      <c r="U15" s="132">
        <f t="shared" si="4"/>
        <v>24102853.29</v>
      </c>
      <c r="V15" s="130"/>
      <c r="W15" s="124" t="s">
        <v>2382</v>
      </c>
      <c r="X15" s="134"/>
      <c r="Y15" s="135" t="str">
        <f>VLOOKUP(J15,[1]TARIKANMYSAP!$H$2:$K$1013,4,FALSE)</f>
        <v>#ERROR!</v>
      </c>
      <c r="Z15" s="136" t="str">
        <f t="shared" si="5"/>
        <v>PE25-014</v>
      </c>
      <c r="AA15" s="137"/>
      <c r="AB15" s="137"/>
    </row>
    <row r="16" ht="12.0" customHeight="1">
      <c r="A16" s="111"/>
      <c r="F16" s="123">
        <v>15.0</v>
      </c>
      <c r="G16" s="124" t="s">
        <v>2377</v>
      </c>
      <c r="H16" s="125" t="s">
        <v>2378</v>
      </c>
      <c r="I16" s="126" t="s">
        <v>1819</v>
      </c>
      <c r="J16" s="127" t="str">
        <f t="shared" si="1"/>
        <v>PE25-015</v>
      </c>
      <c r="K16" s="128">
        <v>45679.0</v>
      </c>
      <c r="L16" s="129"/>
      <c r="M16" s="129"/>
      <c r="N16" s="124" t="s">
        <v>1752</v>
      </c>
      <c r="O16" s="124" t="s">
        <v>2381</v>
      </c>
      <c r="P16" s="130" t="s">
        <v>80</v>
      </c>
      <c r="Q16" s="131">
        <v>1.0408159E7</v>
      </c>
      <c r="R16" s="132">
        <f t="shared" si="6"/>
        <v>1248979.08</v>
      </c>
      <c r="S16" s="132">
        <f t="shared" si="2"/>
        <v>11657138.08</v>
      </c>
      <c r="T16" s="133">
        <f t="shared" si="3"/>
        <v>1282285.189</v>
      </c>
      <c r="U16" s="132">
        <f t="shared" si="4"/>
        <v>12939423.27</v>
      </c>
      <c r="V16" s="130"/>
      <c r="W16" s="124" t="s">
        <v>2382</v>
      </c>
      <c r="X16" s="134"/>
      <c r="Y16" s="135" t="str">
        <f>VLOOKUP(J16,[1]TARIKANMYSAP!$H$2:$K$1013,4,FALSE)</f>
        <v>#ERROR!</v>
      </c>
      <c r="Z16" s="136" t="str">
        <f t="shared" si="5"/>
        <v>PE25-015</v>
      </c>
      <c r="AA16" s="137"/>
      <c r="AB16" s="137"/>
    </row>
    <row r="17" ht="12.0" customHeight="1">
      <c r="A17" s="111"/>
      <c r="F17" s="123">
        <v>16.0</v>
      </c>
      <c r="G17" s="124" t="s">
        <v>2386</v>
      </c>
      <c r="H17" s="125" t="s">
        <v>2378</v>
      </c>
      <c r="I17" s="126" t="s">
        <v>1823</v>
      </c>
      <c r="J17" s="127" t="str">
        <f t="shared" si="1"/>
        <v>PE25-016</v>
      </c>
      <c r="K17" s="128">
        <v>45692.0</v>
      </c>
      <c r="L17" s="129"/>
      <c r="M17" s="129" t="s">
        <v>84</v>
      </c>
      <c r="N17" s="124" t="s">
        <v>1745</v>
      </c>
      <c r="O17" s="124" t="s">
        <v>2381</v>
      </c>
      <c r="P17" s="130" t="s">
        <v>85</v>
      </c>
      <c r="Q17" s="131">
        <v>9.3238087E7</v>
      </c>
      <c r="R17" s="132">
        <f>Q17*8.5%</f>
        <v>7925237.395</v>
      </c>
      <c r="S17" s="132">
        <f t="shared" si="2"/>
        <v>101163324.4</v>
      </c>
      <c r="T17" s="133">
        <f t="shared" si="3"/>
        <v>11127965.68</v>
      </c>
      <c r="U17" s="132">
        <f t="shared" si="4"/>
        <v>112291290.1</v>
      </c>
      <c r="V17" s="130"/>
      <c r="W17" s="124" t="s">
        <v>2382</v>
      </c>
      <c r="X17" s="134"/>
      <c r="Y17" s="135" t="str">
        <f>VLOOKUP(J17,[1]TARIKANMYSAP!$H$2:$K$1013,4,FALSE)</f>
        <v>#ERROR!</v>
      </c>
      <c r="Z17" s="136" t="str">
        <f t="shared" si="5"/>
        <v>PE25-016</v>
      </c>
      <c r="AA17" s="137"/>
      <c r="AB17" s="137"/>
    </row>
    <row r="18" ht="12.0" customHeight="1">
      <c r="A18" s="111"/>
      <c r="F18" s="123">
        <v>17.0</v>
      </c>
      <c r="G18" s="124" t="s">
        <v>2386</v>
      </c>
      <c r="H18" s="125" t="s">
        <v>2378</v>
      </c>
      <c r="I18" s="126" t="s">
        <v>1827</v>
      </c>
      <c r="J18" s="127" t="str">
        <f t="shared" si="1"/>
        <v>PE25-017</v>
      </c>
      <c r="K18" s="128">
        <v>45692.0</v>
      </c>
      <c r="L18" s="129"/>
      <c r="M18" s="129" t="s">
        <v>89</v>
      </c>
      <c r="N18" s="124" t="s">
        <v>1745</v>
      </c>
      <c r="O18" s="124" t="s">
        <v>2381</v>
      </c>
      <c r="P18" s="130" t="s">
        <v>90</v>
      </c>
      <c r="Q18" s="131">
        <v>4.3493817E7</v>
      </c>
      <c r="R18" s="132"/>
      <c r="S18" s="132">
        <f t="shared" si="2"/>
        <v>43493817</v>
      </c>
      <c r="T18" s="133">
        <f t="shared" si="3"/>
        <v>4784319.87</v>
      </c>
      <c r="U18" s="132">
        <f t="shared" si="4"/>
        <v>48278136.87</v>
      </c>
      <c r="V18" s="130"/>
      <c r="W18" s="124" t="s">
        <v>1780</v>
      </c>
      <c r="X18" s="134"/>
      <c r="Y18" s="135" t="str">
        <f>VLOOKUP(J18,[1]TARIKANMYSAP!$H$2:$K$1013,4,FALSE)</f>
        <v>#ERROR!</v>
      </c>
      <c r="Z18" s="136" t="str">
        <f t="shared" si="5"/>
        <v>PE25-017</v>
      </c>
      <c r="AA18" s="137"/>
      <c r="AB18" s="137"/>
    </row>
    <row r="19" ht="12.0" customHeight="1">
      <c r="A19" s="111"/>
      <c r="F19" s="123">
        <v>18.0</v>
      </c>
      <c r="G19" s="124" t="s">
        <v>2386</v>
      </c>
      <c r="H19" s="125" t="s">
        <v>2378</v>
      </c>
      <c r="I19" s="126" t="s">
        <v>1833</v>
      </c>
      <c r="J19" s="127" t="str">
        <f t="shared" si="1"/>
        <v>PE25-018</v>
      </c>
      <c r="K19" s="128">
        <v>45692.0</v>
      </c>
      <c r="L19" s="129"/>
      <c r="M19" s="129" t="s">
        <v>94</v>
      </c>
      <c r="N19" s="124" t="s">
        <v>1745</v>
      </c>
      <c r="O19" s="124" t="s">
        <v>2381</v>
      </c>
      <c r="P19" s="130" t="s">
        <v>95</v>
      </c>
      <c r="Q19" s="131">
        <v>4.645E7</v>
      </c>
      <c r="R19" s="132"/>
      <c r="S19" s="132">
        <f t="shared" si="2"/>
        <v>46450000</v>
      </c>
      <c r="T19" s="133">
        <f t="shared" si="3"/>
        <v>5109500</v>
      </c>
      <c r="U19" s="132">
        <f t="shared" si="4"/>
        <v>51559500</v>
      </c>
      <c r="V19" s="130"/>
      <c r="W19" s="124" t="s">
        <v>2382</v>
      </c>
      <c r="X19" s="134"/>
      <c r="Y19" s="135" t="str">
        <f>VLOOKUP(J19,[1]TARIKANMYSAP!$H$2:$K$1013,4,FALSE)</f>
        <v>#ERROR!</v>
      </c>
      <c r="Z19" s="136" t="str">
        <f t="shared" si="5"/>
        <v>PE25-018</v>
      </c>
      <c r="AA19" s="137"/>
      <c r="AB19" s="137"/>
    </row>
    <row r="20" ht="12.0" customHeight="1">
      <c r="A20" s="111"/>
      <c r="F20" s="123">
        <v>19.0</v>
      </c>
      <c r="G20" s="124" t="s">
        <v>2386</v>
      </c>
      <c r="H20" s="125" t="s">
        <v>2378</v>
      </c>
      <c r="I20" s="126" t="s">
        <v>1837</v>
      </c>
      <c r="J20" s="127" t="str">
        <f t="shared" si="1"/>
        <v>PE25-019</v>
      </c>
      <c r="K20" s="128">
        <v>45693.0</v>
      </c>
      <c r="L20" s="129"/>
      <c r="M20" s="129" t="s">
        <v>2387</v>
      </c>
      <c r="N20" s="124" t="s">
        <v>1745</v>
      </c>
      <c r="O20" s="124" t="s">
        <v>2381</v>
      </c>
      <c r="P20" s="130" t="s">
        <v>100</v>
      </c>
      <c r="Q20" s="131">
        <v>7.9330578E7</v>
      </c>
      <c r="R20" s="132">
        <f t="shared" ref="R20:R21" si="7">Q20*7.6%</f>
        <v>6029123.928</v>
      </c>
      <c r="S20" s="132">
        <f t="shared" si="2"/>
        <v>85359701.93</v>
      </c>
      <c r="T20" s="133">
        <f t="shared" si="3"/>
        <v>9389567.212</v>
      </c>
      <c r="U20" s="132">
        <f t="shared" si="4"/>
        <v>94749269.14</v>
      </c>
      <c r="V20" s="130"/>
      <c r="W20" s="124" t="s">
        <v>2388</v>
      </c>
      <c r="X20" s="134"/>
      <c r="Y20" s="135" t="str">
        <f>VLOOKUP(J20,[1]TARIKANMYSAP!$H$2:$K$1013,4,FALSE)</f>
        <v>#ERROR!</v>
      </c>
      <c r="Z20" s="136" t="str">
        <f t="shared" si="5"/>
        <v>PE25-019</v>
      </c>
      <c r="AA20" s="137"/>
      <c r="AB20" s="137"/>
    </row>
    <row r="21" ht="12.0" customHeight="1">
      <c r="A21" s="111"/>
      <c r="F21" s="123">
        <v>20.0</v>
      </c>
      <c r="G21" s="124" t="s">
        <v>2386</v>
      </c>
      <c r="H21" s="125" t="s">
        <v>2378</v>
      </c>
      <c r="I21" s="126" t="s">
        <v>1842</v>
      </c>
      <c r="J21" s="127" t="str">
        <f t="shared" si="1"/>
        <v>PE25-020</v>
      </c>
      <c r="K21" s="128">
        <v>45693.0</v>
      </c>
      <c r="L21" s="129"/>
      <c r="M21" s="129" t="s">
        <v>2387</v>
      </c>
      <c r="N21" s="124" t="s">
        <v>1745</v>
      </c>
      <c r="O21" s="124" t="s">
        <v>2381</v>
      </c>
      <c r="P21" s="130" t="s">
        <v>104</v>
      </c>
      <c r="Q21" s="131">
        <v>4.8975E7</v>
      </c>
      <c r="R21" s="132">
        <f t="shared" si="7"/>
        <v>3722100</v>
      </c>
      <c r="S21" s="132">
        <f t="shared" si="2"/>
        <v>52697100</v>
      </c>
      <c r="T21" s="133">
        <f t="shared" si="3"/>
        <v>5796681</v>
      </c>
      <c r="U21" s="132">
        <f t="shared" si="4"/>
        <v>58493781</v>
      </c>
      <c r="V21" s="130"/>
      <c r="W21" s="124" t="s">
        <v>2388</v>
      </c>
      <c r="X21" s="134"/>
      <c r="Y21" s="135" t="str">
        <f>VLOOKUP(J21,[1]TARIKANMYSAP!$H$2:$K$1013,4,FALSE)</f>
        <v>#ERROR!</v>
      </c>
      <c r="Z21" s="136" t="str">
        <f t="shared" si="5"/>
        <v>PE25-020</v>
      </c>
      <c r="AA21" s="137"/>
      <c r="AB21" s="137"/>
    </row>
    <row r="22" ht="12.0" customHeight="1">
      <c r="A22" s="111"/>
      <c r="F22" s="123">
        <v>21.0</v>
      </c>
      <c r="G22" s="124" t="s">
        <v>2386</v>
      </c>
      <c r="H22" s="125" t="s">
        <v>2378</v>
      </c>
      <c r="I22" s="126" t="s">
        <v>1846</v>
      </c>
      <c r="J22" s="127" t="str">
        <f t="shared" si="1"/>
        <v>PE25-021</v>
      </c>
      <c r="K22" s="128">
        <v>45695.0</v>
      </c>
      <c r="L22" s="151"/>
      <c r="M22" s="129" t="s">
        <v>2387</v>
      </c>
      <c r="N22" s="124" t="s">
        <v>1745</v>
      </c>
      <c r="O22" s="124" t="s">
        <v>2381</v>
      </c>
      <c r="P22" s="130" t="s">
        <v>108</v>
      </c>
      <c r="Q22" s="131">
        <v>2.3832858E7</v>
      </c>
      <c r="R22" s="132">
        <f>Q22*6.2%</f>
        <v>1477637.196</v>
      </c>
      <c r="S22" s="132">
        <f t="shared" si="2"/>
        <v>25310495.2</v>
      </c>
      <c r="T22" s="133">
        <f t="shared" si="3"/>
        <v>2784154.472</v>
      </c>
      <c r="U22" s="132">
        <f t="shared" si="4"/>
        <v>28094649.67</v>
      </c>
      <c r="V22" s="130"/>
      <c r="W22" s="124" t="s">
        <v>2388</v>
      </c>
      <c r="X22" s="134"/>
      <c r="Y22" s="135" t="str">
        <f>VLOOKUP(J22,[1]TARIKANMYSAP!$H$2:$K$1013,4,FALSE)</f>
        <v>#ERROR!</v>
      </c>
      <c r="Z22" s="136" t="str">
        <f t="shared" si="5"/>
        <v>PE25-021</v>
      </c>
      <c r="AA22" s="137"/>
      <c r="AB22" s="137"/>
    </row>
    <row r="23" ht="12.0" customHeight="1">
      <c r="A23" s="111"/>
      <c r="F23" s="123">
        <v>22.0</v>
      </c>
      <c r="G23" s="124" t="s">
        <v>2386</v>
      </c>
      <c r="H23" s="125" t="s">
        <v>2378</v>
      </c>
      <c r="I23" s="126" t="s">
        <v>1849</v>
      </c>
      <c r="J23" s="127" t="str">
        <f t="shared" si="1"/>
        <v>PE25-022</v>
      </c>
      <c r="K23" s="128">
        <v>45699.0</v>
      </c>
      <c r="L23" s="151"/>
      <c r="M23" s="129" t="s">
        <v>2387</v>
      </c>
      <c r="N23" s="124" t="s">
        <v>1745</v>
      </c>
      <c r="O23" s="124" t="s">
        <v>2381</v>
      </c>
      <c r="P23" s="130" t="s">
        <v>112</v>
      </c>
      <c r="Q23" s="131">
        <v>7392000.0</v>
      </c>
      <c r="R23" s="132"/>
      <c r="S23" s="132">
        <f t="shared" si="2"/>
        <v>7392000</v>
      </c>
      <c r="T23" s="133">
        <f t="shared" si="3"/>
        <v>813120</v>
      </c>
      <c r="U23" s="132">
        <f t="shared" si="4"/>
        <v>8205120</v>
      </c>
      <c r="V23" s="130"/>
      <c r="W23" s="124" t="s">
        <v>2388</v>
      </c>
      <c r="X23" s="134"/>
      <c r="Y23" s="135" t="str">
        <f>VLOOKUP(J23,[1]TARIKANMYSAP!$H$2:$K$1013,4,FALSE)</f>
        <v>#ERROR!</v>
      </c>
      <c r="Z23" s="136" t="str">
        <f t="shared" si="5"/>
        <v>PE25-022</v>
      </c>
      <c r="AA23" s="137"/>
      <c r="AB23" s="137"/>
    </row>
    <row r="24" ht="12.0" customHeight="1">
      <c r="A24" s="111"/>
      <c r="F24" s="123">
        <v>23.0</v>
      </c>
      <c r="G24" s="124" t="s">
        <v>2386</v>
      </c>
      <c r="H24" s="125" t="s">
        <v>2378</v>
      </c>
      <c r="I24" s="126" t="s">
        <v>1853</v>
      </c>
      <c r="J24" s="127" t="str">
        <f t="shared" si="1"/>
        <v>PE25-023</v>
      </c>
      <c r="K24" s="128">
        <v>45699.0</v>
      </c>
      <c r="L24" s="129"/>
      <c r="M24" s="129" t="s">
        <v>2387</v>
      </c>
      <c r="N24" s="124" t="s">
        <v>1745</v>
      </c>
      <c r="O24" s="124" t="s">
        <v>2381</v>
      </c>
      <c r="P24" s="130" t="s">
        <v>115</v>
      </c>
      <c r="Q24" s="131">
        <v>7392000.0</v>
      </c>
      <c r="R24" s="132"/>
      <c r="S24" s="132">
        <f t="shared" si="2"/>
        <v>7392000</v>
      </c>
      <c r="T24" s="133">
        <f t="shared" si="3"/>
        <v>813120</v>
      </c>
      <c r="U24" s="132">
        <f t="shared" si="4"/>
        <v>8205120</v>
      </c>
      <c r="V24" s="130"/>
      <c r="W24" s="124" t="s">
        <v>2388</v>
      </c>
      <c r="X24" s="134"/>
      <c r="Y24" s="135" t="str">
        <f>VLOOKUP(J24,[1]TARIKANMYSAP!$H$2:$K$1013,4,FALSE)</f>
        <v>#ERROR!</v>
      </c>
      <c r="Z24" s="136" t="str">
        <f t="shared" si="5"/>
        <v>PE25-023</v>
      </c>
      <c r="AA24" s="137"/>
      <c r="AB24" s="137"/>
    </row>
    <row r="25" ht="12.0" customHeight="1">
      <c r="A25" s="111"/>
      <c r="F25" s="123">
        <v>24.0</v>
      </c>
      <c r="G25" s="124" t="s">
        <v>2386</v>
      </c>
      <c r="H25" s="125" t="s">
        <v>2378</v>
      </c>
      <c r="I25" s="126" t="s">
        <v>1856</v>
      </c>
      <c r="J25" s="127" t="str">
        <f t="shared" si="1"/>
        <v>PE25-024</v>
      </c>
      <c r="K25" s="128">
        <v>45702.0</v>
      </c>
      <c r="L25" s="151"/>
      <c r="M25" s="151" t="s">
        <v>117</v>
      </c>
      <c r="N25" s="124" t="s">
        <v>1745</v>
      </c>
      <c r="O25" s="124" t="s">
        <v>2381</v>
      </c>
      <c r="P25" s="130" t="s">
        <v>118</v>
      </c>
      <c r="Q25" s="131">
        <v>3.02E7</v>
      </c>
      <c r="R25" s="132"/>
      <c r="S25" s="132">
        <f t="shared" si="2"/>
        <v>30200000</v>
      </c>
      <c r="T25" s="133">
        <f t="shared" si="3"/>
        <v>3322000</v>
      </c>
      <c r="U25" s="132">
        <f t="shared" si="4"/>
        <v>33522000</v>
      </c>
      <c r="V25" s="130"/>
      <c r="W25" s="124" t="s">
        <v>1764</v>
      </c>
      <c r="X25" s="134"/>
      <c r="Y25" s="135" t="str">
        <f>VLOOKUP(J25,[1]TARIKANMYSAP!$H$2:$K$1013,4,FALSE)</f>
        <v>#ERROR!</v>
      </c>
      <c r="Z25" s="136" t="str">
        <f t="shared" si="5"/>
        <v>PE25-024</v>
      </c>
      <c r="AA25" s="137"/>
      <c r="AB25" s="137"/>
    </row>
    <row r="26" ht="12.0" customHeight="1">
      <c r="A26" s="111"/>
      <c r="F26" s="123">
        <v>25.0</v>
      </c>
      <c r="G26" s="124" t="s">
        <v>2386</v>
      </c>
      <c r="H26" s="125" t="s">
        <v>2378</v>
      </c>
      <c r="I26" s="126" t="s">
        <v>1859</v>
      </c>
      <c r="J26" s="127" t="str">
        <f t="shared" si="1"/>
        <v>PE25-025</v>
      </c>
      <c r="K26" s="128">
        <v>45715.0</v>
      </c>
      <c r="L26" s="129"/>
      <c r="M26" s="151" t="s">
        <v>122</v>
      </c>
      <c r="N26" s="124" t="s">
        <v>1745</v>
      </c>
      <c r="O26" s="124" t="s">
        <v>2381</v>
      </c>
      <c r="P26" s="130" t="s">
        <v>123</v>
      </c>
      <c r="Q26" s="131">
        <v>1.8324539E8</v>
      </c>
      <c r="R26" s="132">
        <f>Q26*8.5%</f>
        <v>15575858.15</v>
      </c>
      <c r="S26" s="132">
        <f t="shared" si="2"/>
        <v>198821248.2</v>
      </c>
      <c r="T26" s="133">
        <f t="shared" si="3"/>
        <v>21870337.3</v>
      </c>
      <c r="U26" s="132">
        <f t="shared" si="4"/>
        <v>220691585.4</v>
      </c>
      <c r="V26" s="130"/>
      <c r="W26" s="124" t="s">
        <v>1747</v>
      </c>
      <c r="X26" s="134"/>
      <c r="Y26" s="135" t="str">
        <f>VLOOKUP(J26,[1]TARIKANMYSAP!$H$2:$K$1013,4,FALSE)</f>
        <v>#ERROR!</v>
      </c>
      <c r="Z26" s="136" t="str">
        <f t="shared" si="5"/>
        <v>PE25-025</v>
      </c>
      <c r="AA26" s="137"/>
      <c r="AB26" s="137"/>
    </row>
    <row r="27" ht="12.0" customHeight="1">
      <c r="A27" s="111"/>
      <c r="F27" s="123">
        <f t="shared" ref="F27:F516" si="8">F26+1</f>
        <v>26</v>
      </c>
      <c r="G27" s="124" t="s">
        <v>2386</v>
      </c>
      <c r="H27" s="125" t="s">
        <v>2378</v>
      </c>
      <c r="I27" s="126" t="s">
        <v>1866</v>
      </c>
      <c r="J27" s="127" t="str">
        <f t="shared" si="1"/>
        <v>PE25-026</v>
      </c>
      <c r="K27" s="128">
        <v>45707.0</v>
      </c>
      <c r="L27" s="151"/>
      <c r="M27" s="151" t="s">
        <v>127</v>
      </c>
      <c r="N27" s="124" t="s">
        <v>1745</v>
      </c>
      <c r="O27" s="124" t="s">
        <v>2379</v>
      </c>
      <c r="P27" s="130" t="s">
        <v>128</v>
      </c>
      <c r="Q27" s="131">
        <v>1.567552E8</v>
      </c>
      <c r="R27" s="132"/>
      <c r="S27" s="132">
        <f t="shared" si="2"/>
        <v>156755200</v>
      </c>
      <c r="T27" s="133">
        <f t="shared" si="3"/>
        <v>17243072</v>
      </c>
      <c r="U27" s="132">
        <f t="shared" si="4"/>
        <v>173998272</v>
      </c>
      <c r="V27" s="130"/>
      <c r="W27" s="124" t="s">
        <v>1925</v>
      </c>
      <c r="X27" s="134"/>
      <c r="Y27" s="135" t="str">
        <f>VLOOKUP(J27,[1]TARIKANMYSAP!$H$2:$K$1013,4,FALSE)</f>
        <v>#ERROR!</v>
      </c>
      <c r="Z27" s="136" t="str">
        <f t="shared" si="5"/>
        <v>PE25-026</v>
      </c>
      <c r="AA27" s="137"/>
      <c r="AB27" s="137"/>
    </row>
    <row r="28" ht="12.0" customHeight="1">
      <c r="A28" s="111"/>
      <c r="F28" s="123">
        <f t="shared" si="8"/>
        <v>27</v>
      </c>
      <c r="G28" s="124" t="s">
        <v>2386</v>
      </c>
      <c r="H28" s="125" t="s">
        <v>2378</v>
      </c>
      <c r="I28" s="126" t="s">
        <v>1869</v>
      </c>
      <c r="J28" s="127" t="str">
        <f t="shared" si="1"/>
        <v>PE25-027</v>
      </c>
      <c r="K28" s="128">
        <v>45707.0</v>
      </c>
      <c r="L28" s="129"/>
      <c r="M28" s="151" t="s">
        <v>132</v>
      </c>
      <c r="N28" s="124" t="s">
        <v>1745</v>
      </c>
      <c r="O28" s="124" t="s">
        <v>2379</v>
      </c>
      <c r="P28" s="130" t="s">
        <v>133</v>
      </c>
      <c r="Q28" s="131">
        <v>1.344E8</v>
      </c>
      <c r="R28" s="132"/>
      <c r="S28" s="132">
        <f t="shared" si="2"/>
        <v>134400000</v>
      </c>
      <c r="T28" s="133">
        <f t="shared" si="3"/>
        <v>14784000</v>
      </c>
      <c r="U28" s="132">
        <f t="shared" si="4"/>
        <v>149184000</v>
      </c>
      <c r="V28" s="130"/>
      <c r="W28" s="124" t="s">
        <v>1925</v>
      </c>
      <c r="X28" s="134"/>
      <c r="Y28" s="135" t="str">
        <f>VLOOKUP(J28,[1]TARIKANMYSAP!$H$2:$K$1013,4,FALSE)</f>
        <v>#ERROR!</v>
      </c>
      <c r="Z28" s="136" t="str">
        <f t="shared" si="5"/>
        <v>PE25-027</v>
      </c>
      <c r="AA28" s="137"/>
      <c r="AB28" s="137"/>
    </row>
    <row r="29" ht="12.0" customHeight="1">
      <c r="A29" s="111"/>
      <c r="F29" s="123">
        <f t="shared" si="8"/>
        <v>28</v>
      </c>
      <c r="G29" s="124" t="s">
        <v>2389</v>
      </c>
      <c r="H29" s="125" t="s">
        <v>2378</v>
      </c>
      <c r="I29" s="126" t="s">
        <v>1871</v>
      </c>
      <c r="J29" s="127" t="str">
        <f t="shared" si="1"/>
        <v>PE25-028</v>
      </c>
      <c r="K29" s="128">
        <v>45719.0</v>
      </c>
      <c r="L29" s="129"/>
      <c r="M29" s="129" t="s">
        <v>2390</v>
      </c>
      <c r="N29" s="124" t="s">
        <v>1752</v>
      </c>
      <c r="O29" s="124" t="s">
        <v>2381</v>
      </c>
      <c r="P29" s="130" t="s">
        <v>138</v>
      </c>
      <c r="Q29" s="131">
        <v>4081632.0</v>
      </c>
      <c r="R29" s="132">
        <f t="shared" ref="R29:R31" si="9">Q29*12%</f>
        <v>489795.84</v>
      </c>
      <c r="S29" s="132">
        <f t="shared" si="2"/>
        <v>4571427.84</v>
      </c>
      <c r="T29" s="133">
        <f t="shared" si="3"/>
        <v>502857.0624</v>
      </c>
      <c r="U29" s="132">
        <f t="shared" si="4"/>
        <v>5074284.902</v>
      </c>
      <c r="V29" s="130"/>
      <c r="W29" s="124" t="s">
        <v>1747</v>
      </c>
      <c r="X29" s="134"/>
      <c r="Y29" s="135" t="str">
        <f>VLOOKUP(J29,[1]TARIKANMYSAP!$H$2:$K$1013,4,FALSE)</f>
        <v>#ERROR!</v>
      </c>
      <c r="Z29" s="136" t="str">
        <f t="shared" si="5"/>
        <v>PE25-028</v>
      </c>
      <c r="AA29" s="137"/>
      <c r="AB29" s="137"/>
    </row>
    <row r="30" ht="12.0" customHeight="1">
      <c r="A30" s="111"/>
      <c r="F30" s="123">
        <f t="shared" si="8"/>
        <v>29</v>
      </c>
      <c r="G30" s="124" t="s">
        <v>2389</v>
      </c>
      <c r="H30" s="125" t="s">
        <v>2378</v>
      </c>
      <c r="I30" s="126" t="s">
        <v>1872</v>
      </c>
      <c r="J30" s="127" t="str">
        <f t="shared" si="1"/>
        <v>PE25-029</v>
      </c>
      <c r="K30" s="128">
        <v>45719.0</v>
      </c>
      <c r="L30" s="129"/>
      <c r="M30" s="129" t="s">
        <v>2390</v>
      </c>
      <c r="N30" s="124" t="s">
        <v>1752</v>
      </c>
      <c r="O30" s="124" t="s">
        <v>2381</v>
      </c>
      <c r="P30" s="130" t="s">
        <v>141</v>
      </c>
      <c r="Q30" s="131">
        <v>2857142.0</v>
      </c>
      <c r="R30" s="132">
        <f t="shared" si="9"/>
        <v>342857.04</v>
      </c>
      <c r="S30" s="132">
        <f t="shared" si="2"/>
        <v>3199999.04</v>
      </c>
      <c r="T30" s="133">
        <f t="shared" si="3"/>
        <v>351999.8944</v>
      </c>
      <c r="U30" s="132">
        <f t="shared" si="4"/>
        <v>3551998.934</v>
      </c>
      <c r="V30" s="130"/>
      <c r="W30" s="124" t="s">
        <v>1747</v>
      </c>
      <c r="X30" s="134"/>
      <c r="Y30" s="135" t="str">
        <f>VLOOKUP(J30,[1]TARIKANMYSAP!$H$2:$K$1013,4,FALSE)</f>
        <v>#ERROR!</v>
      </c>
      <c r="Z30" s="136" t="str">
        <f t="shared" si="5"/>
        <v>PE25-029</v>
      </c>
      <c r="AA30" s="137"/>
      <c r="AB30" s="137"/>
    </row>
    <row r="31" ht="12.0" customHeight="1">
      <c r="A31" s="111"/>
      <c r="F31" s="123">
        <f t="shared" si="8"/>
        <v>30</v>
      </c>
      <c r="G31" s="124" t="s">
        <v>2389</v>
      </c>
      <c r="H31" s="125" t="s">
        <v>2378</v>
      </c>
      <c r="I31" s="126" t="s">
        <v>1875</v>
      </c>
      <c r="J31" s="127" t="str">
        <f t="shared" si="1"/>
        <v>PE25-030</v>
      </c>
      <c r="K31" s="128">
        <v>45719.0</v>
      </c>
      <c r="L31" s="151"/>
      <c r="M31" s="129" t="s">
        <v>2390</v>
      </c>
      <c r="N31" s="124" t="s">
        <v>1752</v>
      </c>
      <c r="O31" s="124" t="s">
        <v>2381</v>
      </c>
      <c r="P31" s="130" t="s">
        <v>144</v>
      </c>
      <c r="Q31" s="131">
        <v>2857142.0</v>
      </c>
      <c r="R31" s="132">
        <f t="shared" si="9"/>
        <v>342857.04</v>
      </c>
      <c r="S31" s="132">
        <f t="shared" si="2"/>
        <v>3199999.04</v>
      </c>
      <c r="T31" s="133">
        <f t="shared" si="3"/>
        <v>351999.8944</v>
      </c>
      <c r="U31" s="132">
        <f t="shared" si="4"/>
        <v>3551998.934</v>
      </c>
      <c r="V31" s="130"/>
      <c r="W31" s="124" t="s">
        <v>1747</v>
      </c>
      <c r="X31" s="134"/>
      <c r="Y31" s="135" t="str">
        <f>VLOOKUP(J31,[1]TARIKANMYSAP!$H$2:$K$1013,4,FALSE)</f>
        <v>#ERROR!</v>
      </c>
      <c r="Z31" s="136" t="str">
        <f t="shared" si="5"/>
        <v>PE25-030</v>
      </c>
      <c r="AA31" s="137"/>
      <c r="AB31" s="137"/>
    </row>
    <row r="32" ht="12.0" customHeight="1">
      <c r="A32" s="111"/>
      <c r="F32" s="123">
        <f t="shared" si="8"/>
        <v>31</v>
      </c>
      <c r="G32" s="124" t="s">
        <v>2389</v>
      </c>
      <c r="H32" s="125" t="s">
        <v>2378</v>
      </c>
      <c r="I32" s="126" t="s">
        <v>1877</v>
      </c>
      <c r="J32" s="127" t="str">
        <f t="shared" si="1"/>
        <v>PE25-031</v>
      </c>
      <c r="K32" s="128">
        <v>45720.0</v>
      </c>
      <c r="L32" s="129"/>
      <c r="M32" s="129" t="s">
        <v>94</v>
      </c>
      <c r="N32" s="124" t="s">
        <v>1745</v>
      </c>
      <c r="O32" s="124" t="s">
        <v>2381</v>
      </c>
      <c r="P32" s="130" t="s">
        <v>146</v>
      </c>
      <c r="Q32" s="131">
        <v>5.086272E7</v>
      </c>
      <c r="R32" s="132"/>
      <c r="S32" s="132">
        <f t="shared" si="2"/>
        <v>50862720</v>
      </c>
      <c r="T32" s="133">
        <f t="shared" si="3"/>
        <v>5594899.2</v>
      </c>
      <c r="U32" s="132">
        <f t="shared" si="4"/>
        <v>56457619.2</v>
      </c>
      <c r="V32" s="130"/>
      <c r="W32" s="124" t="s">
        <v>1747</v>
      </c>
      <c r="X32" s="134"/>
      <c r="Y32" s="135" t="str">
        <f>VLOOKUP(J32,[1]TARIKANMYSAP!$H$2:$K$1013,4,FALSE)</f>
        <v>#ERROR!</v>
      </c>
      <c r="Z32" s="136" t="str">
        <f t="shared" si="5"/>
        <v>PE25-031</v>
      </c>
      <c r="AA32" s="137"/>
      <c r="AB32" s="137"/>
    </row>
    <row r="33" ht="12.0" customHeight="1">
      <c r="A33" s="111"/>
      <c r="F33" s="123">
        <f t="shared" si="8"/>
        <v>32</v>
      </c>
      <c r="G33" s="124" t="s">
        <v>2389</v>
      </c>
      <c r="H33" s="125" t="s">
        <v>2378</v>
      </c>
      <c r="I33" s="126" t="s">
        <v>1880</v>
      </c>
      <c r="J33" s="127" t="str">
        <f t="shared" si="1"/>
        <v>PE25-032</v>
      </c>
      <c r="K33" s="128">
        <v>45721.0</v>
      </c>
      <c r="L33" s="129"/>
      <c r="M33" s="129" t="s">
        <v>150</v>
      </c>
      <c r="N33" s="124" t="s">
        <v>1745</v>
      </c>
      <c r="O33" s="124" t="s">
        <v>2379</v>
      </c>
      <c r="P33" s="130" t="s">
        <v>2391</v>
      </c>
      <c r="Q33" s="131">
        <v>3.472E7</v>
      </c>
      <c r="R33" s="132"/>
      <c r="S33" s="132">
        <f t="shared" si="2"/>
        <v>34720000</v>
      </c>
      <c r="T33" s="133">
        <f t="shared" si="3"/>
        <v>3819200</v>
      </c>
      <c r="U33" s="132">
        <f t="shared" si="4"/>
        <v>38539200</v>
      </c>
      <c r="V33" s="130"/>
      <c r="W33" s="124" t="s">
        <v>1925</v>
      </c>
      <c r="X33" s="134"/>
      <c r="Y33" s="135" t="str">
        <f>VLOOKUP(J33,[1]TARIKANMYSAP!$H$2:$K$1013,4,FALSE)</f>
        <v>#ERROR!</v>
      </c>
      <c r="Z33" s="136" t="str">
        <f t="shared" si="5"/>
        <v>PE25-032</v>
      </c>
      <c r="AA33" s="137"/>
      <c r="AB33" s="137"/>
    </row>
    <row r="34" ht="12.0" customHeight="1">
      <c r="A34" s="111"/>
      <c r="F34" s="123">
        <f t="shared" si="8"/>
        <v>33</v>
      </c>
      <c r="G34" s="124" t="s">
        <v>2389</v>
      </c>
      <c r="H34" s="125" t="s">
        <v>2378</v>
      </c>
      <c r="I34" s="126" t="s">
        <v>1884</v>
      </c>
      <c r="J34" s="127" t="str">
        <f t="shared" si="1"/>
        <v>PE25-033</v>
      </c>
      <c r="K34" s="128">
        <v>45722.0</v>
      </c>
      <c r="L34" s="129"/>
      <c r="M34" s="129" t="s">
        <v>2387</v>
      </c>
      <c r="N34" s="124" t="s">
        <v>1745</v>
      </c>
      <c r="O34" s="124" t="s">
        <v>2381</v>
      </c>
      <c r="P34" s="130" t="s">
        <v>155</v>
      </c>
      <c r="Q34" s="131">
        <v>7.9403788E7</v>
      </c>
      <c r="R34" s="132">
        <f>Q34*7.6%</f>
        <v>6034687.888</v>
      </c>
      <c r="S34" s="132">
        <f t="shared" si="2"/>
        <v>85438475.89</v>
      </c>
      <c r="T34" s="133">
        <f t="shared" si="3"/>
        <v>9398232.348</v>
      </c>
      <c r="U34" s="132">
        <f t="shared" si="4"/>
        <v>94836708.24</v>
      </c>
      <c r="V34" s="130"/>
      <c r="W34" s="124" t="s">
        <v>2388</v>
      </c>
      <c r="X34" s="134"/>
      <c r="Y34" s="135" t="str">
        <f>VLOOKUP(J34,[1]TARIKANMYSAP!$H$2:$K$1013,4,FALSE)</f>
        <v>#ERROR!</v>
      </c>
      <c r="Z34" s="136" t="str">
        <f t="shared" si="5"/>
        <v>PE25-033</v>
      </c>
      <c r="AA34" s="137"/>
      <c r="AB34" s="137"/>
    </row>
    <row r="35" ht="12.0" customHeight="1">
      <c r="A35" s="111"/>
      <c r="F35" s="123">
        <f t="shared" si="8"/>
        <v>34</v>
      </c>
      <c r="G35" s="124" t="s">
        <v>2389</v>
      </c>
      <c r="H35" s="125" t="s">
        <v>2378</v>
      </c>
      <c r="I35" s="126" t="s">
        <v>1887</v>
      </c>
      <c r="J35" s="127" t="str">
        <f t="shared" si="1"/>
        <v>PE25-034</v>
      </c>
      <c r="K35" s="128">
        <v>45722.0</v>
      </c>
      <c r="L35" s="129"/>
      <c r="M35" s="129" t="s">
        <v>2387</v>
      </c>
      <c r="N35" s="124" t="s">
        <v>1745</v>
      </c>
      <c r="O35" s="124" t="s">
        <v>2381</v>
      </c>
      <c r="P35" s="130" t="s">
        <v>159</v>
      </c>
      <c r="Q35" s="131">
        <v>2.3779169E7</v>
      </c>
      <c r="R35" s="132">
        <f>Q35*6.2%</f>
        <v>1474308.478</v>
      </c>
      <c r="S35" s="132">
        <f t="shared" si="2"/>
        <v>25253477.48</v>
      </c>
      <c r="T35" s="133">
        <f t="shared" si="3"/>
        <v>2777882.523</v>
      </c>
      <c r="U35" s="132">
        <f t="shared" si="4"/>
        <v>28031360</v>
      </c>
      <c r="V35" s="130"/>
      <c r="W35" s="124" t="s">
        <v>2388</v>
      </c>
      <c r="X35" s="134"/>
      <c r="Y35" s="135" t="str">
        <f>VLOOKUP(J35,[1]TARIKANMYSAP!$H$2:$K$1013,4,FALSE)</f>
        <v>#ERROR!</v>
      </c>
      <c r="Z35" s="136" t="str">
        <f t="shared" si="5"/>
        <v>PE25-034</v>
      </c>
      <c r="AA35" s="137"/>
      <c r="AB35" s="137"/>
    </row>
    <row r="36" ht="12.0" customHeight="1">
      <c r="A36" s="111"/>
      <c r="F36" s="123">
        <f t="shared" si="8"/>
        <v>35</v>
      </c>
      <c r="G36" s="124" t="s">
        <v>2389</v>
      </c>
      <c r="H36" s="125" t="s">
        <v>2378</v>
      </c>
      <c r="I36" s="126" t="s">
        <v>1890</v>
      </c>
      <c r="J36" s="127" t="str">
        <f t="shared" si="1"/>
        <v>PE25-035</v>
      </c>
      <c r="K36" s="128">
        <v>45723.0</v>
      </c>
      <c r="L36" s="129"/>
      <c r="M36" s="129" t="s">
        <v>2387</v>
      </c>
      <c r="N36" s="124" t="s">
        <v>1745</v>
      </c>
      <c r="O36" s="124" t="s">
        <v>2381</v>
      </c>
      <c r="P36" s="130" t="s">
        <v>163</v>
      </c>
      <c r="Q36" s="131">
        <v>7392000.0</v>
      </c>
      <c r="R36" s="132"/>
      <c r="S36" s="132">
        <f t="shared" si="2"/>
        <v>7392000</v>
      </c>
      <c r="T36" s="133">
        <f t="shared" si="3"/>
        <v>813120</v>
      </c>
      <c r="U36" s="132">
        <f t="shared" si="4"/>
        <v>8205120</v>
      </c>
      <c r="V36" s="130"/>
      <c r="W36" s="124" t="s">
        <v>2388</v>
      </c>
      <c r="X36" s="134"/>
      <c r="Y36" s="135" t="str">
        <f>VLOOKUP(J36,[1]TARIKANMYSAP!$H$2:$K$1013,4,FALSE)</f>
        <v>#ERROR!</v>
      </c>
      <c r="Z36" s="136" t="str">
        <f t="shared" si="5"/>
        <v>PE25-035</v>
      </c>
      <c r="AA36" s="137"/>
      <c r="AB36" s="137"/>
    </row>
    <row r="37" ht="12.0" customHeight="1">
      <c r="A37" s="111"/>
      <c r="F37" s="123">
        <f t="shared" si="8"/>
        <v>36</v>
      </c>
      <c r="G37" s="124" t="s">
        <v>2389</v>
      </c>
      <c r="H37" s="125" t="s">
        <v>2378</v>
      </c>
      <c r="I37" s="126" t="s">
        <v>1892</v>
      </c>
      <c r="J37" s="127" t="str">
        <f t="shared" si="1"/>
        <v>PE25-036</v>
      </c>
      <c r="K37" s="128">
        <v>45727.0</v>
      </c>
      <c r="L37" s="129"/>
      <c r="M37" s="129" t="s">
        <v>1828</v>
      </c>
      <c r="N37" s="124" t="s">
        <v>1745</v>
      </c>
      <c r="O37" s="124" t="s">
        <v>2379</v>
      </c>
      <c r="P37" s="130" t="s">
        <v>166</v>
      </c>
      <c r="Q37" s="131">
        <v>9.6157376E7</v>
      </c>
      <c r="R37" s="132"/>
      <c r="S37" s="132">
        <f t="shared" si="2"/>
        <v>96157376</v>
      </c>
      <c r="T37" s="133">
        <f t="shared" si="3"/>
        <v>10577311.36</v>
      </c>
      <c r="U37" s="132">
        <f t="shared" si="4"/>
        <v>106734687.4</v>
      </c>
      <c r="V37" s="130"/>
      <c r="W37" s="124" t="s">
        <v>1925</v>
      </c>
      <c r="X37" s="134"/>
      <c r="Y37" s="135" t="str">
        <f>VLOOKUP(J37,[1]TARIKANMYSAP!$H$2:$K$1013,4,FALSE)</f>
        <v>#ERROR!</v>
      </c>
      <c r="Z37" s="136" t="str">
        <f t="shared" si="5"/>
        <v>PE25-036</v>
      </c>
      <c r="AA37" s="137"/>
      <c r="AB37" s="137"/>
    </row>
    <row r="38" ht="12.0" customHeight="1">
      <c r="A38" s="111"/>
      <c r="F38" s="123">
        <f t="shared" si="8"/>
        <v>37</v>
      </c>
      <c r="G38" s="124" t="s">
        <v>2389</v>
      </c>
      <c r="H38" s="125" t="s">
        <v>2378</v>
      </c>
      <c r="I38" s="126" t="s">
        <v>1895</v>
      </c>
      <c r="J38" s="127" t="str">
        <f t="shared" si="1"/>
        <v>PE25-037</v>
      </c>
      <c r="K38" s="128">
        <v>45727.0</v>
      </c>
      <c r="L38" s="129"/>
      <c r="M38" s="129" t="s">
        <v>170</v>
      </c>
      <c r="N38" s="124" t="s">
        <v>1745</v>
      </c>
      <c r="O38" s="124" t="s">
        <v>2379</v>
      </c>
      <c r="P38" s="130" t="s">
        <v>171</v>
      </c>
      <c r="Q38" s="131">
        <v>2.016E7</v>
      </c>
      <c r="R38" s="132"/>
      <c r="S38" s="132">
        <f t="shared" si="2"/>
        <v>20160000</v>
      </c>
      <c r="T38" s="133">
        <f t="shared" si="3"/>
        <v>2217600</v>
      </c>
      <c r="U38" s="132">
        <f t="shared" si="4"/>
        <v>22377600</v>
      </c>
      <c r="V38" s="130"/>
      <c r="W38" s="124" t="s">
        <v>1925</v>
      </c>
      <c r="X38" s="134"/>
      <c r="Y38" s="135" t="str">
        <f>VLOOKUP(J38,[1]TARIKANMYSAP!$H$2:$K$1013,4,FALSE)</f>
        <v>#ERROR!</v>
      </c>
      <c r="Z38" s="136" t="str">
        <f t="shared" si="5"/>
        <v>PE25-037</v>
      </c>
      <c r="AA38" s="137"/>
      <c r="AB38" s="137"/>
    </row>
    <row r="39" ht="12.0" customHeight="1">
      <c r="A39" s="111"/>
      <c r="F39" s="123">
        <f t="shared" si="8"/>
        <v>38</v>
      </c>
      <c r="G39" s="124" t="s">
        <v>2389</v>
      </c>
      <c r="H39" s="125" t="s">
        <v>2378</v>
      </c>
      <c r="I39" s="126" t="s">
        <v>1897</v>
      </c>
      <c r="J39" s="127" t="str">
        <f t="shared" si="1"/>
        <v>PE25-038</v>
      </c>
      <c r="K39" s="128">
        <v>45727.0</v>
      </c>
      <c r="L39" s="129"/>
      <c r="M39" s="129" t="s">
        <v>2387</v>
      </c>
      <c r="N39" s="124" t="s">
        <v>1745</v>
      </c>
      <c r="O39" s="124"/>
      <c r="P39" s="130" t="s">
        <v>175</v>
      </c>
      <c r="Q39" s="131">
        <v>5.1494328E7</v>
      </c>
      <c r="R39" s="132">
        <f>Q39*7.6%</f>
        <v>3913568.928</v>
      </c>
      <c r="S39" s="132">
        <f t="shared" si="2"/>
        <v>55407896.93</v>
      </c>
      <c r="T39" s="133">
        <f t="shared" si="3"/>
        <v>6094868.662</v>
      </c>
      <c r="U39" s="132">
        <f t="shared" si="4"/>
        <v>61502765.59</v>
      </c>
      <c r="V39" s="130"/>
      <c r="W39" s="124" t="s">
        <v>2388</v>
      </c>
      <c r="X39" s="134"/>
      <c r="Y39" s="135" t="str">
        <f>VLOOKUP(J39,[1]TARIKANMYSAP!$H$2:$K$1013,4,FALSE)</f>
        <v>#ERROR!</v>
      </c>
      <c r="Z39" s="136" t="str">
        <f t="shared" si="5"/>
        <v>PE25-038</v>
      </c>
      <c r="AA39" s="137"/>
      <c r="AB39" s="137"/>
    </row>
    <row r="40" ht="12.0" customHeight="1">
      <c r="A40" s="111"/>
      <c r="F40" s="123">
        <f t="shared" si="8"/>
        <v>39</v>
      </c>
      <c r="G40" s="124" t="s">
        <v>2389</v>
      </c>
      <c r="H40" s="125" t="s">
        <v>2378</v>
      </c>
      <c r="I40" s="126" t="s">
        <v>1900</v>
      </c>
      <c r="J40" s="127" t="str">
        <f t="shared" si="1"/>
        <v>PE25-039</v>
      </c>
      <c r="K40" s="128">
        <v>45728.0</v>
      </c>
      <c r="L40" s="129"/>
      <c r="M40" s="129" t="s">
        <v>179</v>
      </c>
      <c r="N40" s="124" t="s">
        <v>1745</v>
      </c>
      <c r="O40" s="124" t="s">
        <v>2392</v>
      </c>
      <c r="P40" s="130" t="s">
        <v>180</v>
      </c>
      <c r="Q40" s="131">
        <v>9.4750254E7</v>
      </c>
      <c r="R40" s="132">
        <f>Q40*8.5%</f>
        <v>8053771.59</v>
      </c>
      <c r="S40" s="132">
        <f t="shared" si="2"/>
        <v>102804025.6</v>
      </c>
      <c r="T40" s="133">
        <f t="shared" si="3"/>
        <v>11308442.81</v>
      </c>
      <c r="U40" s="132">
        <f t="shared" si="4"/>
        <v>114112468.4</v>
      </c>
      <c r="V40" s="130"/>
      <c r="W40" s="124" t="s">
        <v>1747</v>
      </c>
      <c r="X40" s="134"/>
      <c r="Y40" s="135" t="str">
        <f>VLOOKUP(J40,[1]TARIKANMYSAP!$H$2:$K$1013,4,FALSE)</f>
        <v>#ERROR!</v>
      </c>
      <c r="Z40" s="136" t="str">
        <f t="shared" si="5"/>
        <v>PE25-039</v>
      </c>
      <c r="AA40" s="137"/>
      <c r="AB40" s="137"/>
    </row>
    <row r="41" ht="12.0" customHeight="1">
      <c r="A41" s="111"/>
      <c r="F41" s="123">
        <f t="shared" si="8"/>
        <v>40</v>
      </c>
      <c r="G41" s="124" t="s">
        <v>2389</v>
      </c>
      <c r="H41" s="125" t="s">
        <v>2378</v>
      </c>
      <c r="I41" s="126" t="s">
        <v>1903</v>
      </c>
      <c r="J41" s="127" t="str">
        <f t="shared" si="1"/>
        <v>PE25-040</v>
      </c>
      <c r="K41" s="128">
        <v>45728.0</v>
      </c>
      <c r="L41" s="129"/>
      <c r="M41" s="129" t="s">
        <v>184</v>
      </c>
      <c r="N41" s="124" t="s">
        <v>1745</v>
      </c>
      <c r="O41" s="124"/>
      <c r="P41" s="130" t="s">
        <v>2393</v>
      </c>
      <c r="Q41" s="131">
        <v>1.506E7</v>
      </c>
      <c r="R41" s="132"/>
      <c r="S41" s="132">
        <f t="shared" si="2"/>
        <v>15060000</v>
      </c>
      <c r="T41" s="133">
        <f t="shared" si="3"/>
        <v>1656600</v>
      </c>
      <c r="U41" s="132">
        <f t="shared" si="4"/>
        <v>16716600</v>
      </c>
      <c r="V41" s="130"/>
      <c r="W41" s="124" t="s">
        <v>1780</v>
      </c>
      <c r="X41" s="134"/>
      <c r="Y41" s="135" t="str">
        <f>VLOOKUP(J41,[1]TARIKANMYSAP!$H$2:$K$1013,4,FALSE)</f>
        <v>#ERROR!</v>
      </c>
      <c r="Z41" s="136" t="str">
        <f t="shared" si="5"/>
        <v>PE25-040</v>
      </c>
      <c r="AA41" s="137"/>
      <c r="AB41" s="137"/>
    </row>
    <row r="42" ht="12.0" customHeight="1">
      <c r="A42" s="111"/>
      <c r="F42" s="123">
        <f t="shared" si="8"/>
        <v>41</v>
      </c>
      <c r="G42" s="124" t="s">
        <v>2389</v>
      </c>
      <c r="H42" s="125" t="s">
        <v>2378</v>
      </c>
      <c r="I42" s="126" t="s">
        <v>1906</v>
      </c>
      <c r="J42" s="127" t="str">
        <f t="shared" si="1"/>
        <v>PE25-041</v>
      </c>
      <c r="K42" s="128">
        <v>45728.0</v>
      </c>
      <c r="L42" s="129"/>
      <c r="M42" s="129" t="s">
        <v>184</v>
      </c>
      <c r="N42" s="124" t="s">
        <v>1745</v>
      </c>
      <c r="O42" s="124"/>
      <c r="P42" s="130" t="s">
        <v>2394</v>
      </c>
      <c r="Q42" s="131">
        <v>3.672E7</v>
      </c>
      <c r="R42" s="132"/>
      <c r="S42" s="132">
        <f t="shared" si="2"/>
        <v>36720000</v>
      </c>
      <c r="T42" s="133">
        <f t="shared" si="3"/>
        <v>4039200</v>
      </c>
      <c r="U42" s="132">
        <f t="shared" si="4"/>
        <v>40759200</v>
      </c>
      <c r="V42" s="130"/>
      <c r="W42" s="124" t="s">
        <v>1780</v>
      </c>
      <c r="X42" s="134"/>
      <c r="Y42" s="135" t="str">
        <f>VLOOKUP(J42,[1]TARIKANMYSAP!$H$2:$K$1013,4,FALSE)</f>
        <v>#ERROR!</v>
      </c>
      <c r="Z42" s="136" t="str">
        <f t="shared" si="5"/>
        <v>PE25-041</v>
      </c>
      <c r="AA42" s="137"/>
      <c r="AB42" s="137"/>
    </row>
    <row r="43" ht="12.0" customHeight="1">
      <c r="A43" s="111"/>
      <c r="F43" s="123">
        <f t="shared" si="8"/>
        <v>42</v>
      </c>
      <c r="G43" s="124" t="s">
        <v>2389</v>
      </c>
      <c r="H43" s="125" t="s">
        <v>2378</v>
      </c>
      <c r="I43" s="126" t="s">
        <v>1909</v>
      </c>
      <c r="J43" s="127" t="str">
        <f t="shared" si="1"/>
        <v>PE25-042</v>
      </c>
      <c r="K43" s="128">
        <v>45728.0</v>
      </c>
      <c r="L43" s="129"/>
      <c r="M43" s="129" t="s">
        <v>2387</v>
      </c>
      <c r="N43" s="124" t="s">
        <v>1745</v>
      </c>
      <c r="O43" s="124"/>
      <c r="P43" s="130" t="s">
        <v>193</v>
      </c>
      <c r="Q43" s="131">
        <v>7370000.0</v>
      </c>
      <c r="R43" s="132"/>
      <c r="S43" s="132">
        <f t="shared" si="2"/>
        <v>7370000</v>
      </c>
      <c r="T43" s="133">
        <f t="shared" si="3"/>
        <v>810700</v>
      </c>
      <c r="U43" s="132">
        <f t="shared" si="4"/>
        <v>8180700</v>
      </c>
      <c r="V43" s="130"/>
      <c r="W43" s="124" t="s">
        <v>2395</v>
      </c>
      <c r="X43" s="134"/>
      <c r="Y43" s="135" t="str">
        <f>VLOOKUP(J43,[1]TARIKANMYSAP!$H$2:$K$1013,4,FALSE)</f>
        <v>#ERROR!</v>
      </c>
      <c r="Z43" s="136" t="str">
        <f t="shared" si="5"/>
        <v>PE25-042</v>
      </c>
      <c r="AA43" s="137"/>
      <c r="AB43" s="137"/>
    </row>
    <row r="44" ht="12.0" customHeight="1">
      <c r="A44" s="111"/>
      <c r="F44" s="123">
        <f t="shared" si="8"/>
        <v>43</v>
      </c>
      <c r="G44" s="124" t="s">
        <v>2389</v>
      </c>
      <c r="H44" s="125" t="s">
        <v>2378</v>
      </c>
      <c r="I44" s="126" t="s">
        <v>1912</v>
      </c>
      <c r="J44" s="127" t="str">
        <f t="shared" si="1"/>
        <v>PE25-043</v>
      </c>
      <c r="K44" s="128">
        <v>45728.0</v>
      </c>
      <c r="L44" s="151"/>
      <c r="M44" s="151" t="s">
        <v>2387</v>
      </c>
      <c r="N44" s="124" t="s">
        <v>1745</v>
      </c>
      <c r="O44" s="124"/>
      <c r="P44" s="130" t="s">
        <v>196</v>
      </c>
      <c r="Q44" s="131">
        <v>7370000.0</v>
      </c>
      <c r="R44" s="132"/>
      <c r="S44" s="132">
        <f t="shared" si="2"/>
        <v>7370000</v>
      </c>
      <c r="T44" s="133">
        <f t="shared" si="3"/>
        <v>810700</v>
      </c>
      <c r="U44" s="132">
        <f t="shared" si="4"/>
        <v>8180700</v>
      </c>
      <c r="V44" s="130"/>
      <c r="W44" s="124" t="s">
        <v>2395</v>
      </c>
      <c r="X44" s="134"/>
      <c r="Y44" s="135" t="str">
        <f>VLOOKUP(J44,[1]TARIKANMYSAP!$H$2:$K$1013,4,FALSE)</f>
        <v>#ERROR!</v>
      </c>
      <c r="Z44" s="136" t="str">
        <f t="shared" si="5"/>
        <v>PE25-043</v>
      </c>
      <c r="AA44" s="137"/>
      <c r="AB44" s="137"/>
    </row>
    <row r="45" ht="12.0" customHeight="1">
      <c r="A45" s="111"/>
      <c r="F45" s="123">
        <f t="shared" si="8"/>
        <v>44</v>
      </c>
      <c r="G45" s="124" t="s">
        <v>2389</v>
      </c>
      <c r="H45" s="125" t="s">
        <v>2378</v>
      </c>
      <c r="I45" s="126" t="s">
        <v>1915</v>
      </c>
      <c r="J45" s="127" t="str">
        <f t="shared" si="1"/>
        <v>PE25-044</v>
      </c>
      <c r="K45" s="128">
        <v>45728.0</v>
      </c>
      <c r="L45" s="151"/>
      <c r="M45" s="151" t="s">
        <v>198</v>
      </c>
      <c r="N45" s="124" t="s">
        <v>1745</v>
      </c>
      <c r="O45" s="124"/>
      <c r="P45" s="130" t="s">
        <v>199</v>
      </c>
      <c r="Q45" s="131">
        <v>7.7456918E7</v>
      </c>
      <c r="R45" s="132">
        <f>Q45*7.7%</f>
        <v>5964182.686</v>
      </c>
      <c r="S45" s="132">
        <f t="shared" si="2"/>
        <v>83421100.69</v>
      </c>
      <c r="T45" s="133">
        <f t="shared" si="3"/>
        <v>9176321.075</v>
      </c>
      <c r="U45" s="132">
        <f t="shared" si="4"/>
        <v>92597421.76</v>
      </c>
      <c r="V45" s="130"/>
      <c r="W45" s="124" t="s">
        <v>1764</v>
      </c>
      <c r="X45" s="134"/>
      <c r="Y45" s="135" t="str">
        <f>VLOOKUP(J45,[1]TARIKANMYSAP!$H$2:$K$1013,4,FALSE)</f>
        <v>#ERROR!</v>
      </c>
      <c r="Z45" s="136" t="str">
        <f t="shared" si="5"/>
        <v>PE25-044</v>
      </c>
      <c r="AA45" s="137"/>
      <c r="AB45" s="137"/>
    </row>
    <row r="46" ht="12.0" customHeight="1">
      <c r="A46" s="111"/>
      <c r="F46" s="123">
        <f t="shared" si="8"/>
        <v>45</v>
      </c>
      <c r="G46" s="124" t="s">
        <v>2389</v>
      </c>
      <c r="H46" s="125" t="s">
        <v>2378</v>
      </c>
      <c r="I46" s="126" t="s">
        <v>1918</v>
      </c>
      <c r="J46" s="127" t="str">
        <f t="shared" si="1"/>
        <v>PE25-045</v>
      </c>
      <c r="K46" s="128">
        <v>45734.0</v>
      </c>
      <c r="L46" s="151"/>
      <c r="M46" s="151" t="s">
        <v>203</v>
      </c>
      <c r="N46" s="124" t="s">
        <v>1745</v>
      </c>
      <c r="O46" s="124"/>
      <c r="P46" s="130" t="s">
        <v>204</v>
      </c>
      <c r="Q46" s="131">
        <v>6.0E7</v>
      </c>
      <c r="R46" s="132">
        <f>Q46*7.5%</f>
        <v>4500000</v>
      </c>
      <c r="S46" s="132">
        <f t="shared" si="2"/>
        <v>64500000</v>
      </c>
      <c r="T46" s="133">
        <f t="shared" si="3"/>
        <v>7095000</v>
      </c>
      <c r="U46" s="132">
        <f t="shared" si="4"/>
        <v>71595000</v>
      </c>
      <c r="V46" s="130"/>
      <c r="W46" s="124" t="s">
        <v>1747</v>
      </c>
      <c r="X46" s="134"/>
      <c r="Y46" s="135" t="str">
        <f>VLOOKUP(J46,[1]TARIKANMYSAP!$H$2:$K$1013,4,FALSE)</f>
        <v>#ERROR!</v>
      </c>
      <c r="Z46" s="136" t="str">
        <f t="shared" si="5"/>
        <v>PE25-045</v>
      </c>
      <c r="AA46" s="137"/>
      <c r="AB46" s="137"/>
    </row>
    <row r="47" ht="12.0" customHeight="1">
      <c r="A47" s="111"/>
      <c r="F47" s="123">
        <f t="shared" si="8"/>
        <v>46</v>
      </c>
      <c r="G47" s="124" t="s">
        <v>2389</v>
      </c>
      <c r="H47" s="125" t="s">
        <v>2378</v>
      </c>
      <c r="I47" s="126" t="s">
        <v>1921</v>
      </c>
      <c r="J47" s="127" t="str">
        <f t="shared" si="1"/>
        <v>PE25-046</v>
      </c>
      <c r="K47" s="128">
        <v>45734.0</v>
      </c>
      <c r="L47" s="129"/>
      <c r="M47" s="129" t="s">
        <v>2387</v>
      </c>
      <c r="N47" s="124" t="s">
        <v>1745</v>
      </c>
      <c r="O47" s="124" t="s">
        <v>2381</v>
      </c>
      <c r="P47" s="130" t="s">
        <v>208</v>
      </c>
      <c r="Q47" s="131">
        <v>6.5156148E7</v>
      </c>
      <c r="R47" s="132">
        <f>Q47*7.6%</f>
        <v>4951867.248</v>
      </c>
      <c r="S47" s="132">
        <f t="shared" si="2"/>
        <v>70108015.25</v>
      </c>
      <c r="T47" s="133">
        <f t="shared" si="3"/>
        <v>7711881.677</v>
      </c>
      <c r="U47" s="132">
        <f t="shared" si="4"/>
        <v>77819896.93</v>
      </c>
      <c r="V47" s="130"/>
      <c r="W47" s="124" t="s">
        <v>2388</v>
      </c>
      <c r="X47" s="134"/>
      <c r="Y47" s="135" t="str">
        <f>VLOOKUP(J47,[1]TARIKANMYSAP!$H$2:$K$1013,4,FALSE)</f>
        <v>#ERROR!</v>
      </c>
      <c r="Z47" s="136" t="str">
        <f t="shared" si="5"/>
        <v>PE25-046</v>
      </c>
      <c r="AA47" s="137"/>
      <c r="AB47" s="137"/>
    </row>
    <row r="48" ht="12.0" customHeight="1">
      <c r="A48" s="111"/>
      <c r="F48" s="123">
        <f t="shared" si="8"/>
        <v>47</v>
      </c>
      <c r="G48" s="124" t="s">
        <v>2389</v>
      </c>
      <c r="H48" s="125" t="s">
        <v>2378</v>
      </c>
      <c r="I48" s="126" t="s">
        <v>1927</v>
      </c>
      <c r="J48" s="127" t="str">
        <f t="shared" si="1"/>
        <v>PE25-047</v>
      </c>
      <c r="K48" s="128">
        <v>45737.0</v>
      </c>
      <c r="L48" s="129"/>
      <c r="M48" s="129" t="s">
        <v>212</v>
      </c>
      <c r="N48" s="124" t="s">
        <v>1745</v>
      </c>
      <c r="O48" s="124"/>
      <c r="P48" s="130" t="s">
        <v>213</v>
      </c>
      <c r="Q48" s="131">
        <v>8.755504E8</v>
      </c>
      <c r="R48" s="132"/>
      <c r="S48" s="132">
        <f t="shared" si="2"/>
        <v>875550400</v>
      </c>
      <c r="T48" s="133">
        <f t="shared" si="3"/>
        <v>96310544</v>
      </c>
      <c r="U48" s="132">
        <f t="shared" si="4"/>
        <v>971860944</v>
      </c>
      <c r="V48" s="130"/>
      <c r="W48" s="124" t="s">
        <v>1925</v>
      </c>
      <c r="X48" s="134"/>
      <c r="Y48" s="135" t="str">
        <f>VLOOKUP(J48,[1]TARIKANMYSAP!$H$2:$K$1013,4,FALSE)</f>
        <v>#ERROR!</v>
      </c>
      <c r="Z48" s="136" t="str">
        <f t="shared" si="5"/>
        <v>PE25-047</v>
      </c>
      <c r="AA48" s="137"/>
      <c r="AB48" s="137"/>
    </row>
    <row r="49" ht="12.0" customHeight="1">
      <c r="A49" s="111"/>
      <c r="F49" s="123">
        <f t="shared" si="8"/>
        <v>48</v>
      </c>
      <c r="G49" s="124" t="s">
        <v>2396</v>
      </c>
      <c r="H49" s="125" t="s">
        <v>2378</v>
      </c>
      <c r="I49" s="126" t="s">
        <v>1932</v>
      </c>
      <c r="J49" s="127" t="str">
        <f t="shared" si="1"/>
        <v>PE25-048</v>
      </c>
      <c r="K49" s="128">
        <v>45755.0</v>
      </c>
      <c r="L49" s="129"/>
      <c r="M49" s="129" t="s">
        <v>217</v>
      </c>
      <c r="N49" s="124" t="s">
        <v>1745</v>
      </c>
      <c r="O49" s="124"/>
      <c r="P49" s="130" t="s">
        <v>218</v>
      </c>
      <c r="Q49" s="131">
        <v>5.0E7</v>
      </c>
      <c r="R49" s="132">
        <f>Q49*7.5%</f>
        <v>3750000</v>
      </c>
      <c r="S49" s="132">
        <f t="shared" si="2"/>
        <v>53750000</v>
      </c>
      <c r="T49" s="133">
        <f t="shared" si="3"/>
        <v>5912500</v>
      </c>
      <c r="U49" s="132">
        <f t="shared" si="4"/>
        <v>59662500</v>
      </c>
      <c r="V49" s="130"/>
      <c r="W49" s="124" t="s">
        <v>1747</v>
      </c>
      <c r="X49" s="134"/>
      <c r="Y49" s="135" t="str">
        <f>VLOOKUP(J49,[1]TARIKANMYSAP!$H$2:$K$1013,4,FALSE)</f>
        <v>#ERROR!</v>
      </c>
      <c r="Z49" s="136" t="str">
        <f t="shared" si="5"/>
        <v>PE25-048</v>
      </c>
      <c r="AA49" s="137"/>
      <c r="AB49" s="137"/>
    </row>
    <row r="50" ht="12.0" customHeight="1">
      <c r="A50" s="111"/>
      <c r="F50" s="123">
        <f t="shared" si="8"/>
        <v>49</v>
      </c>
      <c r="G50" s="124" t="s">
        <v>2396</v>
      </c>
      <c r="H50" s="125" t="s">
        <v>2378</v>
      </c>
      <c r="I50" s="126" t="s">
        <v>1936</v>
      </c>
      <c r="J50" s="127" t="str">
        <f t="shared" si="1"/>
        <v>PE25-049</v>
      </c>
      <c r="K50" s="128">
        <v>45755.0</v>
      </c>
      <c r="L50" s="151"/>
      <c r="M50" s="129" t="s">
        <v>2387</v>
      </c>
      <c r="N50" s="124" t="s">
        <v>1745</v>
      </c>
      <c r="O50" s="124" t="s">
        <v>1583</v>
      </c>
      <c r="P50" s="130" t="s">
        <v>222</v>
      </c>
      <c r="Q50" s="131">
        <v>2.517714E7</v>
      </c>
      <c r="R50" s="132">
        <f>Q50*6.2%</f>
        <v>1560982.68</v>
      </c>
      <c r="S50" s="132">
        <f t="shared" si="2"/>
        <v>26738122.68</v>
      </c>
      <c r="T50" s="133">
        <f t="shared" si="3"/>
        <v>2941193.495</v>
      </c>
      <c r="U50" s="132">
        <f t="shared" si="4"/>
        <v>29679316.17</v>
      </c>
      <c r="V50" s="130"/>
      <c r="W50" s="124" t="s">
        <v>2388</v>
      </c>
      <c r="X50" s="134"/>
      <c r="Y50" s="135" t="str">
        <f>VLOOKUP(J50,[1]TARIKANMYSAP!$H$2:$K$1013,4,FALSE)</f>
        <v>#ERROR!</v>
      </c>
      <c r="Z50" s="136" t="str">
        <f t="shared" si="5"/>
        <v>PE25-049</v>
      </c>
      <c r="AA50" s="137"/>
      <c r="AB50" s="137"/>
    </row>
    <row r="51" ht="12.0" customHeight="1">
      <c r="A51" s="111"/>
      <c r="F51" s="123">
        <f t="shared" si="8"/>
        <v>50</v>
      </c>
      <c r="G51" s="124" t="s">
        <v>2396</v>
      </c>
      <c r="H51" s="125" t="s">
        <v>2378</v>
      </c>
      <c r="I51" s="126" t="s">
        <v>1941</v>
      </c>
      <c r="J51" s="127" t="str">
        <f t="shared" si="1"/>
        <v>PE25-050</v>
      </c>
      <c r="K51" s="128">
        <v>45756.0</v>
      </c>
      <c r="L51" s="151"/>
      <c r="M51" s="129" t="s">
        <v>2387</v>
      </c>
      <c r="N51" s="124" t="s">
        <v>1745</v>
      </c>
      <c r="O51" s="124" t="s">
        <v>1583</v>
      </c>
      <c r="P51" s="130" t="s">
        <v>226</v>
      </c>
      <c r="Q51" s="131">
        <v>1.9616886E7</v>
      </c>
      <c r="R51" s="132">
        <f t="shared" ref="R51:R52" si="10">Q51*7.6%</f>
        <v>1490883.336</v>
      </c>
      <c r="S51" s="132">
        <f t="shared" si="2"/>
        <v>21107769.34</v>
      </c>
      <c r="T51" s="133">
        <f t="shared" si="3"/>
        <v>2321854.627</v>
      </c>
      <c r="U51" s="132">
        <f t="shared" si="4"/>
        <v>23429623.96</v>
      </c>
      <c r="V51" s="130"/>
      <c r="W51" s="124" t="s">
        <v>2388</v>
      </c>
      <c r="X51" s="134"/>
      <c r="Y51" s="135" t="str">
        <f>VLOOKUP(J51,[1]TARIKANMYSAP!$H$2:$K$1013,4,FALSE)</f>
        <v>#ERROR!</v>
      </c>
      <c r="Z51" s="136" t="str">
        <f t="shared" si="5"/>
        <v>PE25-050</v>
      </c>
      <c r="AA51" s="137"/>
      <c r="AB51" s="137"/>
    </row>
    <row r="52" ht="12.0" customHeight="1">
      <c r="A52" s="111"/>
      <c r="F52" s="123">
        <f t="shared" si="8"/>
        <v>51</v>
      </c>
      <c r="G52" s="124" t="s">
        <v>2396</v>
      </c>
      <c r="H52" s="125" t="s">
        <v>2378</v>
      </c>
      <c r="I52" s="126" t="s">
        <v>1947</v>
      </c>
      <c r="J52" s="127" t="str">
        <f t="shared" si="1"/>
        <v>PE25-051</v>
      </c>
      <c r="K52" s="128">
        <v>45756.0</v>
      </c>
      <c r="L52" s="151"/>
      <c r="M52" s="129" t="s">
        <v>2387</v>
      </c>
      <c r="N52" s="124" t="s">
        <v>1745</v>
      </c>
      <c r="O52" s="124" t="s">
        <v>1583</v>
      </c>
      <c r="P52" s="130" t="s">
        <v>230</v>
      </c>
      <c r="Q52" s="131">
        <v>1.58E7</v>
      </c>
      <c r="R52" s="132">
        <f t="shared" si="10"/>
        <v>1200800</v>
      </c>
      <c r="S52" s="132">
        <f t="shared" si="2"/>
        <v>17000800</v>
      </c>
      <c r="T52" s="133">
        <f t="shared" si="3"/>
        <v>1870088</v>
      </c>
      <c r="U52" s="132">
        <f t="shared" si="4"/>
        <v>18870888</v>
      </c>
      <c r="V52" s="130"/>
      <c r="W52" s="124" t="s">
        <v>2388</v>
      </c>
      <c r="X52" s="134"/>
      <c r="Y52" s="135" t="str">
        <f>VLOOKUP(J52,[1]TARIKANMYSAP!$H$2:$K$1013,4,FALSE)</f>
        <v>#ERROR!</v>
      </c>
      <c r="Z52" s="136" t="str">
        <f t="shared" si="5"/>
        <v>PE25-051</v>
      </c>
      <c r="AA52" s="137"/>
      <c r="AB52" s="137"/>
    </row>
    <row r="53" ht="12.0" customHeight="1">
      <c r="A53" s="111"/>
      <c r="F53" s="123">
        <f t="shared" si="8"/>
        <v>52</v>
      </c>
      <c r="G53" s="124" t="s">
        <v>2396</v>
      </c>
      <c r="H53" s="125" t="s">
        <v>2378</v>
      </c>
      <c r="I53" s="126" t="s">
        <v>1950</v>
      </c>
      <c r="J53" s="127" t="str">
        <f t="shared" si="1"/>
        <v>PE25-052</v>
      </c>
      <c r="K53" s="128">
        <v>45756.0</v>
      </c>
      <c r="L53" s="129"/>
      <c r="M53" s="129" t="s">
        <v>234</v>
      </c>
      <c r="N53" s="124"/>
      <c r="O53" s="124"/>
      <c r="P53" s="130" t="s">
        <v>2397</v>
      </c>
      <c r="Q53" s="131">
        <v>2.88E7</v>
      </c>
      <c r="R53" s="132">
        <f>Q53*15%</f>
        <v>4320000</v>
      </c>
      <c r="S53" s="132">
        <f t="shared" si="2"/>
        <v>33120000</v>
      </c>
      <c r="T53" s="133">
        <f t="shared" si="3"/>
        <v>3643200</v>
      </c>
      <c r="U53" s="132">
        <f t="shared" si="4"/>
        <v>36763200</v>
      </c>
      <c r="V53" s="130"/>
      <c r="W53" s="124" t="s">
        <v>1961</v>
      </c>
      <c r="X53" s="134"/>
      <c r="Y53" s="135" t="str">
        <f>VLOOKUP(J53,[1]TARIKANMYSAP!$H$2:$K$1013,4,FALSE)</f>
        <v>#ERROR!</v>
      </c>
      <c r="Z53" s="136" t="str">
        <f t="shared" si="5"/>
        <v>PE25-052</v>
      </c>
      <c r="AA53" s="137"/>
      <c r="AB53" s="137"/>
    </row>
    <row r="54" ht="12.0" customHeight="1">
      <c r="A54" s="111"/>
      <c r="F54" s="123">
        <f t="shared" si="8"/>
        <v>53</v>
      </c>
      <c r="G54" s="124" t="s">
        <v>2396</v>
      </c>
      <c r="H54" s="125" t="s">
        <v>2378</v>
      </c>
      <c r="I54" s="126" t="s">
        <v>1954</v>
      </c>
      <c r="J54" s="127" t="str">
        <f t="shared" si="1"/>
        <v>PE25-053</v>
      </c>
      <c r="K54" s="128">
        <v>45756.0</v>
      </c>
      <c r="L54" s="129"/>
      <c r="M54" s="129" t="s">
        <v>239</v>
      </c>
      <c r="N54" s="124" t="s">
        <v>1745</v>
      </c>
      <c r="O54" s="124"/>
      <c r="P54" s="130" t="s">
        <v>2398</v>
      </c>
      <c r="Q54" s="131">
        <v>3.5464734E7</v>
      </c>
      <c r="R54" s="132">
        <f>Q54*10%</f>
        <v>3546473.4</v>
      </c>
      <c r="S54" s="132">
        <f t="shared" si="2"/>
        <v>39011207.4</v>
      </c>
      <c r="T54" s="133">
        <f t="shared" si="3"/>
        <v>4291232.814</v>
      </c>
      <c r="U54" s="132">
        <f t="shared" si="4"/>
        <v>43302440.21</v>
      </c>
      <c r="V54" s="130"/>
      <c r="W54" s="124" t="s">
        <v>1780</v>
      </c>
      <c r="X54" s="134"/>
      <c r="Y54" s="135" t="str">
        <f>VLOOKUP(J54,[1]TARIKANMYSAP!$H$2:$K$1013,4,FALSE)</f>
        <v>#ERROR!</v>
      </c>
      <c r="Z54" s="136" t="str">
        <f t="shared" si="5"/>
        <v>PE25-053</v>
      </c>
      <c r="AA54" s="137"/>
      <c r="AB54" s="137"/>
    </row>
    <row r="55" ht="12.0" customHeight="1">
      <c r="A55" s="111"/>
      <c r="F55" s="123">
        <f t="shared" si="8"/>
        <v>54</v>
      </c>
      <c r="G55" s="124" t="s">
        <v>2396</v>
      </c>
      <c r="H55" s="125" t="s">
        <v>2378</v>
      </c>
      <c r="I55" s="126" t="s">
        <v>1957</v>
      </c>
      <c r="J55" s="127" t="str">
        <f t="shared" si="1"/>
        <v>PE25-054</v>
      </c>
      <c r="K55" s="128">
        <v>45755.0</v>
      </c>
      <c r="L55" s="151"/>
      <c r="M55" s="151" t="s">
        <v>244</v>
      </c>
      <c r="N55" s="124" t="s">
        <v>1745</v>
      </c>
      <c r="O55" s="124"/>
      <c r="P55" s="130" t="s">
        <v>245</v>
      </c>
      <c r="Q55" s="131">
        <v>3.51072E7</v>
      </c>
      <c r="R55" s="132">
        <v>4212864.0</v>
      </c>
      <c r="S55" s="132">
        <f t="shared" si="2"/>
        <v>39320064</v>
      </c>
      <c r="T55" s="133">
        <f t="shared" si="3"/>
        <v>4325207.04</v>
      </c>
      <c r="U55" s="132">
        <f t="shared" si="4"/>
        <v>43645271.04</v>
      </c>
      <c r="V55" s="130"/>
      <c r="W55" s="124" t="s">
        <v>1780</v>
      </c>
      <c r="X55" s="134"/>
      <c r="Y55" s="135" t="str">
        <f>VLOOKUP(J55,[1]TARIKANMYSAP!$H$2:$K$1013,4,FALSE)</f>
        <v>#ERROR!</v>
      </c>
      <c r="Z55" s="136" t="str">
        <f t="shared" si="5"/>
        <v>PE25-054</v>
      </c>
      <c r="AA55" s="137"/>
      <c r="AB55" s="137"/>
    </row>
    <row r="56" ht="12.0" customHeight="1">
      <c r="A56" s="111"/>
      <c r="F56" s="123">
        <f t="shared" si="8"/>
        <v>55</v>
      </c>
      <c r="G56" s="124" t="s">
        <v>2396</v>
      </c>
      <c r="H56" s="125" t="s">
        <v>2378</v>
      </c>
      <c r="I56" s="126" t="s">
        <v>1965</v>
      </c>
      <c r="J56" s="127" t="str">
        <f t="shared" si="1"/>
        <v>PE25-055</v>
      </c>
      <c r="K56" s="128">
        <v>45756.0</v>
      </c>
      <c r="L56" s="129"/>
      <c r="M56" s="129" t="s">
        <v>2387</v>
      </c>
      <c r="N56" s="124" t="s">
        <v>1745</v>
      </c>
      <c r="O56" s="124" t="s">
        <v>1583</v>
      </c>
      <c r="P56" s="130" t="s">
        <v>249</v>
      </c>
      <c r="Q56" s="131">
        <v>1.49E7</v>
      </c>
      <c r="R56" s="132">
        <f>Q56*5.3%</f>
        <v>789700</v>
      </c>
      <c r="S56" s="132">
        <f t="shared" si="2"/>
        <v>15689700</v>
      </c>
      <c r="T56" s="133">
        <f t="shared" si="3"/>
        <v>1725867</v>
      </c>
      <c r="U56" s="132">
        <f t="shared" si="4"/>
        <v>17415567</v>
      </c>
      <c r="V56" s="130"/>
      <c r="W56" s="124" t="s">
        <v>2388</v>
      </c>
      <c r="X56" s="134"/>
      <c r="Y56" s="135" t="str">
        <f>VLOOKUP(J56,[1]TARIKANMYSAP!$H$2:$K$1013,4,FALSE)</f>
        <v>#ERROR!</v>
      </c>
      <c r="Z56" s="136" t="str">
        <f t="shared" si="5"/>
        <v>PE25-055</v>
      </c>
      <c r="AA56" s="137"/>
      <c r="AB56" s="137"/>
    </row>
    <row r="57" ht="12.0" customHeight="1">
      <c r="A57" s="111"/>
      <c r="F57" s="123">
        <f t="shared" si="8"/>
        <v>56</v>
      </c>
      <c r="G57" s="124" t="s">
        <v>2396</v>
      </c>
      <c r="H57" s="125" t="s">
        <v>2378</v>
      </c>
      <c r="I57" s="126" t="s">
        <v>1969</v>
      </c>
      <c r="J57" s="127" t="str">
        <f t="shared" si="1"/>
        <v>PE25-056</v>
      </c>
      <c r="K57" s="128">
        <v>45756.0</v>
      </c>
      <c r="L57" s="151"/>
      <c r="M57" s="151" t="s">
        <v>33</v>
      </c>
      <c r="N57" s="124" t="s">
        <v>1752</v>
      </c>
      <c r="O57" s="124" t="s">
        <v>2381</v>
      </c>
      <c r="P57" s="130" t="s">
        <v>253</v>
      </c>
      <c r="Q57" s="131">
        <v>3061224.0</v>
      </c>
      <c r="R57" s="132">
        <f t="shared" ref="R57:R64" si="11">Q57*12%</f>
        <v>367346.88</v>
      </c>
      <c r="S57" s="132">
        <f t="shared" si="2"/>
        <v>3428570.88</v>
      </c>
      <c r="T57" s="133">
        <f t="shared" si="3"/>
        <v>377142.7968</v>
      </c>
      <c r="U57" s="132">
        <f t="shared" si="4"/>
        <v>3805713.677</v>
      </c>
      <c r="V57" s="130"/>
      <c r="W57" s="124" t="s">
        <v>1747</v>
      </c>
      <c r="X57" s="134"/>
      <c r="Y57" s="135" t="str">
        <f>VLOOKUP(J57,[1]TARIKANMYSAP!$H$2:$K$1013,4,FALSE)</f>
        <v>#ERROR!</v>
      </c>
      <c r="Z57" s="136" t="str">
        <f t="shared" si="5"/>
        <v>PE25-056</v>
      </c>
      <c r="AA57" s="137"/>
      <c r="AB57" s="137"/>
    </row>
    <row r="58" ht="12.0" customHeight="1">
      <c r="A58" s="111"/>
      <c r="F58" s="123">
        <f t="shared" si="8"/>
        <v>57</v>
      </c>
      <c r="G58" s="124" t="s">
        <v>2396</v>
      </c>
      <c r="H58" s="125" t="s">
        <v>2378</v>
      </c>
      <c r="I58" s="126" t="s">
        <v>1973</v>
      </c>
      <c r="J58" s="127" t="str">
        <f t="shared" si="1"/>
        <v>PE25-057</v>
      </c>
      <c r="K58" s="128">
        <v>45756.0</v>
      </c>
      <c r="L58" s="129"/>
      <c r="M58" s="151" t="s">
        <v>33</v>
      </c>
      <c r="N58" s="124" t="s">
        <v>1752</v>
      </c>
      <c r="O58" s="124" t="s">
        <v>2381</v>
      </c>
      <c r="P58" s="130" t="s">
        <v>256</v>
      </c>
      <c r="Q58" s="131">
        <v>1.1224487E7</v>
      </c>
      <c r="R58" s="132">
        <f t="shared" si="11"/>
        <v>1346938.44</v>
      </c>
      <c r="S58" s="132">
        <f t="shared" si="2"/>
        <v>12571425.44</v>
      </c>
      <c r="T58" s="133">
        <f t="shared" si="3"/>
        <v>1382856.798</v>
      </c>
      <c r="U58" s="132">
        <f t="shared" si="4"/>
        <v>13954282.24</v>
      </c>
      <c r="V58" s="130"/>
      <c r="W58" s="124" t="s">
        <v>1747</v>
      </c>
      <c r="X58" s="134"/>
      <c r="Y58" s="135" t="str">
        <f>VLOOKUP(J58,[1]TARIKANMYSAP!$H$2:$K$1013,4,FALSE)</f>
        <v>#ERROR!</v>
      </c>
      <c r="Z58" s="136" t="str">
        <f t="shared" si="5"/>
        <v>PE25-057</v>
      </c>
      <c r="AA58" s="137"/>
      <c r="AB58" s="137"/>
    </row>
    <row r="59" ht="12.0" customHeight="1">
      <c r="A59" s="111"/>
      <c r="F59" s="123">
        <f t="shared" si="8"/>
        <v>58</v>
      </c>
      <c r="G59" s="124" t="s">
        <v>2396</v>
      </c>
      <c r="H59" s="125" t="s">
        <v>2378</v>
      </c>
      <c r="I59" s="126" t="s">
        <v>1975</v>
      </c>
      <c r="J59" s="127" t="str">
        <f t="shared" si="1"/>
        <v>PE25-058</v>
      </c>
      <c r="K59" s="128">
        <v>45756.0</v>
      </c>
      <c r="L59" s="129"/>
      <c r="M59" s="151" t="s">
        <v>33</v>
      </c>
      <c r="N59" s="124" t="s">
        <v>1752</v>
      </c>
      <c r="O59" s="124" t="s">
        <v>2381</v>
      </c>
      <c r="P59" s="130" t="s">
        <v>260</v>
      </c>
      <c r="Q59" s="131">
        <v>2.5714278E7</v>
      </c>
      <c r="R59" s="132">
        <f t="shared" si="11"/>
        <v>3085713.36</v>
      </c>
      <c r="S59" s="132">
        <f t="shared" si="2"/>
        <v>28799991.36</v>
      </c>
      <c r="T59" s="133">
        <f t="shared" si="3"/>
        <v>3167999.05</v>
      </c>
      <c r="U59" s="132">
        <f t="shared" si="4"/>
        <v>31967990.41</v>
      </c>
      <c r="V59" s="130"/>
      <c r="W59" s="124" t="s">
        <v>1747</v>
      </c>
      <c r="X59" s="134"/>
      <c r="Y59" s="135" t="str">
        <f>VLOOKUP(J59,[1]TARIKANMYSAP!$H$2:$K$1013,4,FALSE)</f>
        <v>#ERROR!</v>
      </c>
      <c r="Z59" s="136" t="str">
        <f t="shared" si="5"/>
        <v>PE25-058</v>
      </c>
      <c r="AA59" s="137"/>
      <c r="AB59" s="137"/>
    </row>
    <row r="60" ht="12.0" customHeight="1">
      <c r="A60" s="111"/>
      <c r="F60" s="123">
        <f t="shared" si="8"/>
        <v>59</v>
      </c>
      <c r="G60" s="124" t="s">
        <v>2396</v>
      </c>
      <c r="H60" s="125" t="s">
        <v>2378</v>
      </c>
      <c r="I60" s="126" t="s">
        <v>1977</v>
      </c>
      <c r="J60" s="127" t="str">
        <f t="shared" si="1"/>
        <v>PE25-059</v>
      </c>
      <c r="K60" s="128">
        <v>45756.0</v>
      </c>
      <c r="L60" s="129"/>
      <c r="M60" s="151" t="s">
        <v>33</v>
      </c>
      <c r="N60" s="124" t="s">
        <v>1752</v>
      </c>
      <c r="O60" s="124" t="s">
        <v>2381</v>
      </c>
      <c r="P60" s="130" t="s">
        <v>264</v>
      </c>
      <c r="Q60" s="131">
        <v>2857142.0</v>
      </c>
      <c r="R60" s="132">
        <f t="shared" si="11"/>
        <v>342857.04</v>
      </c>
      <c r="S60" s="132">
        <f t="shared" si="2"/>
        <v>3199999.04</v>
      </c>
      <c r="T60" s="133">
        <f t="shared" si="3"/>
        <v>351999.8944</v>
      </c>
      <c r="U60" s="132">
        <f t="shared" si="4"/>
        <v>3551998.934</v>
      </c>
      <c r="V60" s="130"/>
      <c r="W60" s="124" t="s">
        <v>1747</v>
      </c>
      <c r="X60" s="134"/>
      <c r="Y60" s="135" t="str">
        <f>VLOOKUP(J60,[1]TARIKANMYSAP!$H$2:$K$1013,4,FALSE)</f>
        <v>#ERROR!</v>
      </c>
      <c r="Z60" s="136" t="str">
        <f t="shared" si="5"/>
        <v>PE25-059</v>
      </c>
      <c r="AA60" s="137"/>
      <c r="AB60" s="137"/>
    </row>
    <row r="61" ht="12.0" customHeight="1">
      <c r="A61" s="111"/>
      <c r="F61" s="123">
        <f t="shared" si="8"/>
        <v>60</v>
      </c>
      <c r="G61" s="124" t="s">
        <v>2396</v>
      </c>
      <c r="H61" s="125" t="s">
        <v>2378</v>
      </c>
      <c r="I61" s="126" t="s">
        <v>1980</v>
      </c>
      <c r="J61" s="127" t="str">
        <f t="shared" si="1"/>
        <v>PE25-060</v>
      </c>
      <c r="K61" s="152" t="s">
        <v>266</v>
      </c>
      <c r="L61" s="129"/>
      <c r="M61" s="129" t="s">
        <v>33</v>
      </c>
      <c r="N61" s="124" t="s">
        <v>1752</v>
      </c>
      <c r="O61" s="124"/>
      <c r="P61" s="130" t="s">
        <v>2399</v>
      </c>
      <c r="Q61" s="131">
        <v>8367345.0</v>
      </c>
      <c r="R61" s="132">
        <f t="shared" si="11"/>
        <v>1004081.4</v>
      </c>
      <c r="S61" s="132">
        <f t="shared" si="2"/>
        <v>9371426.4</v>
      </c>
      <c r="T61" s="133">
        <f t="shared" si="3"/>
        <v>1030856.904</v>
      </c>
      <c r="U61" s="132">
        <f t="shared" si="4"/>
        <v>10402283.3</v>
      </c>
      <c r="V61" s="130"/>
      <c r="W61" s="124" t="s">
        <v>1747</v>
      </c>
      <c r="X61" s="134"/>
      <c r="Y61" s="135" t="str">
        <f>VLOOKUP(J61,[1]TARIKANMYSAP!$H$2:$K$1013,4,FALSE)</f>
        <v>#ERROR!</v>
      </c>
      <c r="Z61" s="136" t="str">
        <f t="shared" si="5"/>
        <v>PE25-060</v>
      </c>
      <c r="AA61" s="137"/>
      <c r="AB61" s="137"/>
    </row>
    <row r="62" ht="12.0" customHeight="1">
      <c r="A62" s="111"/>
      <c r="F62" s="123">
        <f t="shared" si="8"/>
        <v>61</v>
      </c>
      <c r="G62" s="124" t="s">
        <v>2396</v>
      </c>
      <c r="H62" s="125" t="s">
        <v>2378</v>
      </c>
      <c r="I62" s="126" t="s">
        <v>1983</v>
      </c>
      <c r="J62" s="127" t="str">
        <f t="shared" si="1"/>
        <v>PE25-061</v>
      </c>
      <c r="K62" s="152" t="s">
        <v>266</v>
      </c>
      <c r="L62" s="151"/>
      <c r="M62" s="129" t="s">
        <v>33</v>
      </c>
      <c r="N62" s="124" t="s">
        <v>1752</v>
      </c>
      <c r="O62" s="124"/>
      <c r="P62" s="130" t="s">
        <v>271</v>
      </c>
      <c r="Q62" s="131">
        <v>9999997.0</v>
      </c>
      <c r="R62" s="132">
        <f t="shared" si="11"/>
        <v>1199999.64</v>
      </c>
      <c r="S62" s="132">
        <f t="shared" si="2"/>
        <v>11199996.64</v>
      </c>
      <c r="T62" s="133">
        <f t="shared" si="3"/>
        <v>1231999.63</v>
      </c>
      <c r="U62" s="132">
        <f t="shared" si="4"/>
        <v>12431996.27</v>
      </c>
      <c r="V62" s="130"/>
      <c r="W62" s="124" t="s">
        <v>1747</v>
      </c>
      <c r="X62" s="134"/>
      <c r="Y62" s="135" t="str">
        <f>VLOOKUP(J62,[1]TARIKANMYSAP!$H$2:$K$1013,4,FALSE)</f>
        <v>#ERROR!</v>
      </c>
      <c r="Z62" s="136" t="str">
        <f t="shared" si="5"/>
        <v>PE25-061</v>
      </c>
      <c r="AA62" s="137"/>
      <c r="AB62" s="137"/>
    </row>
    <row r="63" ht="12.0" customHeight="1">
      <c r="A63" s="111"/>
      <c r="F63" s="123">
        <f t="shared" si="8"/>
        <v>62</v>
      </c>
      <c r="G63" s="124" t="s">
        <v>2396</v>
      </c>
      <c r="H63" s="125" t="s">
        <v>2378</v>
      </c>
      <c r="I63" s="126" t="s">
        <v>1987</v>
      </c>
      <c r="J63" s="127" t="str">
        <f t="shared" si="1"/>
        <v>PE25-062</v>
      </c>
      <c r="K63" s="128">
        <v>45757.0</v>
      </c>
      <c r="L63" s="151"/>
      <c r="M63" s="151" t="s">
        <v>33</v>
      </c>
      <c r="N63" s="124" t="s">
        <v>1752</v>
      </c>
      <c r="O63" s="124" t="s">
        <v>2381</v>
      </c>
      <c r="P63" s="130" t="s">
        <v>2400</v>
      </c>
      <c r="Q63" s="131">
        <v>2.2448976E7</v>
      </c>
      <c r="R63" s="132">
        <f t="shared" si="11"/>
        <v>2693877.12</v>
      </c>
      <c r="S63" s="132">
        <f t="shared" si="2"/>
        <v>25142853.12</v>
      </c>
      <c r="T63" s="133">
        <f t="shared" si="3"/>
        <v>2765713.843</v>
      </c>
      <c r="U63" s="132">
        <f t="shared" si="4"/>
        <v>27908566.96</v>
      </c>
      <c r="V63" s="130"/>
      <c r="W63" s="124" t="s">
        <v>1747</v>
      </c>
      <c r="X63" s="134"/>
      <c r="Y63" s="135" t="str">
        <f>VLOOKUP(J63,[1]TARIKANMYSAP!$H$2:$K$1013,4,FALSE)</f>
        <v>#ERROR!</v>
      </c>
      <c r="Z63" s="136" t="str">
        <f t="shared" si="5"/>
        <v>PE25-062</v>
      </c>
      <c r="AA63" s="137"/>
      <c r="AB63" s="137"/>
    </row>
    <row r="64" ht="12.0" customHeight="1">
      <c r="A64" s="111"/>
      <c r="F64" s="123">
        <f t="shared" si="8"/>
        <v>63</v>
      </c>
      <c r="G64" s="124" t="s">
        <v>2396</v>
      </c>
      <c r="H64" s="125" t="s">
        <v>2378</v>
      </c>
      <c r="I64" s="126" t="s">
        <v>1990</v>
      </c>
      <c r="J64" s="127" t="str">
        <f t="shared" si="1"/>
        <v>PE25-063</v>
      </c>
      <c r="K64" s="128">
        <v>45757.0</v>
      </c>
      <c r="L64" s="129"/>
      <c r="M64" s="151" t="s">
        <v>33</v>
      </c>
      <c r="N64" s="124" t="s">
        <v>1745</v>
      </c>
      <c r="O64" s="124" t="s">
        <v>2381</v>
      </c>
      <c r="P64" s="130" t="s">
        <v>279</v>
      </c>
      <c r="Q64" s="131">
        <v>6122448.0</v>
      </c>
      <c r="R64" s="132">
        <f t="shared" si="11"/>
        <v>734693.76</v>
      </c>
      <c r="S64" s="132">
        <f t="shared" si="2"/>
        <v>6857141.76</v>
      </c>
      <c r="T64" s="133">
        <f t="shared" si="3"/>
        <v>754285.5936</v>
      </c>
      <c r="U64" s="132">
        <f t="shared" si="4"/>
        <v>7611427.354</v>
      </c>
      <c r="V64" s="130"/>
      <c r="W64" s="124" t="s">
        <v>1747</v>
      </c>
      <c r="X64" s="134"/>
      <c r="Y64" s="135" t="str">
        <f>VLOOKUP(J64,[1]TARIKANMYSAP!$H$2:$K$1013,4,FALSE)</f>
        <v>#ERROR!</v>
      </c>
      <c r="Z64" s="136" t="str">
        <f t="shared" si="5"/>
        <v>PE25-063</v>
      </c>
      <c r="AA64" s="137"/>
      <c r="AB64" s="137"/>
    </row>
    <row r="65" ht="12.0" customHeight="1">
      <c r="A65" s="111"/>
      <c r="F65" s="123">
        <f t="shared" si="8"/>
        <v>64</v>
      </c>
      <c r="G65" s="124" t="s">
        <v>2396</v>
      </c>
      <c r="H65" s="125" t="s">
        <v>2378</v>
      </c>
      <c r="I65" s="126" t="s">
        <v>1995</v>
      </c>
      <c r="J65" s="127" t="str">
        <f t="shared" si="1"/>
        <v>PE25-064</v>
      </c>
      <c r="K65" s="128">
        <v>45757.0</v>
      </c>
      <c r="L65" s="129"/>
      <c r="M65" s="129" t="s">
        <v>94</v>
      </c>
      <c r="N65" s="124" t="s">
        <v>1745</v>
      </c>
      <c r="O65" s="124"/>
      <c r="P65" s="130" t="s">
        <v>282</v>
      </c>
      <c r="Q65" s="131">
        <v>4.645E7</v>
      </c>
      <c r="R65" s="132">
        <v>4412750.0</v>
      </c>
      <c r="S65" s="132">
        <f t="shared" si="2"/>
        <v>50862750</v>
      </c>
      <c r="T65" s="133">
        <f t="shared" si="3"/>
        <v>5594902.5</v>
      </c>
      <c r="U65" s="132">
        <f t="shared" si="4"/>
        <v>56457652.5</v>
      </c>
      <c r="V65" s="130"/>
      <c r="W65" s="124" t="s">
        <v>1747</v>
      </c>
      <c r="X65" s="134"/>
      <c r="Y65" s="135" t="str">
        <f>VLOOKUP(J65,[1]TARIKANMYSAP!$H$2:$K$1013,4,FALSE)</f>
        <v>#ERROR!</v>
      </c>
      <c r="Z65" s="136" t="str">
        <f t="shared" si="5"/>
        <v>PE25-064</v>
      </c>
      <c r="AA65" s="137"/>
      <c r="AB65" s="137"/>
    </row>
    <row r="66" ht="12.0" customHeight="1">
      <c r="A66" s="111"/>
      <c r="F66" s="123">
        <f t="shared" si="8"/>
        <v>65</v>
      </c>
      <c r="G66" s="124" t="s">
        <v>2396</v>
      </c>
      <c r="H66" s="125" t="s">
        <v>2378</v>
      </c>
      <c r="I66" s="126" t="s">
        <v>1998</v>
      </c>
      <c r="J66" s="127" t="str">
        <f t="shared" si="1"/>
        <v>PE25-065</v>
      </c>
      <c r="K66" s="128">
        <v>45757.0</v>
      </c>
      <c r="L66" s="151"/>
      <c r="M66" s="151" t="s">
        <v>33</v>
      </c>
      <c r="N66" s="124" t="s">
        <v>1745</v>
      </c>
      <c r="O66" s="124" t="s">
        <v>2381</v>
      </c>
      <c r="P66" s="130" t="s">
        <v>2401</v>
      </c>
      <c r="Q66" s="131">
        <v>2857142.0</v>
      </c>
      <c r="R66" s="132">
        <v>4412750.0</v>
      </c>
      <c r="S66" s="132">
        <f t="shared" si="2"/>
        <v>7269892</v>
      </c>
      <c r="T66" s="133">
        <f t="shared" si="3"/>
        <v>799688.12</v>
      </c>
      <c r="U66" s="132">
        <f t="shared" si="4"/>
        <v>8069580.12</v>
      </c>
      <c r="V66" s="130"/>
      <c r="W66" s="124" t="s">
        <v>1747</v>
      </c>
      <c r="X66" s="134"/>
      <c r="Y66" s="135" t="str">
        <f>VLOOKUP(J66,[1]TARIKANMYSAP!$H$2:$K$1013,4,FALSE)</f>
        <v>#ERROR!</v>
      </c>
      <c r="Z66" s="136" t="str">
        <f t="shared" si="5"/>
        <v>PE25-065</v>
      </c>
      <c r="AA66" s="137"/>
      <c r="AB66" s="137"/>
    </row>
    <row r="67" ht="12.0" customHeight="1">
      <c r="A67" s="111"/>
      <c r="F67" s="123">
        <f t="shared" si="8"/>
        <v>66</v>
      </c>
      <c r="G67" s="124" t="s">
        <v>2396</v>
      </c>
      <c r="H67" s="125" t="s">
        <v>2378</v>
      </c>
      <c r="I67" s="126" t="s">
        <v>2002</v>
      </c>
      <c r="J67" s="127" t="str">
        <f t="shared" si="1"/>
        <v>PE25-066</v>
      </c>
      <c r="K67" s="128">
        <v>45763.0</v>
      </c>
      <c r="L67" s="129"/>
      <c r="M67" s="129" t="s">
        <v>2387</v>
      </c>
      <c r="N67" s="124" t="s">
        <v>1745</v>
      </c>
      <c r="O67" s="124"/>
      <c r="P67" s="130" t="s">
        <v>289</v>
      </c>
      <c r="Q67" s="131">
        <v>7392000.0</v>
      </c>
      <c r="R67" s="132"/>
      <c r="S67" s="132">
        <f t="shared" si="2"/>
        <v>7392000</v>
      </c>
      <c r="T67" s="133">
        <f t="shared" si="3"/>
        <v>813120</v>
      </c>
      <c r="U67" s="132">
        <f t="shared" si="4"/>
        <v>8205120</v>
      </c>
      <c r="V67" s="130"/>
      <c r="W67" s="124" t="s">
        <v>2388</v>
      </c>
      <c r="X67" s="134"/>
      <c r="Y67" s="135" t="str">
        <f>VLOOKUP(J67,[1]TARIKANMYSAP!$H$2:$K$1013,4,FALSE)</f>
        <v>#ERROR!</v>
      </c>
      <c r="Z67" s="136" t="str">
        <f t="shared" si="5"/>
        <v>PE25-066</v>
      </c>
      <c r="AA67" s="137"/>
      <c r="AB67" s="137"/>
    </row>
    <row r="68" ht="12.0" customHeight="1">
      <c r="A68" s="111"/>
      <c r="F68" s="123">
        <f t="shared" si="8"/>
        <v>67</v>
      </c>
      <c r="G68" s="124" t="s">
        <v>2396</v>
      </c>
      <c r="H68" s="125" t="s">
        <v>2378</v>
      </c>
      <c r="I68" s="126" t="s">
        <v>2005</v>
      </c>
      <c r="J68" s="127" t="str">
        <f t="shared" si="1"/>
        <v>PE25-067</v>
      </c>
      <c r="K68" s="128">
        <v>45763.0</v>
      </c>
      <c r="L68" s="129"/>
      <c r="M68" s="129" t="s">
        <v>2387</v>
      </c>
      <c r="N68" s="124" t="s">
        <v>2402</v>
      </c>
      <c r="O68" s="124"/>
      <c r="P68" s="130" t="s">
        <v>291</v>
      </c>
      <c r="Q68" s="131">
        <v>2.565E7</v>
      </c>
      <c r="R68" s="132"/>
      <c r="S68" s="132">
        <f t="shared" si="2"/>
        <v>25650000</v>
      </c>
      <c r="T68" s="133">
        <f t="shared" si="3"/>
        <v>2821500</v>
      </c>
      <c r="U68" s="132">
        <f t="shared" si="4"/>
        <v>28471500</v>
      </c>
      <c r="V68" s="130"/>
      <c r="W68" s="124" t="s">
        <v>2388</v>
      </c>
      <c r="X68" s="134"/>
      <c r="Y68" s="135" t="str">
        <f>VLOOKUP(J68,[1]TARIKANMYSAP!$H$2:$K$1013,4,FALSE)</f>
        <v>#ERROR!</v>
      </c>
      <c r="Z68" s="136" t="str">
        <f t="shared" si="5"/>
        <v>PE25-067</v>
      </c>
      <c r="AA68" s="137"/>
      <c r="AB68" s="137"/>
    </row>
    <row r="69" ht="12.0" customHeight="1">
      <c r="A69" s="111"/>
      <c r="F69" s="123">
        <f t="shared" si="8"/>
        <v>68</v>
      </c>
      <c r="G69" s="124" t="s">
        <v>2396</v>
      </c>
      <c r="H69" s="125" t="s">
        <v>2378</v>
      </c>
      <c r="I69" s="126" t="s">
        <v>2008</v>
      </c>
      <c r="J69" s="127" t="str">
        <f t="shared" si="1"/>
        <v>PE25-068</v>
      </c>
      <c r="K69" s="128">
        <v>45764.0</v>
      </c>
      <c r="L69" s="129"/>
      <c r="M69" s="129" t="s">
        <v>2387</v>
      </c>
      <c r="N69" s="124" t="s">
        <v>1745</v>
      </c>
      <c r="O69" s="124"/>
      <c r="P69" s="130" t="s">
        <v>295</v>
      </c>
      <c r="Q69" s="131">
        <v>7370000.0</v>
      </c>
      <c r="R69" s="132"/>
      <c r="S69" s="132">
        <f t="shared" si="2"/>
        <v>7370000</v>
      </c>
      <c r="T69" s="133">
        <f t="shared" si="3"/>
        <v>810700</v>
      </c>
      <c r="U69" s="132">
        <f t="shared" si="4"/>
        <v>8180700</v>
      </c>
      <c r="V69" s="130"/>
      <c r="W69" s="124" t="s">
        <v>2395</v>
      </c>
      <c r="X69" s="134"/>
      <c r="Y69" s="135" t="str">
        <f>VLOOKUP(J69,[1]TARIKANMYSAP!$H$2:$K$1013,4,FALSE)</f>
        <v>#ERROR!</v>
      </c>
      <c r="Z69" s="136" t="str">
        <f t="shared" si="5"/>
        <v>PE25-068</v>
      </c>
      <c r="AA69" s="137"/>
      <c r="AB69" s="137"/>
    </row>
    <row r="70" ht="12.0" customHeight="1">
      <c r="A70" s="111"/>
      <c r="F70" s="123">
        <f t="shared" si="8"/>
        <v>69</v>
      </c>
      <c r="G70" s="124" t="s">
        <v>2396</v>
      </c>
      <c r="H70" s="125" t="s">
        <v>2378</v>
      </c>
      <c r="I70" s="126" t="s">
        <v>2011</v>
      </c>
      <c r="J70" s="127" t="str">
        <f t="shared" si="1"/>
        <v>PE25-069</v>
      </c>
      <c r="K70" s="128">
        <v>45768.0</v>
      </c>
      <c r="L70" s="151"/>
      <c r="M70" s="151" t="s">
        <v>297</v>
      </c>
      <c r="N70" s="124" t="s">
        <v>1745</v>
      </c>
      <c r="O70" s="124"/>
      <c r="P70" s="130" t="s">
        <v>298</v>
      </c>
      <c r="Q70" s="131">
        <v>1.86432088E8</v>
      </c>
      <c r="R70" s="132">
        <f>Q70*8.5%</f>
        <v>15846727.48</v>
      </c>
      <c r="S70" s="132">
        <f t="shared" si="2"/>
        <v>202278815.5</v>
      </c>
      <c r="T70" s="133">
        <f t="shared" si="3"/>
        <v>22250669.7</v>
      </c>
      <c r="U70" s="132">
        <f t="shared" si="4"/>
        <v>224529485.2</v>
      </c>
      <c r="V70" s="130"/>
      <c r="W70" s="124" t="s">
        <v>2388</v>
      </c>
      <c r="X70" s="134"/>
      <c r="Y70" s="135" t="str">
        <f>VLOOKUP(J70,[1]TARIKANMYSAP!$H$2:$K$1013,4,FALSE)</f>
        <v>#ERROR!</v>
      </c>
      <c r="Z70" s="136" t="str">
        <f t="shared" si="5"/>
        <v>PE25-069</v>
      </c>
      <c r="AA70" s="137"/>
      <c r="AB70" s="137"/>
    </row>
    <row r="71" ht="12.0" customHeight="1">
      <c r="A71" s="111"/>
      <c r="F71" s="123">
        <f t="shared" si="8"/>
        <v>70</v>
      </c>
      <c r="G71" s="124" t="s">
        <v>2396</v>
      </c>
      <c r="H71" s="125" t="s">
        <v>2378</v>
      </c>
      <c r="I71" s="126" t="s">
        <v>2013</v>
      </c>
      <c r="J71" s="127" t="str">
        <f t="shared" si="1"/>
        <v>PE25-070</v>
      </c>
      <c r="K71" s="128">
        <v>45769.0</v>
      </c>
      <c r="L71" s="129"/>
      <c r="M71" s="129" t="s">
        <v>2387</v>
      </c>
      <c r="N71" s="124" t="s">
        <v>1752</v>
      </c>
      <c r="O71" s="124"/>
      <c r="P71" s="130" t="s">
        <v>2403</v>
      </c>
      <c r="Q71" s="131">
        <v>2.8877545E7</v>
      </c>
      <c r="R71" s="132">
        <f>Q71*12%</f>
        <v>3465305.4</v>
      </c>
      <c r="S71" s="132">
        <f t="shared" si="2"/>
        <v>32342850.4</v>
      </c>
      <c r="T71" s="133">
        <f t="shared" si="3"/>
        <v>3557713.544</v>
      </c>
      <c r="U71" s="132">
        <f t="shared" si="4"/>
        <v>35900563.94</v>
      </c>
      <c r="V71" s="130"/>
      <c r="W71" s="124" t="s">
        <v>2388</v>
      </c>
      <c r="X71" s="134"/>
      <c r="Y71" s="135" t="str">
        <f>VLOOKUP(J71,[1]TARIKANMYSAP!$H$2:$K$1013,4,FALSE)</f>
        <v>#ERROR!</v>
      </c>
      <c r="Z71" s="136" t="str">
        <f t="shared" si="5"/>
        <v>PE25-070</v>
      </c>
      <c r="AA71" s="137"/>
      <c r="AB71" s="137"/>
    </row>
    <row r="72" ht="12.0" customHeight="1">
      <c r="A72" s="111"/>
      <c r="F72" s="123">
        <f t="shared" si="8"/>
        <v>71</v>
      </c>
      <c r="G72" s="124" t="s">
        <v>2396</v>
      </c>
      <c r="H72" s="125" t="s">
        <v>2378</v>
      </c>
      <c r="I72" s="126" t="s">
        <v>2016</v>
      </c>
      <c r="J72" s="127" t="str">
        <f t="shared" si="1"/>
        <v>PE25-071</v>
      </c>
      <c r="K72" s="128">
        <v>45770.0</v>
      </c>
      <c r="L72" s="129"/>
      <c r="M72" s="129" t="s">
        <v>2387</v>
      </c>
      <c r="N72" s="124" t="s">
        <v>1745</v>
      </c>
      <c r="O72" s="124"/>
      <c r="P72" s="130" t="s">
        <v>306</v>
      </c>
      <c r="Q72" s="131">
        <v>1.3992871E7</v>
      </c>
      <c r="R72" s="132">
        <f t="shared" ref="R72:R74" si="12">Q72*7.5%</f>
        <v>1049465.325</v>
      </c>
      <c r="S72" s="132">
        <f t="shared" si="2"/>
        <v>15042336.33</v>
      </c>
      <c r="T72" s="133">
        <f t="shared" si="3"/>
        <v>1654656.996</v>
      </c>
      <c r="U72" s="132">
        <f t="shared" si="4"/>
        <v>16696993.32</v>
      </c>
      <c r="V72" s="130"/>
      <c r="W72" s="124" t="s">
        <v>2388</v>
      </c>
      <c r="X72" s="134"/>
      <c r="Y72" s="135" t="str">
        <f>VLOOKUP(J72,[1]TARIKANMYSAP!$H$2:$K$1013,4,FALSE)</f>
        <v>#ERROR!</v>
      </c>
      <c r="Z72" s="136" t="str">
        <f t="shared" si="5"/>
        <v>PE25-071</v>
      </c>
      <c r="AA72" s="137"/>
      <c r="AB72" s="137"/>
    </row>
    <row r="73" ht="12.0" customHeight="1">
      <c r="A73" s="111"/>
      <c r="F73" s="123">
        <f t="shared" si="8"/>
        <v>72</v>
      </c>
      <c r="G73" s="124" t="s">
        <v>2396</v>
      </c>
      <c r="H73" s="125" t="s">
        <v>2378</v>
      </c>
      <c r="I73" s="126" t="s">
        <v>2019</v>
      </c>
      <c r="J73" s="127" t="str">
        <f t="shared" si="1"/>
        <v>PE25-072</v>
      </c>
      <c r="K73" s="128">
        <v>45770.0</v>
      </c>
      <c r="L73" s="129"/>
      <c r="M73" s="129" t="s">
        <v>2387</v>
      </c>
      <c r="N73" s="124" t="s">
        <v>1745</v>
      </c>
      <c r="O73" s="124"/>
      <c r="P73" s="130" t="s">
        <v>310</v>
      </c>
      <c r="Q73" s="131">
        <v>1.0884071E7</v>
      </c>
      <c r="R73" s="132">
        <f t="shared" si="12"/>
        <v>816305.325</v>
      </c>
      <c r="S73" s="132">
        <f t="shared" si="2"/>
        <v>11700376.33</v>
      </c>
      <c r="T73" s="133">
        <f t="shared" si="3"/>
        <v>1287041.396</v>
      </c>
      <c r="U73" s="132">
        <f t="shared" si="4"/>
        <v>12987417.72</v>
      </c>
      <c r="V73" s="130"/>
      <c r="W73" s="124" t="s">
        <v>2388</v>
      </c>
      <c r="X73" s="134"/>
      <c r="Y73" s="135" t="str">
        <f>VLOOKUP(J73,[1]TARIKANMYSAP!$H$2:$K$1013,4,FALSE)</f>
        <v>#ERROR!</v>
      </c>
      <c r="Z73" s="136" t="str">
        <f t="shared" si="5"/>
        <v>PE25-072</v>
      </c>
      <c r="AA73" s="137"/>
      <c r="AB73" s="137"/>
    </row>
    <row r="74" ht="12.0" customHeight="1">
      <c r="A74" s="111"/>
      <c r="F74" s="123">
        <f t="shared" si="8"/>
        <v>73</v>
      </c>
      <c r="G74" s="124" t="s">
        <v>2396</v>
      </c>
      <c r="H74" s="125" t="s">
        <v>2378</v>
      </c>
      <c r="I74" s="126" t="s">
        <v>2022</v>
      </c>
      <c r="J74" s="127" t="str">
        <f t="shared" si="1"/>
        <v>PE25-073</v>
      </c>
      <c r="K74" s="128">
        <v>45770.0</v>
      </c>
      <c r="L74" s="129"/>
      <c r="M74" s="129" t="s">
        <v>2387</v>
      </c>
      <c r="N74" s="124" t="s">
        <v>1745</v>
      </c>
      <c r="O74" s="124"/>
      <c r="P74" s="130" t="s">
        <v>314</v>
      </c>
      <c r="Q74" s="131">
        <v>1.0884071E7</v>
      </c>
      <c r="R74" s="132">
        <f t="shared" si="12"/>
        <v>816305.325</v>
      </c>
      <c r="S74" s="132">
        <f t="shared" si="2"/>
        <v>11700376.33</v>
      </c>
      <c r="T74" s="133">
        <f t="shared" si="3"/>
        <v>1287041.396</v>
      </c>
      <c r="U74" s="132">
        <f t="shared" si="4"/>
        <v>12987417.72</v>
      </c>
      <c r="V74" s="130"/>
      <c r="W74" s="124" t="s">
        <v>2388</v>
      </c>
      <c r="X74" s="134"/>
      <c r="Y74" s="135" t="str">
        <f>VLOOKUP(J74,[1]TARIKANMYSAP!$H$2:$K$1013,4,FALSE)</f>
        <v>#ERROR!</v>
      </c>
      <c r="Z74" s="136" t="str">
        <f t="shared" si="5"/>
        <v>PE25-073</v>
      </c>
      <c r="AA74" s="137"/>
      <c r="AB74" s="137"/>
    </row>
    <row r="75" ht="12.0" customHeight="1">
      <c r="A75" s="111"/>
      <c r="F75" s="123">
        <f t="shared" si="8"/>
        <v>74</v>
      </c>
      <c r="G75" s="124" t="s">
        <v>2396</v>
      </c>
      <c r="H75" s="125" t="s">
        <v>2378</v>
      </c>
      <c r="I75" s="126" t="s">
        <v>2026</v>
      </c>
      <c r="J75" s="127" t="str">
        <f t="shared" si="1"/>
        <v>PE25-074</v>
      </c>
      <c r="K75" s="128">
        <v>45770.0</v>
      </c>
      <c r="L75" s="129"/>
      <c r="M75" s="129" t="s">
        <v>316</v>
      </c>
      <c r="N75" s="124" t="s">
        <v>1745</v>
      </c>
      <c r="O75" s="124" t="s">
        <v>2381</v>
      </c>
      <c r="P75" s="130" t="s">
        <v>317</v>
      </c>
      <c r="Q75" s="131">
        <v>1.223012E7</v>
      </c>
      <c r="R75" s="132"/>
      <c r="S75" s="132">
        <f t="shared" si="2"/>
        <v>12230120</v>
      </c>
      <c r="T75" s="133">
        <f t="shared" si="3"/>
        <v>1345313.2</v>
      </c>
      <c r="U75" s="132">
        <f t="shared" si="4"/>
        <v>13575433.2</v>
      </c>
      <c r="V75" s="130"/>
      <c r="W75" s="124" t="s">
        <v>1764</v>
      </c>
      <c r="X75" s="134"/>
      <c r="Y75" s="135" t="str">
        <f>VLOOKUP(J75,[1]TARIKANMYSAP!$H$2:$K$1013,4,FALSE)</f>
        <v>#ERROR!</v>
      </c>
      <c r="Z75" s="136" t="str">
        <f t="shared" si="5"/>
        <v>PE25-074</v>
      </c>
      <c r="AA75" s="137"/>
      <c r="AB75" s="137"/>
    </row>
    <row r="76" ht="12.0" customHeight="1">
      <c r="A76" s="111"/>
      <c r="F76" s="123">
        <f t="shared" si="8"/>
        <v>75</v>
      </c>
      <c r="G76" s="124" t="s">
        <v>2396</v>
      </c>
      <c r="H76" s="125" t="s">
        <v>2378</v>
      </c>
      <c r="I76" s="126" t="s">
        <v>2033</v>
      </c>
      <c r="J76" s="127" t="str">
        <f t="shared" si="1"/>
        <v>PE25-075</v>
      </c>
      <c r="K76" s="128">
        <v>45770.0</v>
      </c>
      <c r="L76" s="129"/>
      <c r="M76" s="129" t="s">
        <v>316</v>
      </c>
      <c r="N76" s="124" t="s">
        <v>1745</v>
      </c>
      <c r="O76" s="124" t="s">
        <v>2381</v>
      </c>
      <c r="P76" s="130" t="s">
        <v>321</v>
      </c>
      <c r="Q76" s="131">
        <v>1.223012E7</v>
      </c>
      <c r="R76" s="132"/>
      <c r="S76" s="132">
        <f t="shared" si="2"/>
        <v>12230120</v>
      </c>
      <c r="T76" s="133">
        <f t="shared" si="3"/>
        <v>1345313.2</v>
      </c>
      <c r="U76" s="132">
        <f t="shared" si="4"/>
        <v>13575433.2</v>
      </c>
      <c r="V76" s="130"/>
      <c r="W76" s="124" t="s">
        <v>1764</v>
      </c>
      <c r="X76" s="134"/>
      <c r="Y76" s="135" t="str">
        <f>VLOOKUP(J76,[1]TARIKANMYSAP!$H$2:$K$1013,4,FALSE)</f>
        <v>#ERROR!</v>
      </c>
      <c r="Z76" s="136" t="str">
        <f t="shared" si="5"/>
        <v>PE25-075</v>
      </c>
      <c r="AA76" s="137"/>
      <c r="AB76" s="137"/>
    </row>
    <row r="77" ht="12.0" customHeight="1">
      <c r="A77" s="111"/>
      <c r="F77" s="123">
        <f t="shared" si="8"/>
        <v>76</v>
      </c>
      <c r="G77" s="124" t="s">
        <v>2396</v>
      </c>
      <c r="H77" s="125" t="s">
        <v>2378</v>
      </c>
      <c r="I77" s="126" t="s">
        <v>2036</v>
      </c>
      <c r="J77" s="127" t="str">
        <f t="shared" si="1"/>
        <v>PE25-076</v>
      </c>
      <c r="K77" s="128">
        <v>45770.0</v>
      </c>
      <c r="L77" s="129"/>
      <c r="M77" s="129" t="s">
        <v>316</v>
      </c>
      <c r="N77" s="124" t="s">
        <v>1745</v>
      </c>
      <c r="O77" s="124" t="s">
        <v>2381</v>
      </c>
      <c r="P77" s="130" t="s">
        <v>323</v>
      </c>
      <c r="Q77" s="131">
        <v>1.374912E7</v>
      </c>
      <c r="R77" s="132"/>
      <c r="S77" s="132">
        <f t="shared" si="2"/>
        <v>13749120</v>
      </c>
      <c r="T77" s="133">
        <f t="shared" si="3"/>
        <v>1512403.2</v>
      </c>
      <c r="U77" s="132">
        <f t="shared" si="4"/>
        <v>15261523.2</v>
      </c>
      <c r="V77" s="130"/>
      <c r="W77" s="124" t="s">
        <v>1764</v>
      </c>
      <c r="X77" s="134"/>
      <c r="Y77" s="135" t="str">
        <f>VLOOKUP(J77,[1]TARIKANMYSAP!$H$2:$K$1013,4,FALSE)</f>
        <v>#ERROR!</v>
      </c>
      <c r="Z77" s="136" t="str">
        <f t="shared" si="5"/>
        <v>PE25-076</v>
      </c>
      <c r="AA77" s="137"/>
      <c r="AB77" s="137"/>
    </row>
    <row r="78" ht="12.0" customHeight="1">
      <c r="A78" s="111"/>
      <c r="F78" s="123">
        <f t="shared" si="8"/>
        <v>77</v>
      </c>
      <c r="G78" s="124" t="s">
        <v>2396</v>
      </c>
      <c r="H78" s="125" t="s">
        <v>2378</v>
      </c>
      <c r="I78" s="126" t="s">
        <v>2041</v>
      </c>
      <c r="J78" s="127" t="str">
        <f t="shared" si="1"/>
        <v>PE25-077</v>
      </c>
      <c r="K78" s="128">
        <v>45770.0</v>
      </c>
      <c r="L78" s="129"/>
      <c r="M78" s="129" t="s">
        <v>316</v>
      </c>
      <c r="N78" s="124" t="s">
        <v>1745</v>
      </c>
      <c r="O78" s="124" t="s">
        <v>2381</v>
      </c>
      <c r="P78" s="130" t="s">
        <v>327</v>
      </c>
      <c r="Q78" s="131">
        <v>1.223012E7</v>
      </c>
      <c r="R78" s="132"/>
      <c r="S78" s="132">
        <f t="shared" si="2"/>
        <v>12230120</v>
      </c>
      <c r="T78" s="133">
        <f t="shared" si="3"/>
        <v>1345313.2</v>
      </c>
      <c r="U78" s="132">
        <f t="shared" si="4"/>
        <v>13575433.2</v>
      </c>
      <c r="V78" s="130"/>
      <c r="W78" s="124" t="s">
        <v>1764</v>
      </c>
      <c r="X78" s="134"/>
      <c r="Y78" s="135" t="str">
        <f>VLOOKUP(J78,[1]TARIKANMYSAP!$H$2:$K$1013,4,FALSE)</f>
        <v>#ERROR!</v>
      </c>
      <c r="Z78" s="136" t="str">
        <f t="shared" si="5"/>
        <v>PE25-077</v>
      </c>
      <c r="AA78" s="137"/>
      <c r="AB78" s="137"/>
    </row>
    <row r="79" ht="12.0" customHeight="1">
      <c r="A79" s="111"/>
      <c r="F79" s="123">
        <f t="shared" si="8"/>
        <v>78</v>
      </c>
      <c r="G79" s="124" t="s">
        <v>2396</v>
      </c>
      <c r="H79" s="125" t="s">
        <v>2378</v>
      </c>
      <c r="I79" s="126" t="s">
        <v>2044</v>
      </c>
      <c r="J79" s="127" t="str">
        <f t="shared" si="1"/>
        <v>PE25-078</v>
      </c>
      <c r="K79" s="128">
        <v>45771.0</v>
      </c>
      <c r="L79" s="129"/>
      <c r="M79" s="129" t="s">
        <v>329</v>
      </c>
      <c r="N79" s="124" t="s">
        <v>1745</v>
      </c>
      <c r="O79" s="124"/>
      <c r="P79" s="130" t="s">
        <v>2404</v>
      </c>
      <c r="Q79" s="131">
        <v>1.13637563E8</v>
      </c>
      <c r="R79" s="132"/>
      <c r="S79" s="132">
        <f t="shared" si="2"/>
        <v>113637563</v>
      </c>
      <c r="T79" s="133">
        <f t="shared" si="3"/>
        <v>12500131.93</v>
      </c>
      <c r="U79" s="132">
        <f t="shared" si="4"/>
        <v>126137694.9</v>
      </c>
      <c r="V79" s="130"/>
      <c r="W79" s="124" t="s">
        <v>1747</v>
      </c>
      <c r="X79" s="134"/>
      <c r="Y79" s="135" t="str">
        <f>VLOOKUP(J79,[1]TARIKANMYSAP!$H$2:$K$1013,4,FALSE)</f>
        <v>#ERROR!</v>
      </c>
      <c r="Z79" s="136" t="str">
        <f t="shared" si="5"/>
        <v>PE25-078</v>
      </c>
      <c r="AA79" s="137"/>
      <c r="AB79" s="137"/>
    </row>
    <row r="80" ht="12.0" customHeight="1">
      <c r="A80" s="111"/>
      <c r="F80" s="123">
        <f t="shared" si="8"/>
        <v>79</v>
      </c>
      <c r="G80" s="124" t="s">
        <v>2396</v>
      </c>
      <c r="H80" s="125" t="s">
        <v>2378</v>
      </c>
      <c r="I80" s="126" t="s">
        <v>2049</v>
      </c>
      <c r="J80" s="127" t="str">
        <f t="shared" si="1"/>
        <v>PE25-079</v>
      </c>
      <c r="K80" s="128">
        <v>45771.0</v>
      </c>
      <c r="L80" s="129"/>
      <c r="M80" s="129" t="s">
        <v>2387</v>
      </c>
      <c r="N80" s="124" t="s">
        <v>1745</v>
      </c>
      <c r="O80" s="124"/>
      <c r="P80" s="130" t="s">
        <v>334</v>
      </c>
      <c r="Q80" s="131">
        <v>8550000.0</v>
      </c>
      <c r="R80" s="132"/>
      <c r="S80" s="132">
        <f t="shared" si="2"/>
        <v>8550000</v>
      </c>
      <c r="T80" s="133">
        <f t="shared" si="3"/>
        <v>940500</v>
      </c>
      <c r="U80" s="132">
        <f t="shared" si="4"/>
        <v>9490500</v>
      </c>
      <c r="V80" s="130"/>
      <c r="W80" s="124" t="s">
        <v>2388</v>
      </c>
      <c r="X80" s="134"/>
      <c r="Y80" s="135" t="str">
        <f>VLOOKUP(J80,[1]TARIKANMYSAP!$H$2:$K$1013,4,FALSE)</f>
        <v>#ERROR!</v>
      </c>
      <c r="Z80" s="136" t="str">
        <f t="shared" si="5"/>
        <v>PE25-079</v>
      </c>
      <c r="AA80" s="137"/>
      <c r="AB80" s="137"/>
    </row>
    <row r="81" ht="12.0" customHeight="1">
      <c r="A81" s="111"/>
      <c r="F81" s="123">
        <f t="shared" si="8"/>
        <v>80</v>
      </c>
      <c r="G81" s="124" t="s">
        <v>2396</v>
      </c>
      <c r="H81" s="125" t="s">
        <v>2378</v>
      </c>
      <c r="I81" s="126" t="s">
        <v>2053</v>
      </c>
      <c r="J81" s="127" t="str">
        <f t="shared" si="1"/>
        <v>PE25-080</v>
      </c>
      <c r="K81" s="128">
        <v>45775.0</v>
      </c>
      <c r="L81" s="129"/>
      <c r="M81" s="129" t="s">
        <v>337</v>
      </c>
      <c r="N81" s="124" t="s">
        <v>1745</v>
      </c>
      <c r="O81" s="124"/>
      <c r="P81" s="130" t="s">
        <v>338</v>
      </c>
      <c r="Q81" s="131">
        <v>7.3235585E7</v>
      </c>
      <c r="R81" s="132">
        <f t="shared" ref="R81:R85" si="13">Q81*8.5%</f>
        <v>6225024.725</v>
      </c>
      <c r="S81" s="132">
        <f t="shared" si="2"/>
        <v>79460609.73</v>
      </c>
      <c r="T81" s="133">
        <f t="shared" si="3"/>
        <v>8740667.07</v>
      </c>
      <c r="U81" s="132">
        <f t="shared" si="4"/>
        <v>88201276.79</v>
      </c>
      <c r="V81" s="130"/>
      <c r="W81" s="124" t="s">
        <v>1747</v>
      </c>
      <c r="X81" s="134"/>
      <c r="Y81" s="135" t="str">
        <f>VLOOKUP(J81,[1]TARIKANMYSAP!$H$2:$K$1013,4,FALSE)</f>
        <v>#ERROR!</v>
      </c>
      <c r="Z81" s="136" t="str">
        <f t="shared" si="5"/>
        <v>PE25-080</v>
      </c>
      <c r="AA81" s="137"/>
      <c r="AB81" s="137"/>
    </row>
    <row r="82" ht="12.0" customHeight="1">
      <c r="A82" s="111"/>
      <c r="F82" s="123">
        <f t="shared" si="8"/>
        <v>81</v>
      </c>
      <c r="G82" s="124" t="s">
        <v>2396</v>
      </c>
      <c r="H82" s="125" t="s">
        <v>2378</v>
      </c>
      <c r="I82" s="126" t="s">
        <v>2057</v>
      </c>
      <c r="J82" s="127" t="str">
        <f t="shared" si="1"/>
        <v>PE25-081</v>
      </c>
      <c r="K82" s="128">
        <v>45775.0</v>
      </c>
      <c r="L82" s="151"/>
      <c r="M82" s="129" t="s">
        <v>337</v>
      </c>
      <c r="N82" s="124" t="s">
        <v>1745</v>
      </c>
      <c r="O82" s="124"/>
      <c r="P82" s="130" t="s">
        <v>342</v>
      </c>
      <c r="Q82" s="131">
        <v>7.5620042E7</v>
      </c>
      <c r="R82" s="132">
        <f t="shared" si="13"/>
        <v>6427703.57</v>
      </c>
      <c r="S82" s="132">
        <f t="shared" si="2"/>
        <v>82047745.57</v>
      </c>
      <c r="T82" s="133">
        <f t="shared" si="3"/>
        <v>9025252.013</v>
      </c>
      <c r="U82" s="132">
        <f t="shared" si="4"/>
        <v>91072997.58</v>
      </c>
      <c r="V82" s="130"/>
      <c r="W82" s="124" t="s">
        <v>1747</v>
      </c>
      <c r="X82" s="134"/>
      <c r="Y82" s="135" t="str">
        <f>VLOOKUP(J82,[1]TARIKANMYSAP!$H$2:$K$1013,4,FALSE)</f>
        <v>#ERROR!</v>
      </c>
      <c r="Z82" s="136" t="str">
        <f t="shared" si="5"/>
        <v>PE25-081</v>
      </c>
      <c r="AA82" s="137"/>
      <c r="AB82" s="137"/>
    </row>
    <row r="83" ht="12.0" customHeight="1">
      <c r="A83" s="111"/>
      <c r="F83" s="123">
        <f t="shared" si="8"/>
        <v>82</v>
      </c>
      <c r="G83" s="124" t="s">
        <v>2396</v>
      </c>
      <c r="H83" s="125" t="s">
        <v>2378</v>
      </c>
      <c r="I83" s="126" t="s">
        <v>2064</v>
      </c>
      <c r="J83" s="127" t="str">
        <f t="shared" si="1"/>
        <v>PE25-082</v>
      </c>
      <c r="K83" s="128">
        <v>45775.0</v>
      </c>
      <c r="L83" s="151"/>
      <c r="M83" s="129" t="s">
        <v>337</v>
      </c>
      <c r="N83" s="124" t="s">
        <v>1745</v>
      </c>
      <c r="O83" s="124"/>
      <c r="P83" s="130" t="s">
        <v>346</v>
      </c>
      <c r="Q83" s="131">
        <v>6.6216842E7</v>
      </c>
      <c r="R83" s="132">
        <f t="shared" si="13"/>
        <v>5628431.57</v>
      </c>
      <c r="S83" s="132">
        <f t="shared" si="2"/>
        <v>71845273.57</v>
      </c>
      <c r="T83" s="133">
        <f t="shared" si="3"/>
        <v>7902980.093</v>
      </c>
      <c r="U83" s="132">
        <f t="shared" si="4"/>
        <v>79748253.66</v>
      </c>
      <c r="V83" s="130"/>
      <c r="W83" s="124" t="s">
        <v>1747</v>
      </c>
      <c r="X83" s="134"/>
      <c r="Y83" s="135" t="str">
        <f>VLOOKUP(J83,[1]TARIKANMYSAP!$H$2:$K$1013,4,FALSE)</f>
        <v>#ERROR!</v>
      </c>
      <c r="Z83" s="136" t="str">
        <f t="shared" si="5"/>
        <v>PE25-082</v>
      </c>
      <c r="AA83" s="137"/>
      <c r="AB83" s="137"/>
    </row>
    <row r="84" ht="12.0" customHeight="1">
      <c r="A84" s="111"/>
      <c r="F84" s="123">
        <f t="shared" si="8"/>
        <v>83</v>
      </c>
      <c r="G84" s="124" t="s">
        <v>2396</v>
      </c>
      <c r="H84" s="125" t="s">
        <v>2378</v>
      </c>
      <c r="I84" s="126" t="s">
        <v>2070</v>
      </c>
      <c r="J84" s="127" t="str">
        <f t="shared" si="1"/>
        <v>PE25-083</v>
      </c>
      <c r="K84" s="128">
        <v>45775.0</v>
      </c>
      <c r="L84" s="129"/>
      <c r="M84" s="129" t="s">
        <v>337</v>
      </c>
      <c r="N84" s="124" t="s">
        <v>1745</v>
      </c>
      <c r="O84" s="124"/>
      <c r="P84" s="130" t="s">
        <v>350</v>
      </c>
      <c r="Q84" s="131">
        <v>8.5614543E7</v>
      </c>
      <c r="R84" s="132">
        <f t="shared" si="13"/>
        <v>7277236.155</v>
      </c>
      <c r="S84" s="132">
        <f t="shared" si="2"/>
        <v>92891779.16</v>
      </c>
      <c r="T84" s="133">
        <f t="shared" si="3"/>
        <v>10218095.71</v>
      </c>
      <c r="U84" s="132">
        <f t="shared" si="4"/>
        <v>103109874.9</v>
      </c>
      <c r="V84" s="130"/>
      <c r="W84" s="124" t="s">
        <v>1747</v>
      </c>
      <c r="X84" s="134"/>
      <c r="Y84" s="135" t="str">
        <f>VLOOKUP(J84,[1]TARIKANMYSAP!$H$2:$K$1013,4,FALSE)</f>
        <v>#ERROR!</v>
      </c>
      <c r="Z84" s="136" t="str">
        <f t="shared" si="5"/>
        <v>PE25-083</v>
      </c>
      <c r="AA84" s="137"/>
      <c r="AB84" s="137"/>
    </row>
    <row r="85" ht="12.0" customHeight="1">
      <c r="A85" s="111"/>
      <c r="F85" s="123">
        <f t="shared" si="8"/>
        <v>84</v>
      </c>
      <c r="G85" s="124" t="s">
        <v>2396</v>
      </c>
      <c r="H85" s="125" t="s">
        <v>2378</v>
      </c>
      <c r="I85" s="126" t="s">
        <v>2073</v>
      </c>
      <c r="J85" s="127" t="str">
        <f t="shared" si="1"/>
        <v>PE25-084</v>
      </c>
      <c r="K85" s="128">
        <v>45775.0</v>
      </c>
      <c r="L85" s="129"/>
      <c r="M85" s="129" t="s">
        <v>337</v>
      </c>
      <c r="N85" s="124" t="s">
        <v>1745</v>
      </c>
      <c r="O85" s="124"/>
      <c r="P85" s="130" t="s">
        <v>354</v>
      </c>
      <c r="Q85" s="131">
        <v>5.1662042E7</v>
      </c>
      <c r="R85" s="132">
        <f t="shared" si="13"/>
        <v>4391273.57</v>
      </c>
      <c r="S85" s="132">
        <f t="shared" si="2"/>
        <v>56053315.57</v>
      </c>
      <c r="T85" s="133">
        <f t="shared" si="3"/>
        <v>6165864.713</v>
      </c>
      <c r="U85" s="132">
        <f t="shared" si="4"/>
        <v>62219180.28</v>
      </c>
      <c r="V85" s="130"/>
      <c r="W85" s="124" t="s">
        <v>1747</v>
      </c>
      <c r="X85" s="134"/>
      <c r="Y85" s="135" t="str">
        <f>VLOOKUP(J85,[1]TARIKANMYSAP!$H$2:$K$1013,4,FALSE)</f>
        <v>#ERROR!</v>
      </c>
      <c r="Z85" s="136" t="str">
        <f t="shared" si="5"/>
        <v>PE25-084</v>
      </c>
      <c r="AA85" s="137"/>
      <c r="AB85" s="137"/>
    </row>
    <row r="86" ht="12.0" customHeight="1">
      <c r="A86" s="111"/>
      <c r="F86" s="123">
        <f t="shared" si="8"/>
        <v>85</v>
      </c>
      <c r="G86" s="124" t="s">
        <v>2396</v>
      </c>
      <c r="H86" s="125" t="s">
        <v>2378</v>
      </c>
      <c r="I86" s="126" t="s">
        <v>2078</v>
      </c>
      <c r="J86" s="127" t="str">
        <f t="shared" si="1"/>
        <v>PE25-085</v>
      </c>
      <c r="K86" s="128">
        <v>45775.0</v>
      </c>
      <c r="L86" s="129"/>
      <c r="M86" s="129" t="s">
        <v>2387</v>
      </c>
      <c r="N86" s="124" t="s">
        <v>1745</v>
      </c>
      <c r="O86" s="124"/>
      <c r="P86" s="130" t="s">
        <v>358</v>
      </c>
      <c r="Q86" s="131">
        <v>7392000.0</v>
      </c>
      <c r="R86" s="132"/>
      <c r="S86" s="132">
        <f t="shared" si="2"/>
        <v>7392000</v>
      </c>
      <c r="T86" s="133">
        <f t="shared" si="3"/>
        <v>813120</v>
      </c>
      <c r="U86" s="132">
        <f t="shared" si="4"/>
        <v>8205120</v>
      </c>
      <c r="V86" s="130"/>
      <c r="W86" s="124" t="s">
        <v>2388</v>
      </c>
      <c r="X86" s="134"/>
      <c r="Y86" s="135" t="str">
        <f>VLOOKUP(J86,[1]TARIKANMYSAP!$H$2:$K$1013,4,FALSE)</f>
        <v>#ERROR!</v>
      </c>
      <c r="Z86" s="136" t="str">
        <f t="shared" si="5"/>
        <v>PE25-085</v>
      </c>
      <c r="AA86" s="137"/>
      <c r="AB86" s="137"/>
    </row>
    <row r="87" ht="12.0" customHeight="1">
      <c r="A87" s="111"/>
      <c r="F87" s="123">
        <f t="shared" si="8"/>
        <v>86</v>
      </c>
      <c r="G87" s="124" t="s">
        <v>2396</v>
      </c>
      <c r="H87" s="125" t="s">
        <v>2378</v>
      </c>
      <c r="I87" s="126" t="s">
        <v>2084</v>
      </c>
      <c r="J87" s="127" t="str">
        <f t="shared" si="1"/>
        <v>PE25-086</v>
      </c>
      <c r="K87" s="153">
        <v>45776.0</v>
      </c>
      <c r="L87" s="129"/>
      <c r="M87" s="129" t="s">
        <v>361</v>
      </c>
      <c r="N87" s="124" t="s">
        <v>1752</v>
      </c>
      <c r="O87" s="124" t="s">
        <v>2381</v>
      </c>
      <c r="P87" s="130" t="s">
        <v>2405</v>
      </c>
      <c r="Q87" s="131">
        <v>6122448.0</v>
      </c>
      <c r="R87" s="132">
        <f>Q87*12%</f>
        <v>734693.76</v>
      </c>
      <c r="S87" s="132">
        <f t="shared" si="2"/>
        <v>6857141.76</v>
      </c>
      <c r="T87" s="133">
        <f t="shared" si="3"/>
        <v>754285.5936</v>
      </c>
      <c r="U87" s="132">
        <f t="shared" si="4"/>
        <v>7611427.354</v>
      </c>
      <c r="V87" s="130"/>
      <c r="W87" s="124" t="s">
        <v>1747</v>
      </c>
      <c r="X87" s="134"/>
      <c r="Y87" s="135" t="str">
        <f>VLOOKUP(J87,[1]TARIKANMYSAP!$H$2:$K$1013,4,FALSE)</f>
        <v>#ERROR!</v>
      </c>
      <c r="Z87" s="136" t="str">
        <f t="shared" si="5"/>
        <v>PE25-086</v>
      </c>
      <c r="AA87" s="137"/>
      <c r="AB87" s="137"/>
    </row>
    <row r="88" ht="12.0" customHeight="1">
      <c r="A88" s="111"/>
      <c r="F88" s="123">
        <f t="shared" si="8"/>
        <v>87</v>
      </c>
      <c r="G88" s="124" t="s">
        <v>2406</v>
      </c>
      <c r="H88" s="125" t="s">
        <v>2378</v>
      </c>
      <c r="I88" s="126" t="s">
        <v>2087</v>
      </c>
      <c r="J88" s="127" t="str">
        <f t="shared" si="1"/>
        <v>PE25-087</v>
      </c>
      <c r="K88" s="128">
        <v>45779.0</v>
      </c>
      <c r="L88" s="129"/>
      <c r="M88" s="129" t="s">
        <v>2387</v>
      </c>
      <c r="N88" s="124" t="s">
        <v>1745</v>
      </c>
      <c r="O88" s="124"/>
      <c r="P88" s="130" t="s">
        <v>364</v>
      </c>
      <c r="Q88" s="131">
        <v>2.5249141E7</v>
      </c>
      <c r="R88" s="132">
        <f>Q88*6.2%</f>
        <v>1565446.742</v>
      </c>
      <c r="S88" s="132">
        <f t="shared" si="2"/>
        <v>26814587.74</v>
      </c>
      <c r="T88" s="133">
        <f t="shared" si="3"/>
        <v>2949604.652</v>
      </c>
      <c r="U88" s="132">
        <f t="shared" si="4"/>
        <v>29764192.39</v>
      </c>
      <c r="V88" s="130"/>
      <c r="W88" s="124" t="s">
        <v>2388</v>
      </c>
      <c r="X88" s="134"/>
      <c r="Y88" s="135" t="str">
        <f>VLOOKUP(J88,[1]TARIKANMYSAP!$H$2:$K$1013,4,FALSE)</f>
        <v>#ERROR!</v>
      </c>
      <c r="Z88" s="136" t="str">
        <f t="shared" si="5"/>
        <v>PE25-087</v>
      </c>
      <c r="AA88" s="137"/>
      <c r="AB88" s="137"/>
    </row>
    <row r="89" ht="12.0" customHeight="1">
      <c r="A89" s="111"/>
      <c r="F89" s="123">
        <f t="shared" si="8"/>
        <v>88</v>
      </c>
      <c r="G89" s="124" t="s">
        <v>2406</v>
      </c>
      <c r="H89" s="125" t="s">
        <v>2378</v>
      </c>
      <c r="I89" s="126" t="s">
        <v>2092</v>
      </c>
      <c r="J89" s="127" t="str">
        <f t="shared" si="1"/>
        <v>PE25-088</v>
      </c>
      <c r="K89" s="128">
        <v>45779.0</v>
      </c>
      <c r="L89" s="129"/>
      <c r="M89" s="129" t="s">
        <v>2387</v>
      </c>
      <c r="N89" s="124" t="s">
        <v>1745</v>
      </c>
      <c r="O89" s="124"/>
      <c r="P89" s="130" t="s">
        <v>368</v>
      </c>
      <c r="Q89" s="131">
        <v>1.0884071E7</v>
      </c>
      <c r="R89" s="132">
        <f>Q89*7.5%</f>
        <v>816305.325</v>
      </c>
      <c r="S89" s="132">
        <f t="shared" si="2"/>
        <v>11700376.33</v>
      </c>
      <c r="T89" s="133">
        <f t="shared" si="3"/>
        <v>1287041.396</v>
      </c>
      <c r="U89" s="132">
        <f t="shared" si="4"/>
        <v>12987417.72</v>
      </c>
      <c r="V89" s="130"/>
      <c r="W89" s="124" t="s">
        <v>2388</v>
      </c>
      <c r="X89" s="134"/>
      <c r="Y89" s="135" t="str">
        <f>VLOOKUP(J89,[1]TARIKANMYSAP!$H$2:$K$1013,4,FALSE)</f>
        <v>#ERROR!</v>
      </c>
      <c r="Z89" s="136" t="str">
        <f t="shared" si="5"/>
        <v>PE25-088</v>
      </c>
      <c r="AA89" s="137"/>
      <c r="AB89" s="137"/>
    </row>
    <row r="90" ht="12.0" customHeight="1">
      <c r="A90" s="111"/>
      <c r="F90" s="123">
        <f t="shared" si="8"/>
        <v>89</v>
      </c>
      <c r="G90" s="124" t="s">
        <v>2406</v>
      </c>
      <c r="H90" s="125" t="s">
        <v>2378</v>
      </c>
      <c r="I90" s="126" t="s">
        <v>2096</v>
      </c>
      <c r="J90" s="127" t="str">
        <f t="shared" si="1"/>
        <v>PE25-089</v>
      </c>
      <c r="K90" s="128">
        <v>45782.0</v>
      </c>
      <c r="L90" s="151"/>
      <c r="M90" s="151" t="s">
        <v>2407</v>
      </c>
      <c r="N90" s="124" t="s">
        <v>1745</v>
      </c>
      <c r="O90" s="124" t="s">
        <v>2381</v>
      </c>
      <c r="P90" s="130" t="s">
        <v>371</v>
      </c>
      <c r="Q90" s="131">
        <v>1.1272E7</v>
      </c>
      <c r="R90" s="132">
        <f>Q90*8.5%</f>
        <v>958120</v>
      </c>
      <c r="S90" s="132">
        <f t="shared" si="2"/>
        <v>12230120</v>
      </c>
      <c r="T90" s="133">
        <f t="shared" si="3"/>
        <v>1345313.2</v>
      </c>
      <c r="U90" s="132">
        <f t="shared" si="4"/>
        <v>13575433.2</v>
      </c>
      <c r="V90" s="130"/>
      <c r="W90" s="124" t="s">
        <v>1764</v>
      </c>
      <c r="X90" s="134"/>
      <c r="Y90" s="135" t="str">
        <f>VLOOKUP(J90,[1]TARIKANMYSAP!$H$2:$K$1013,4,FALSE)</f>
        <v>#ERROR!</v>
      </c>
      <c r="Z90" s="136" t="str">
        <f t="shared" si="5"/>
        <v>PE25-089</v>
      </c>
      <c r="AA90" s="137"/>
      <c r="AB90" s="137"/>
    </row>
    <row r="91" ht="12.0" customHeight="1">
      <c r="A91" s="111"/>
      <c r="F91" s="123">
        <f t="shared" si="8"/>
        <v>90</v>
      </c>
      <c r="G91" s="124" t="s">
        <v>2406</v>
      </c>
      <c r="H91" s="125" t="s">
        <v>2378</v>
      </c>
      <c r="I91" s="126" t="s">
        <v>2099</v>
      </c>
      <c r="J91" s="127" t="str">
        <f t="shared" si="1"/>
        <v>PE25-090</v>
      </c>
      <c r="K91" s="128">
        <v>45779.0</v>
      </c>
      <c r="L91" s="151"/>
      <c r="M91" s="151" t="s">
        <v>373</v>
      </c>
      <c r="N91" s="124" t="s">
        <v>1745</v>
      </c>
      <c r="O91" s="124"/>
      <c r="P91" s="130" t="s">
        <v>374</v>
      </c>
      <c r="Q91" s="131">
        <v>3.40032E7</v>
      </c>
      <c r="R91" s="132"/>
      <c r="S91" s="132">
        <f t="shared" si="2"/>
        <v>34003200</v>
      </c>
      <c r="T91" s="133">
        <f t="shared" si="3"/>
        <v>3740352</v>
      </c>
      <c r="U91" s="132">
        <f t="shared" si="4"/>
        <v>37743552</v>
      </c>
      <c r="V91" s="130"/>
      <c r="W91" s="124" t="s">
        <v>1925</v>
      </c>
      <c r="X91" s="134"/>
      <c r="Y91" s="135" t="str">
        <f>VLOOKUP(J91,[1]TARIKANMYSAP!$H$2:$K$1013,4,FALSE)</f>
        <v>#ERROR!</v>
      </c>
      <c r="Z91" s="136" t="str">
        <f t="shared" si="5"/>
        <v>PE25-090</v>
      </c>
      <c r="AA91" s="137"/>
      <c r="AB91" s="137"/>
    </row>
    <row r="92" ht="12.0" customHeight="1">
      <c r="A92" s="111"/>
      <c r="F92" s="123">
        <f t="shared" si="8"/>
        <v>91</v>
      </c>
      <c r="G92" s="124" t="s">
        <v>2406</v>
      </c>
      <c r="H92" s="125" t="s">
        <v>2378</v>
      </c>
      <c r="I92" s="126" t="s">
        <v>2103</v>
      </c>
      <c r="J92" s="127" t="str">
        <f t="shared" si="1"/>
        <v>PE25-091</v>
      </c>
      <c r="K92" s="128">
        <v>45779.0</v>
      </c>
      <c r="L92" s="151"/>
      <c r="M92" s="151" t="s">
        <v>378</v>
      </c>
      <c r="N92" s="124" t="s">
        <v>1745</v>
      </c>
      <c r="O92" s="124"/>
      <c r="P92" s="130" t="s">
        <v>379</v>
      </c>
      <c r="Q92" s="131">
        <v>3.416E7</v>
      </c>
      <c r="R92" s="132"/>
      <c r="S92" s="132">
        <f t="shared" si="2"/>
        <v>34160000</v>
      </c>
      <c r="T92" s="133">
        <f t="shared" si="3"/>
        <v>3757600</v>
      </c>
      <c r="U92" s="132">
        <f t="shared" si="4"/>
        <v>37917600</v>
      </c>
      <c r="V92" s="130"/>
      <c r="W92" s="124" t="s">
        <v>1925</v>
      </c>
      <c r="X92" s="134"/>
      <c r="Y92" s="135" t="str">
        <f>VLOOKUP(J92,[1]TARIKANMYSAP!$H$2:$K$1013,4,FALSE)</f>
        <v>#ERROR!</v>
      </c>
      <c r="Z92" s="136" t="str">
        <f t="shared" si="5"/>
        <v>PE25-091</v>
      </c>
      <c r="AA92" s="137"/>
      <c r="AB92" s="137"/>
    </row>
    <row r="93" ht="12.0" customHeight="1">
      <c r="A93" s="111"/>
      <c r="F93" s="123">
        <f t="shared" si="8"/>
        <v>92</v>
      </c>
      <c r="G93" s="124" t="s">
        <v>2406</v>
      </c>
      <c r="H93" s="125" t="s">
        <v>2378</v>
      </c>
      <c r="I93" s="126" t="s">
        <v>2106</v>
      </c>
      <c r="J93" s="127" t="str">
        <f t="shared" si="1"/>
        <v>PE25-092</v>
      </c>
      <c r="K93" s="128">
        <v>45779.0</v>
      </c>
      <c r="L93" s="129"/>
      <c r="M93" s="129" t="s">
        <v>383</v>
      </c>
      <c r="N93" s="124" t="s">
        <v>1745</v>
      </c>
      <c r="O93" s="124"/>
      <c r="P93" s="130" t="s">
        <v>384</v>
      </c>
      <c r="Q93" s="131">
        <v>1.473528E7</v>
      </c>
      <c r="R93" s="132"/>
      <c r="S93" s="132">
        <f t="shared" si="2"/>
        <v>14735280</v>
      </c>
      <c r="T93" s="133">
        <f t="shared" si="3"/>
        <v>1620880.8</v>
      </c>
      <c r="U93" s="132">
        <f t="shared" si="4"/>
        <v>16356160.8</v>
      </c>
      <c r="V93" s="130"/>
      <c r="W93" s="124" t="s">
        <v>1925</v>
      </c>
      <c r="X93" s="134"/>
      <c r="Y93" s="135" t="str">
        <f>VLOOKUP(J93,[1]TARIKANMYSAP!$H$2:$K$1013,4,FALSE)</f>
        <v>#ERROR!</v>
      </c>
      <c r="Z93" s="136" t="str">
        <f t="shared" si="5"/>
        <v>PE25-092</v>
      </c>
      <c r="AA93" s="137"/>
      <c r="AB93" s="137"/>
    </row>
    <row r="94" ht="12.0" customHeight="1">
      <c r="A94" s="111"/>
      <c r="F94" s="123">
        <f t="shared" si="8"/>
        <v>93</v>
      </c>
      <c r="G94" s="124" t="s">
        <v>2406</v>
      </c>
      <c r="H94" s="125" t="s">
        <v>2378</v>
      </c>
      <c r="I94" s="126" t="s">
        <v>2110</v>
      </c>
      <c r="J94" s="127" t="str">
        <f t="shared" si="1"/>
        <v>PE25-093</v>
      </c>
      <c r="K94" s="128">
        <v>45779.0</v>
      </c>
      <c r="L94" s="151"/>
      <c r="M94" s="151" t="s">
        <v>388</v>
      </c>
      <c r="N94" s="124" t="s">
        <v>1745</v>
      </c>
      <c r="O94" s="124"/>
      <c r="P94" s="130" t="s">
        <v>389</v>
      </c>
      <c r="Q94" s="131">
        <v>1.725E7</v>
      </c>
      <c r="R94" s="132"/>
      <c r="S94" s="132">
        <f t="shared" si="2"/>
        <v>17250000</v>
      </c>
      <c r="T94" s="133">
        <f t="shared" si="3"/>
        <v>1897500</v>
      </c>
      <c r="U94" s="132">
        <f t="shared" si="4"/>
        <v>19147500</v>
      </c>
      <c r="V94" s="130"/>
      <c r="W94" s="124" t="s">
        <v>1925</v>
      </c>
      <c r="X94" s="134"/>
      <c r="Y94" s="135" t="str">
        <f>VLOOKUP(J94,[1]TARIKANMYSAP!$H$2:$K$1013,4,FALSE)</f>
        <v>#ERROR!</v>
      </c>
      <c r="Z94" s="136" t="str">
        <f t="shared" si="5"/>
        <v>PE25-093</v>
      </c>
      <c r="AA94" s="137"/>
      <c r="AB94" s="137"/>
    </row>
    <row r="95" ht="12.0" customHeight="1">
      <c r="A95" s="111"/>
      <c r="F95" s="123">
        <f t="shared" si="8"/>
        <v>94</v>
      </c>
      <c r="G95" s="124" t="s">
        <v>2406</v>
      </c>
      <c r="H95" s="125" t="s">
        <v>2378</v>
      </c>
      <c r="I95" s="126" t="s">
        <v>2115</v>
      </c>
      <c r="J95" s="127" t="str">
        <f t="shared" si="1"/>
        <v>PE25-094</v>
      </c>
      <c r="K95" s="128">
        <v>45783.0</v>
      </c>
      <c r="L95" s="129"/>
      <c r="M95" s="129" t="s">
        <v>2387</v>
      </c>
      <c r="N95" s="124" t="s">
        <v>1745</v>
      </c>
      <c r="O95" s="124"/>
      <c r="P95" s="130" t="s">
        <v>393</v>
      </c>
      <c r="Q95" s="131">
        <v>7370000.0</v>
      </c>
      <c r="R95" s="132"/>
      <c r="S95" s="132">
        <f t="shared" si="2"/>
        <v>7370000</v>
      </c>
      <c r="T95" s="133">
        <f t="shared" si="3"/>
        <v>810700</v>
      </c>
      <c r="U95" s="132">
        <f t="shared" si="4"/>
        <v>8180700</v>
      </c>
      <c r="V95" s="130"/>
      <c r="W95" s="124" t="s">
        <v>2395</v>
      </c>
      <c r="X95" s="134"/>
      <c r="Y95" s="135" t="str">
        <f>VLOOKUP(J95,[1]TARIKANMYSAP!$H$2:$K$1013,4,FALSE)</f>
        <v>#ERROR!</v>
      </c>
      <c r="Z95" s="136" t="str">
        <f t="shared" si="5"/>
        <v>PE25-094</v>
      </c>
      <c r="AA95" s="137"/>
      <c r="AB95" s="137"/>
    </row>
    <row r="96" ht="12.0" customHeight="1">
      <c r="A96" s="111"/>
      <c r="F96" s="123">
        <f t="shared" si="8"/>
        <v>95</v>
      </c>
      <c r="G96" s="124" t="s">
        <v>2406</v>
      </c>
      <c r="H96" s="125" t="s">
        <v>2378</v>
      </c>
      <c r="I96" s="126" t="s">
        <v>2119</v>
      </c>
      <c r="J96" s="127" t="str">
        <f t="shared" si="1"/>
        <v>PE25-095</v>
      </c>
      <c r="K96" s="128">
        <v>45783.0</v>
      </c>
      <c r="L96" s="129"/>
      <c r="M96" s="129" t="s">
        <v>94</v>
      </c>
      <c r="N96" s="124" t="s">
        <v>1745</v>
      </c>
      <c r="O96" s="124"/>
      <c r="P96" s="130" t="s">
        <v>395</v>
      </c>
      <c r="Q96" s="131">
        <v>5.086275E7</v>
      </c>
      <c r="R96" s="132"/>
      <c r="S96" s="132">
        <f t="shared" si="2"/>
        <v>50862750</v>
      </c>
      <c r="T96" s="133">
        <f t="shared" si="3"/>
        <v>5594902.5</v>
      </c>
      <c r="U96" s="132">
        <f t="shared" si="4"/>
        <v>56457652.5</v>
      </c>
      <c r="V96" s="130"/>
      <c r="W96" s="124" t="s">
        <v>1747</v>
      </c>
      <c r="X96" s="134"/>
      <c r="Y96" s="135" t="str">
        <f>VLOOKUP(J96,[1]TARIKANMYSAP!$H$2:$K$1013,4,FALSE)</f>
        <v>#ERROR!</v>
      </c>
      <c r="Z96" s="136" t="str">
        <f t="shared" si="5"/>
        <v>PE25-095</v>
      </c>
      <c r="AA96" s="137"/>
      <c r="AB96" s="137"/>
    </row>
    <row r="97" ht="12.0" customHeight="1">
      <c r="A97" s="111"/>
      <c r="F97" s="123">
        <f t="shared" si="8"/>
        <v>96</v>
      </c>
      <c r="G97" s="124" t="s">
        <v>2406</v>
      </c>
      <c r="H97" s="125" t="s">
        <v>2378</v>
      </c>
      <c r="I97" s="126" t="s">
        <v>2123</v>
      </c>
      <c r="J97" s="127" t="str">
        <f t="shared" si="1"/>
        <v>PE25-096</v>
      </c>
      <c r="K97" s="128">
        <v>45783.0</v>
      </c>
      <c r="L97" s="151"/>
      <c r="M97" s="151" t="s">
        <v>217</v>
      </c>
      <c r="N97" s="124" t="s">
        <v>1745</v>
      </c>
      <c r="O97" s="124"/>
      <c r="P97" s="130" t="s">
        <v>397</v>
      </c>
      <c r="Q97" s="131">
        <v>6.0E7</v>
      </c>
      <c r="R97" s="132">
        <f>Q97*7.5%</f>
        <v>4500000</v>
      </c>
      <c r="S97" s="132">
        <f t="shared" si="2"/>
        <v>64500000</v>
      </c>
      <c r="T97" s="133">
        <f t="shared" si="3"/>
        <v>7095000</v>
      </c>
      <c r="U97" s="132">
        <f t="shared" si="4"/>
        <v>71595000</v>
      </c>
      <c r="V97" s="130"/>
      <c r="W97" s="124" t="s">
        <v>1747</v>
      </c>
      <c r="X97" s="134"/>
      <c r="Y97" s="135" t="str">
        <f>VLOOKUP(J97,[1]TARIKANMYSAP!$H$2:$K$1013,4,FALSE)</f>
        <v>#ERROR!</v>
      </c>
      <c r="Z97" s="136" t="str">
        <f t="shared" si="5"/>
        <v>PE25-096</v>
      </c>
      <c r="AA97" s="137"/>
      <c r="AB97" s="137"/>
    </row>
    <row r="98" ht="12.0" customHeight="1">
      <c r="A98" s="111"/>
      <c r="F98" s="123">
        <f t="shared" si="8"/>
        <v>97</v>
      </c>
      <c r="G98" s="124" t="s">
        <v>2406</v>
      </c>
      <c r="H98" s="125" t="s">
        <v>2378</v>
      </c>
      <c r="I98" s="126" t="s">
        <v>2125</v>
      </c>
      <c r="J98" s="127" t="str">
        <f t="shared" si="1"/>
        <v>PE25-097</v>
      </c>
      <c r="K98" s="128">
        <v>45793.0</v>
      </c>
      <c r="L98" s="129"/>
      <c r="M98" s="129" t="s">
        <v>399</v>
      </c>
      <c r="N98" s="124" t="s">
        <v>1745</v>
      </c>
      <c r="O98" s="124" t="s">
        <v>2379</v>
      </c>
      <c r="P98" s="130" t="s">
        <v>400</v>
      </c>
      <c r="Q98" s="131">
        <v>4.018E7</v>
      </c>
      <c r="R98" s="132"/>
      <c r="S98" s="132">
        <f t="shared" si="2"/>
        <v>40180000</v>
      </c>
      <c r="T98" s="133">
        <f t="shared" si="3"/>
        <v>4419800</v>
      </c>
      <c r="U98" s="132">
        <f t="shared" si="4"/>
        <v>44599800</v>
      </c>
      <c r="V98" s="130"/>
      <c r="W98" s="124" t="s">
        <v>1925</v>
      </c>
      <c r="X98" s="134"/>
      <c r="Y98" s="135" t="str">
        <f>VLOOKUP(J98,[1]TARIKANMYSAP!$H$2:$K$1013,4,FALSE)</f>
        <v>#ERROR!</v>
      </c>
      <c r="Z98" s="136" t="str">
        <f t="shared" si="5"/>
        <v>PE25-097</v>
      </c>
      <c r="AA98" s="137"/>
      <c r="AB98" s="137"/>
    </row>
    <row r="99" ht="12.0" customHeight="1">
      <c r="A99" s="111"/>
      <c r="F99" s="123">
        <f t="shared" si="8"/>
        <v>98</v>
      </c>
      <c r="G99" s="124" t="s">
        <v>2406</v>
      </c>
      <c r="H99" s="125" t="s">
        <v>2378</v>
      </c>
      <c r="I99" s="126" t="s">
        <v>2127</v>
      </c>
      <c r="J99" s="127" t="str">
        <f t="shared" si="1"/>
        <v>PE25-098</v>
      </c>
      <c r="K99" s="128">
        <v>45793.0</v>
      </c>
      <c r="L99" s="151"/>
      <c r="M99" s="151" t="s">
        <v>404</v>
      </c>
      <c r="N99" s="124" t="s">
        <v>1745</v>
      </c>
      <c r="O99" s="124" t="s">
        <v>2379</v>
      </c>
      <c r="P99" s="130" t="s">
        <v>405</v>
      </c>
      <c r="Q99" s="131">
        <v>8.75504E7</v>
      </c>
      <c r="R99" s="132"/>
      <c r="S99" s="132">
        <f t="shared" si="2"/>
        <v>87550400</v>
      </c>
      <c r="T99" s="133">
        <f t="shared" si="3"/>
        <v>9630544</v>
      </c>
      <c r="U99" s="132">
        <f t="shared" si="4"/>
        <v>97180944</v>
      </c>
      <c r="V99" s="130"/>
      <c r="W99" s="124" t="s">
        <v>1925</v>
      </c>
      <c r="X99" s="134"/>
      <c r="Y99" s="135" t="str">
        <f>VLOOKUP(J99,[1]TARIKANMYSAP!$H$2:$K$1013,4,FALSE)</f>
        <v>#ERROR!</v>
      </c>
      <c r="Z99" s="136" t="str">
        <f t="shared" si="5"/>
        <v>PE25-098</v>
      </c>
      <c r="AA99" s="137"/>
      <c r="AB99" s="137"/>
    </row>
    <row r="100" ht="12.0" customHeight="1">
      <c r="A100" s="111"/>
      <c r="F100" s="123">
        <f t="shared" si="8"/>
        <v>99</v>
      </c>
      <c r="G100" s="124" t="s">
        <v>2406</v>
      </c>
      <c r="H100" s="125" t="s">
        <v>2378</v>
      </c>
      <c r="I100" s="126" t="s">
        <v>2129</v>
      </c>
      <c r="J100" s="127" t="str">
        <f t="shared" si="1"/>
        <v>PE25-099</v>
      </c>
      <c r="K100" s="128">
        <v>45793.0</v>
      </c>
      <c r="L100" s="151"/>
      <c r="M100" s="151" t="s">
        <v>409</v>
      </c>
      <c r="N100" s="124" t="s">
        <v>1745</v>
      </c>
      <c r="O100" s="124" t="s">
        <v>2379</v>
      </c>
      <c r="P100" s="130" t="s">
        <v>2408</v>
      </c>
      <c r="Q100" s="131">
        <v>1.512E7</v>
      </c>
      <c r="R100" s="132"/>
      <c r="S100" s="132">
        <f t="shared" si="2"/>
        <v>15120000</v>
      </c>
      <c r="T100" s="133">
        <f t="shared" si="3"/>
        <v>1663200</v>
      </c>
      <c r="U100" s="132">
        <f t="shared" si="4"/>
        <v>16783200</v>
      </c>
      <c r="V100" s="130"/>
      <c r="W100" s="124" t="s">
        <v>1925</v>
      </c>
      <c r="X100" s="134"/>
      <c r="Y100" s="135" t="str">
        <f>VLOOKUP(J100,[1]TARIKANMYSAP!$H$2:$K$1013,4,FALSE)</f>
        <v>#ERROR!</v>
      </c>
      <c r="Z100" s="136" t="str">
        <f t="shared" si="5"/>
        <v>PE25-099</v>
      </c>
      <c r="AA100" s="137"/>
      <c r="AB100" s="137"/>
    </row>
    <row r="101" ht="12.0" customHeight="1">
      <c r="A101" s="111"/>
      <c r="F101" s="123">
        <f t="shared" si="8"/>
        <v>100</v>
      </c>
      <c r="G101" s="124" t="s">
        <v>2406</v>
      </c>
      <c r="H101" s="125" t="s">
        <v>2378</v>
      </c>
      <c r="I101" s="126" t="s">
        <v>2132</v>
      </c>
      <c r="J101" s="127" t="str">
        <f t="shared" si="1"/>
        <v>PE25-100</v>
      </c>
      <c r="K101" s="128">
        <v>45797.0</v>
      </c>
      <c r="L101" s="129"/>
      <c r="M101" s="129" t="s">
        <v>244</v>
      </c>
      <c r="N101" s="124" t="s">
        <v>1745</v>
      </c>
      <c r="O101" s="124"/>
      <c r="P101" s="130" t="s">
        <v>414</v>
      </c>
      <c r="Q101" s="131">
        <v>1.80403495E8</v>
      </c>
      <c r="R101" s="132">
        <f t="shared" ref="R101:R106" si="14">Q101*8.5%</f>
        <v>15334297.08</v>
      </c>
      <c r="S101" s="132">
        <f t="shared" si="2"/>
        <v>195737792.1</v>
      </c>
      <c r="T101" s="133">
        <f t="shared" si="3"/>
        <v>21531157.13</v>
      </c>
      <c r="U101" s="132">
        <f t="shared" si="4"/>
        <v>217268949.2</v>
      </c>
      <c r="V101" s="130"/>
      <c r="W101" s="124" t="s">
        <v>1747</v>
      </c>
      <c r="X101" s="134"/>
      <c r="Y101" s="135" t="str">
        <f>VLOOKUP(J101,[1]TARIKANMYSAP!$H$2:$K$1013,4,FALSE)</f>
        <v>#ERROR!</v>
      </c>
      <c r="Z101" s="136" t="str">
        <f t="shared" si="5"/>
        <v>PE25-100</v>
      </c>
      <c r="AA101" s="137"/>
      <c r="AB101" s="137"/>
    </row>
    <row r="102" ht="12.0" customHeight="1">
      <c r="A102" s="111"/>
      <c r="F102" s="123">
        <f t="shared" si="8"/>
        <v>101</v>
      </c>
      <c r="G102" s="124" t="s">
        <v>2406</v>
      </c>
      <c r="H102" s="125" t="s">
        <v>2378</v>
      </c>
      <c r="I102" s="126" t="s">
        <v>2136</v>
      </c>
      <c r="J102" s="127" t="str">
        <f t="shared" si="1"/>
        <v>PE25-101</v>
      </c>
      <c r="K102" s="128">
        <v>45797.0</v>
      </c>
      <c r="L102" s="129"/>
      <c r="M102" s="129" t="s">
        <v>418</v>
      </c>
      <c r="N102" s="124" t="s">
        <v>1745</v>
      </c>
      <c r="O102" s="124"/>
      <c r="P102" s="130" t="s">
        <v>2409</v>
      </c>
      <c r="Q102" s="131">
        <v>6.2432766E7</v>
      </c>
      <c r="R102" s="132">
        <f t="shared" si="14"/>
        <v>5306785.11</v>
      </c>
      <c r="S102" s="132">
        <f t="shared" si="2"/>
        <v>67739551.11</v>
      </c>
      <c r="T102" s="133">
        <f t="shared" si="3"/>
        <v>7451350.622</v>
      </c>
      <c r="U102" s="132">
        <f t="shared" si="4"/>
        <v>75190901.73</v>
      </c>
      <c r="V102" s="130"/>
      <c r="W102" s="124" t="s">
        <v>1747</v>
      </c>
      <c r="X102" s="134"/>
      <c r="Y102" s="135" t="str">
        <f>VLOOKUP(J102,[1]TARIKANMYSAP!$H$2:$K$1013,4,FALSE)</f>
        <v>#ERROR!</v>
      </c>
      <c r="Z102" s="136" t="str">
        <f t="shared" si="5"/>
        <v>PE25-101</v>
      </c>
      <c r="AA102" s="137"/>
      <c r="AB102" s="137"/>
    </row>
    <row r="103" ht="12.0" customHeight="1">
      <c r="A103" s="111"/>
      <c r="F103" s="123">
        <f t="shared" si="8"/>
        <v>102</v>
      </c>
      <c r="G103" s="124" t="s">
        <v>2406</v>
      </c>
      <c r="H103" s="125" t="s">
        <v>2378</v>
      </c>
      <c r="I103" s="126" t="s">
        <v>2138</v>
      </c>
      <c r="J103" s="127" t="str">
        <f t="shared" si="1"/>
        <v>PE25-102</v>
      </c>
      <c r="K103" s="128">
        <v>45797.0</v>
      </c>
      <c r="L103" s="129"/>
      <c r="M103" s="129" t="s">
        <v>418</v>
      </c>
      <c r="N103" s="124" t="s">
        <v>1745</v>
      </c>
      <c r="O103" s="124"/>
      <c r="P103" s="130" t="s">
        <v>423</v>
      </c>
      <c r="Q103" s="131">
        <v>8.3392766E7</v>
      </c>
      <c r="R103" s="132">
        <f t="shared" si="14"/>
        <v>7088385.11</v>
      </c>
      <c r="S103" s="132">
        <f t="shared" si="2"/>
        <v>90481151.11</v>
      </c>
      <c r="T103" s="133">
        <f t="shared" si="3"/>
        <v>9952926.622</v>
      </c>
      <c r="U103" s="132">
        <f t="shared" si="4"/>
        <v>100434077.7</v>
      </c>
      <c r="V103" s="130"/>
      <c r="W103" s="124" t="s">
        <v>1747</v>
      </c>
      <c r="X103" s="134"/>
      <c r="Y103" s="135" t="str">
        <f>VLOOKUP(J103,[1]TARIKANMYSAP!$H$2:$K$1013,4,FALSE)</f>
        <v>#ERROR!</v>
      </c>
      <c r="Z103" s="136" t="str">
        <f t="shared" si="5"/>
        <v>PE25-102</v>
      </c>
      <c r="AA103" s="137"/>
      <c r="AB103" s="137"/>
    </row>
    <row r="104" ht="12.0" customHeight="1">
      <c r="A104" s="111"/>
      <c r="F104" s="123">
        <f t="shared" si="8"/>
        <v>103</v>
      </c>
      <c r="G104" s="124" t="s">
        <v>2406</v>
      </c>
      <c r="H104" s="125" t="s">
        <v>2378</v>
      </c>
      <c r="I104" s="126" t="s">
        <v>2140</v>
      </c>
      <c r="J104" s="127" t="str">
        <f t="shared" si="1"/>
        <v>PE25-103</v>
      </c>
      <c r="K104" s="128">
        <v>45797.0</v>
      </c>
      <c r="L104" s="129"/>
      <c r="M104" s="129" t="s">
        <v>418</v>
      </c>
      <c r="N104" s="124" t="s">
        <v>1745</v>
      </c>
      <c r="O104" s="124"/>
      <c r="P104" s="130" t="s">
        <v>427</v>
      </c>
      <c r="Q104" s="131">
        <v>1.11225883E8</v>
      </c>
      <c r="R104" s="132">
        <f t="shared" si="14"/>
        <v>9454200.055</v>
      </c>
      <c r="S104" s="132">
        <f t="shared" si="2"/>
        <v>120680083.1</v>
      </c>
      <c r="T104" s="133">
        <f t="shared" si="3"/>
        <v>13274809.14</v>
      </c>
      <c r="U104" s="132">
        <f t="shared" si="4"/>
        <v>133954892.2</v>
      </c>
      <c r="V104" s="130"/>
      <c r="W104" s="124" t="s">
        <v>1747</v>
      </c>
      <c r="X104" s="134"/>
      <c r="Y104" s="135" t="str">
        <f>VLOOKUP(J104,[1]TARIKANMYSAP!$H$2:$K$1013,4,FALSE)</f>
        <v>#ERROR!</v>
      </c>
      <c r="Z104" s="136" t="str">
        <f t="shared" si="5"/>
        <v>PE25-103</v>
      </c>
      <c r="AA104" s="137"/>
      <c r="AB104" s="137"/>
    </row>
    <row r="105" ht="12.0" customHeight="1">
      <c r="A105" s="111"/>
      <c r="F105" s="123">
        <f t="shared" si="8"/>
        <v>104</v>
      </c>
      <c r="G105" s="124" t="s">
        <v>2406</v>
      </c>
      <c r="H105" s="125" t="s">
        <v>2378</v>
      </c>
      <c r="I105" s="126" t="s">
        <v>2143</v>
      </c>
      <c r="J105" s="127" t="str">
        <f t="shared" si="1"/>
        <v>PE25-104</v>
      </c>
      <c r="K105" s="128">
        <v>45797.0</v>
      </c>
      <c r="L105" s="129"/>
      <c r="M105" s="129" t="s">
        <v>418</v>
      </c>
      <c r="N105" s="124" t="s">
        <v>1745</v>
      </c>
      <c r="O105" s="124"/>
      <c r="P105" s="130" t="s">
        <v>431</v>
      </c>
      <c r="Q105" s="131">
        <v>8.6735766E7</v>
      </c>
      <c r="R105" s="132">
        <f t="shared" si="14"/>
        <v>7372540.11</v>
      </c>
      <c r="S105" s="132">
        <f t="shared" si="2"/>
        <v>94108306.11</v>
      </c>
      <c r="T105" s="133">
        <f t="shared" si="3"/>
        <v>10351913.67</v>
      </c>
      <c r="U105" s="132">
        <f t="shared" si="4"/>
        <v>104460219.8</v>
      </c>
      <c r="V105" s="130"/>
      <c r="W105" s="124" t="s">
        <v>1747</v>
      </c>
      <c r="X105" s="134"/>
      <c r="Y105" s="135" t="str">
        <f>VLOOKUP(J105,[1]TARIKANMYSAP!$H$2:$K$1013,4,FALSE)</f>
        <v>#ERROR!</v>
      </c>
      <c r="Z105" s="136" t="str">
        <f t="shared" si="5"/>
        <v>PE25-104</v>
      </c>
      <c r="AA105" s="137"/>
      <c r="AB105" s="137"/>
    </row>
    <row r="106" ht="12.0" customHeight="1">
      <c r="A106" s="111"/>
      <c r="F106" s="123">
        <f t="shared" si="8"/>
        <v>105</v>
      </c>
      <c r="G106" s="124" t="s">
        <v>2406</v>
      </c>
      <c r="H106" s="125" t="s">
        <v>2378</v>
      </c>
      <c r="I106" s="126" t="s">
        <v>2147</v>
      </c>
      <c r="J106" s="127" t="str">
        <f t="shared" si="1"/>
        <v>PE25-105</v>
      </c>
      <c r="K106" s="128">
        <v>45797.0</v>
      </c>
      <c r="L106" s="129"/>
      <c r="M106" s="129" t="s">
        <v>418</v>
      </c>
      <c r="N106" s="124" t="s">
        <v>1745</v>
      </c>
      <c r="O106" s="124"/>
      <c r="P106" s="130" t="s">
        <v>435</v>
      </c>
      <c r="Q106" s="131">
        <v>6.8733066E7</v>
      </c>
      <c r="R106" s="132">
        <f t="shared" si="14"/>
        <v>5842310.61</v>
      </c>
      <c r="S106" s="132">
        <f t="shared" si="2"/>
        <v>74575376.61</v>
      </c>
      <c r="T106" s="133">
        <f t="shared" si="3"/>
        <v>8203291.427</v>
      </c>
      <c r="U106" s="132">
        <f t="shared" si="4"/>
        <v>82778668.04</v>
      </c>
      <c r="V106" s="130"/>
      <c r="W106" s="124" t="s">
        <v>1747</v>
      </c>
      <c r="X106" s="134"/>
      <c r="Y106" s="135" t="str">
        <f>VLOOKUP(J106,[1]TARIKANMYSAP!$H$2:$K$1013,4,FALSE)</f>
        <v>#ERROR!</v>
      </c>
      <c r="Z106" s="136" t="str">
        <f t="shared" si="5"/>
        <v>PE25-105</v>
      </c>
      <c r="AA106" s="137"/>
      <c r="AB106" s="137"/>
    </row>
    <row r="107" ht="12.0" customHeight="1">
      <c r="A107" s="111"/>
      <c r="F107" s="123">
        <f t="shared" si="8"/>
        <v>106</v>
      </c>
      <c r="G107" s="124" t="s">
        <v>2406</v>
      </c>
      <c r="H107" s="125" t="s">
        <v>2378</v>
      </c>
      <c r="I107" s="126" t="s">
        <v>2152</v>
      </c>
      <c r="J107" s="127" t="str">
        <f t="shared" si="1"/>
        <v>PE25-106</v>
      </c>
      <c r="K107" s="128">
        <v>45797.0</v>
      </c>
      <c r="L107" s="129"/>
      <c r="M107" s="129" t="s">
        <v>370</v>
      </c>
      <c r="N107" s="124" t="s">
        <v>1745</v>
      </c>
      <c r="O107" s="124" t="s">
        <v>2381</v>
      </c>
      <c r="P107" s="130" t="s">
        <v>439</v>
      </c>
      <c r="Q107" s="131">
        <v>1.1272E7</v>
      </c>
      <c r="R107" s="132"/>
      <c r="S107" s="132">
        <f t="shared" si="2"/>
        <v>11272000</v>
      </c>
      <c r="T107" s="133">
        <f t="shared" si="3"/>
        <v>1239920</v>
      </c>
      <c r="U107" s="132">
        <f t="shared" si="4"/>
        <v>12511920</v>
      </c>
      <c r="V107" s="130"/>
      <c r="W107" s="124" t="s">
        <v>1764</v>
      </c>
      <c r="X107" s="134"/>
      <c r="Y107" s="135" t="str">
        <f>VLOOKUP(J107,[1]TARIKANMYSAP!$H$2:$K$1013,4,FALSE)</f>
        <v>#ERROR!</v>
      </c>
      <c r="Z107" s="136" t="str">
        <f t="shared" si="5"/>
        <v>PE25-106</v>
      </c>
      <c r="AA107" s="137"/>
      <c r="AB107" s="137"/>
    </row>
    <row r="108" ht="12.0" customHeight="1">
      <c r="A108" s="111"/>
      <c r="F108" s="123">
        <f t="shared" si="8"/>
        <v>107</v>
      </c>
      <c r="G108" s="124" t="s">
        <v>2406</v>
      </c>
      <c r="H108" s="125" t="s">
        <v>2378</v>
      </c>
      <c r="I108" s="126" t="s">
        <v>2156</v>
      </c>
      <c r="J108" s="127" t="str">
        <f t="shared" si="1"/>
        <v>PE25-107</v>
      </c>
      <c r="K108" s="128">
        <v>45800.0</v>
      </c>
      <c r="L108" s="129"/>
      <c r="M108" s="129" t="s">
        <v>443</v>
      </c>
      <c r="N108" s="124" t="s">
        <v>1745</v>
      </c>
      <c r="O108" s="124"/>
      <c r="P108" s="130" t="s">
        <v>2410</v>
      </c>
      <c r="Q108" s="131">
        <v>3.406032E7</v>
      </c>
      <c r="R108" s="132"/>
      <c r="S108" s="132">
        <f t="shared" si="2"/>
        <v>34060320</v>
      </c>
      <c r="T108" s="133">
        <f t="shared" si="3"/>
        <v>3746635.2</v>
      </c>
      <c r="U108" s="132">
        <f t="shared" si="4"/>
        <v>37806955.2</v>
      </c>
      <c r="V108" s="130"/>
      <c r="W108" s="124" t="s">
        <v>1780</v>
      </c>
      <c r="X108" s="134"/>
      <c r="Y108" s="135" t="str">
        <f>VLOOKUP(J108,[1]TARIKANMYSAP!$H$2:$K$1013,4,FALSE)</f>
        <v>#ERROR!</v>
      </c>
      <c r="Z108" s="136" t="str">
        <f t="shared" si="5"/>
        <v>PE25-107</v>
      </c>
      <c r="AA108" s="137"/>
      <c r="AB108" s="137"/>
    </row>
    <row r="109" ht="12.0" customHeight="1">
      <c r="A109" s="111"/>
      <c r="F109" s="123">
        <f t="shared" si="8"/>
        <v>108</v>
      </c>
      <c r="G109" s="124" t="s">
        <v>2406</v>
      </c>
      <c r="H109" s="125" t="s">
        <v>2378</v>
      </c>
      <c r="I109" s="126" t="s">
        <v>2160</v>
      </c>
      <c r="J109" s="127" t="str">
        <f t="shared" si="1"/>
        <v>PE25-108</v>
      </c>
      <c r="K109" s="128">
        <v>45804.0</v>
      </c>
      <c r="L109" s="129"/>
      <c r="M109" s="129" t="s">
        <v>33</v>
      </c>
      <c r="N109" s="124" t="s">
        <v>1752</v>
      </c>
      <c r="O109" s="124" t="s">
        <v>2381</v>
      </c>
      <c r="P109" s="130" t="s">
        <v>2411</v>
      </c>
      <c r="Q109" s="131">
        <v>2857142.0</v>
      </c>
      <c r="R109" s="132">
        <f t="shared" ref="R109:R112" si="15">Q109*12%</f>
        <v>342857.04</v>
      </c>
      <c r="S109" s="132">
        <f t="shared" si="2"/>
        <v>3199999.04</v>
      </c>
      <c r="T109" s="133">
        <f t="shared" si="3"/>
        <v>351999.8944</v>
      </c>
      <c r="U109" s="132">
        <f t="shared" si="4"/>
        <v>3551998.934</v>
      </c>
      <c r="V109" s="130"/>
      <c r="W109" s="124" t="s">
        <v>1747</v>
      </c>
      <c r="X109" s="134"/>
      <c r="Y109" s="135" t="str">
        <f>VLOOKUP(J109,[1]TARIKANMYSAP!$H$2:$K$1013,4,FALSE)</f>
        <v>#ERROR!</v>
      </c>
      <c r="Z109" s="136" t="str">
        <f t="shared" si="5"/>
        <v>PE25-108</v>
      </c>
      <c r="AA109" s="137"/>
      <c r="AB109" s="137"/>
    </row>
    <row r="110" ht="12.0" customHeight="1">
      <c r="A110" s="111"/>
      <c r="F110" s="123">
        <f t="shared" si="8"/>
        <v>109</v>
      </c>
      <c r="G110" s="124" t="s">
        <v>2406</v>
      </c>
      <c r="H110" s="125" t="s">
        <v>2378</v>
      </c>
      <c r="I110" s="126" t="s">
        <v>2166</v>
      </c>
      <c r="J110" s="127" t="str">
        <f t="shared" si="1"/>
        <v>PE25-109</v>
      </c>
      <c r="K110" s="128">
        <v>45804.0</v>
      </c>
      <c r="L110" s="129"/>
      <c r="M110" s="129" t="s">
        <v>33</v>
      </c>
      <c r="N110" s="124" t="s">
        <v>1752</v>
      </c>
      <c r="O110" s="124" t="s">
        <v>2381</v>
      </c>
      <c r="P110" s="130" t="s">
        <v>2412</v>
      </c>
      <c r="Q110" s="131">
        <v>1.8571423E7</v>
      </c>
      <c r="R110" s="132">
        <f t="shared" si="15"/>
        <v>2228570.76</v>
      </c>
      <c r="S110" s="132">
        <f t="shared" si="2"/>
        <v>20799993.76</v>
      </c>
      <c r="T110" s="133">
        <f t="shared" si="3"/>
        <v>2287999.314</v>
      </c>
      <c r="U110" s="132">
        <f t="shared" si="4"/>
        <v>23087993.07</v>
      </c>
      <c r="V110" s="130"/>
      <c r="W110" s="124" t="s">
        <v>1747</v>
      </c>
      <c r="X110" s="134"/>
      <c r="Y110" s="135" t="str">
        <f>VLOOKUP(J110,[1]TARIKANMYSAP!$H$2:$K$1013,4,FALSE)</f>
        <v>#ERROR!</v>
      </c>
      <c r="Z110" s="136" t="str">
        <f t="shared" si="5"/>
        <v>PE25-109</v>
      </c>
      <c r="AA110" s="137"/>
      <c r="AB110" s="137"/>
    </row>
    <row r="111" ht="12.0" customHeight="1">
      <c r="A111" s="111"/>
      <c r="F111" s="123">
        <f t="shared" si="8"/>
        <v>110</v>
      </c>
      <c r="G111" s="124" t="s">
        <v>2406</v>
      </c>
      <c r="H111" s="125" t="s">
        <v>2378</v>
      </c>
      <c r="I111" s="126" t="s">
        <v>2171</v>
      </c>
      <c r="J111" s="127" t="str">
        <f t="shared" si="1"/>
        <v>PE25-110</v>
      </c>
      <c r="K111" s="128">
        <v>45804.0</v>
      </c>
      <c r="L111" s="129"/>
      <c r="M111" s="129" t="s">
        <v>33</v>
      </c>
      <c r="N111" s="124" t="s">
        <v>1752</v>
      </c>
      <c r="O111" s="124" t="s">
        <v>2381</v>
      </c>
      <c r="P111" s="130" t="s">
        <v>454</v>
      </c>
      <c r="Q111" s="131">
        <v>1.1122446E7</v>
      </c>
      <c r="R111" s="132">
        <f t="shared" si="15"/>
        <v>1334693.52</v>
      </c>
      <c r="S111" s="132">
        <f t="shared" si="2"/>
        <v>12457139.52</v>
      </c>
      <c r="T111" s="133">
        <f t="shared" si="3"/>
        <v>1370285.347</v>
      </c>
      <c r="U111" s="132">
        <f t="shared" si="4"/>
        <v>13827424.87</v>
      </c>
      <c r="V111" s="130"/>
      <c r="W111" s="124" t="s">
        <v>1747</v>
      </c>
      <c r="X111" s="134"/>
      <c r="Y111" s="135" t="str">
        <f>VLOOKUP(J111,[1]TARIKANMYSAP!$H$2:$K$1013,4,FALSE)</f>
        <v>#ERROR!</v>
      </c>
      <c r="Z111" s="136" t="str">
        <f t="shared" si="5"/>
        <v>PE25-110</v>
      </c>
      <c r="AA111" s="137"/>
      <c r="AB111" s="137"/>
    </row>
    <row r="112" ht="12.0" customHeight="1">
      <c r="A112" s="111"/>
      <c r="F112" s="123">
        <f t="shared" si="8"/>
        <v>111</v>
      </c>
      <c r="G112" s="124" t="s">
        <v>2406</v>
      </c>
      <c r="H112" s="125" t="s">
        <v>2378</v>
      </c>
      <c r="I112" s="126" t="s">
        <v>2177</v>
      </c>
      <c r="J112" s="127" t="str">
        <f t="shared" si="1"/>
        <v>PE25-111</v>
      </c>
      <c r="K112" s="128">
        <v>45804.0</v>
      </c>
      <c r="L112" s="129"/>
      <c r="M112" s="129" t="s">
        <v>33</v>
      </c>
      <c r="N112" s="124" t="s">
        <v>1752</v>
      </c>
      <c r="O112" s="124" t="s">
        <v>2381</v>
      </c>
      <c r="P112" s="130" t="s">
        <v>458</v>
      </c>
      <c r="Q112" s="131">
        <v>7142855.0</v>
      </c>
      <c r="R112" s="132">
        <f t="shared" si="15"/>
        <v>857142.6</v>
      </c>
      <c r="S112" s="132">
        <f t="shared" si="2"/>
        <v>7999997.6</v>
      </c>
      <c r="T112" s="133">
        <f t="shared" si="3"/>
        <v>879999.736</v>
      </c>
      <c r="U112" s="132">
        <f t="shared" si="4"/>
        <v>8879997.336</v>
      </c>
      <c r="V112" s="130"/>
      <c r="W112" s="124" t="s">
        <v>1747</v>
      </c>
      <c r="X112" s="134"/>
      <c r="Y112" s="135" t="str">
        <f>VLOOKUP(J112,[1]TARIKANMYSAP!$H$2:$K$1013,4,FALSE)</f>
        <v>#ERROR!</v>
      </c>
      <c r="Z112" s="136" t="str">
        <f t="shared" si="5"/>
        <v>PE25-111</v>
      </c>
      <c r="AA112" s="137"/>
      <c r="AB112" s="137"/>
    </row>
    <row r="113" ht="12.0" customHeight="1">
      <c r="A113" s="111"/>
      <c r="F113" s="123">
        <f t="shared" si="8"/>
        <v>112</v>
      </c>
      <c r="G113" s="124" t="s">
        <v>2413</v>
      </c>
      <c r="H113" s="125" t="s">
        <v>2378</v>
      </c>
      <c r="I113" s="126" t="s">
        <v>2183</v>
      </c>
      <c r="J113" s="127" t="str">
        <f t="shared" si="1"/>
        <v>PE25-112</v>
      </c>
      <c r="K113" s="128">
        <v>45810.0</v>
      </c>
      <c r="L113" s="129"/>
      <c r="M113" s="129" t="s">
        <v>33</v>
      </c>
      <c r="N113" s="124" t="s">
        <v>1752</v>
      </c>
      <c r="O113" s="124" t="s">
        <v>2381</v>
      </c>
      <c r="P113" s="130" t="s">
        <v>461</v>
      </c>
      <c r="Q113" s="131">
        <v>6.0E7</v>
      </c>
      <c r="R113" s="132">
        <f>Q113*7.5%</f>
        <v>4500000</v>
      </c>
      <c r="S113" s="132">
        <f t="shared" si="2"/>
        <v>64500000</v>
      </c>
      <c r="T113" s="133">
        <f t="shared" si="3"/>
        <v>7095000</v>
      </c>
      <c r="U113" s="132">
        <f t="shared" si="4"/>
        <v>71595000</v>
      </c>
      <c r="V113" s="130"/>
      <c r="W113" s="124" t="s">
        <v>1747</v>
      </c>
      <c r="X113" s="134"/>
      <c r="Y113" s="135" t="str">
        <f>VLOOKUP(J113,[1]TARIKANMYSAP!$H$2:$K$1013,4,FALSE)</f>
        <v>#ERROR!</v>
      </c>
      <c r="Z113" s="136" t="str">
        <f t="shared" si="5"/>
        <v>PE25-112</v>
      </c>
      <c r="AA113" s="137"/>
      <c r="AB113" s="137"/>
    </row>
    <row r="114" ht="12.0" customHeight="1">
      <c r="A114" s="111"/>
      <c r="F114" s="123">
        <f t="shared" si="8"/>
        <v>113</v>
      </c>
      <c r="G114" s="124" t="s">
        <v>2413</v>
      </c>
      <c r="H114" s="125" t="s">
        <v>2378</v>
      </c>
      <c r="I114" s="126" t="s">
        <v>2187</v>
      </c>
      <c r="J114" s="127" t="str">
        <f t="shared" si="1"/>
        <v>PE25-113</v>
      </c>
      <c r="K114" s="128">
        <v>45811.0</v>
      </c>
      <c r="L114" s="129"/>
      <c r="M114" s="129"/>
      <c r="N114" s="124" t="s">
        <v>1745</v>
      </c>
      <c r="O114" s="124" t="s">
        <v>2381</v>
      </c>
      <c r="P114" s="130" t="s">
        <v>463</v>
      </c>
      <c r="Q114" s="131">
        <v>1.9831157E8</v>
      </c>
      <c r="R114" s="132">
        <f>Q114*7.7%</f>
        <v>15269990.89</v>
      </c>
      <c r="S114" s="132">
        <f t="shared" si="2"/>
        <v>213581560.9</v>
      </c>
      <c r="T114" s="133">
        <f t="shared" si="3"/>
        <v>23493971.7</v>
      </c>
      <c r="U114" s="132">
        <f t="shared" si="4"/>
        <v>237075532.6</v>
      </c>
      <c r="V114" s="130"/>
      <c r="W114" s="124" t="s">
        <v>1764</v>
      </c>
      <c r="X114" s="134"/>
      <c r="Y114" s="135" t="str">
        <f>VLOOKUP(J114,[1]TARIKANMYSAP!$H$2:$K$1013,4,FALSE)</f>
        <v>#ERROR!</v>
      </c>
      <c r="Z114" s="136" t="str">
        <f t="shared" si="5"/>
        <v>PE25-113</v>
      </c>
      <c r="AA114" s="137"/>
      <c r="AB114" s="137"/>
    </row>
    <row r="115" ht="12.0" customHeight="1">
      <c r="A115" s="111"/>
      <c r="F115" s="123">
        <f t="shared" si="8"/>
        <v>114</v>
      </c>
      <c r="G115" s="124" t="s">
        <v>2413</v>
      </c>
      <c r="H115" s="125" t="s">
        <v>2378</v>
      </c>
      <c r="I115" s="126" t="s">
        <v>2191</v>
      </c>
      <c r="J115" s="127" t="str">
        <f t="shared" si="1"/>
        <v>PE25-114</v>
      </c>
      <c r="K115" s="128">
        <v>45811.0</v>
      </c>
      <c r="L115" s="129"/>
      <c r="M115" s="151" t="s">
        <v>198</v>
      </c>
      <c r="N115" s="124" t="s">
        <v>1745</v>
      </c>
      <c r="O115" s="124"/>
      <c r="P115" s="130" t="s">
        <v>467</v>
      </c>
      <c r="Q115" s="131">
        <v>5.086275E7</v>
      </c>
      <c r="R115" s="132"/>
      <c r="S115" s="132">
        <f t="shared" si="2"/>
        <v>50862750</v>
      </c>
      <c r="T115" s="133">
        <f t="shared" si="3"/>
        <v>5594902.5</v>
      </c>
      <c r="U115" s="132">
        <f t="shared" si="4"/>
        <v>56457652.5</v>
      </c>
      <c r="V115" s="130"/>
      <c r="W115" s="124" t="s">
        <v>1747</v>
      </c>
      <c r="X115" s="134"/>
      <c r="Y115" s="135" t="str">
        <f>VLOOKUP(J115,[1]TARIKANMYSAP!$H$2:$K$1013,4,FALSE)</f>
        <v>#ERROR!</v>
      </c>
      <c r="Z115" s="136" t="str">
        <f t="shared" si="5"/>
        <v>PE25-114</v>
      </c>
      <c r="AA115" s="137"/>
      <c r="AB115" s="137"/>
    </row>
    <row r="116" ht="12.0" customHeight="1">
      <c r="A116" s="111"/>
      <c r="F116" s="123">
        <f t="shared" si="8"/>
        <v>115</v>
      </c>
      <c r="G116" s="124" t="s">
        <v>2413</v>
      </c>
      <c r="H116" s="125" t="s">
        <v>2378</v>
      </c>
      <c r="I116" s="126" t="s">
        <v>2196</v>
      </c>
      <c r="J116" s="127" t="str">
        <f t="shared" si="1"/>
        <v>PE25-115</v>
      </c>
      <c r="K116" s="128">
        <v>45811.0</v>
      </c>
      <c r="L116" s="129"/>
      <c r="M116" s="129" t="s">
        <v>2387</v>
      </c>
      <c r="N116" s="124" t="s">
        <v>1745</v>
      </c>
      <c r="O116" s="124"/>
      <c r="P116" s="130" t="s">
        <v>469</v>
      </c>
      <c r="Q116" s="131">
        <v>2.5177141E7</v>
      </c>
      <c r="R116" s="132">
        <f>Q116*6.2%</f>
        <v>1560982.742</v>
      </c>
      <c r="S116" s="132">
        <f t="shared" si="2"/>
        <v>26738123.74</v>
      </c>
      <c r="T116" s="133">
        <f t="shared" si="3"/>
        <v>2941193.612</v>
      </c>
      <c r="U116" s="132">
        <f t="shared" si="4"/>
        <v>29679317.35</v>
      </c>
      <c r="V116" s="130"/>
      <c r="W116" s="124" t="s">
        <v>2388</v>
      </c>
      <c r="X116" s="134"/>
      <c r="Y116" s="135" t="str">
        <f>VLOOKUP(J116,[1]TARIKANMYSAP!$H$2:$K$1013,4,FALSE)</f>
        <v>#ERROR!</v>
      </c>
      <c r="Z116" s="136" t="str">
        <f t="shared" si="5"/>
        <v>PE25-115</v>
      </c>
      <c r="AA116" s="137"/>
      <c r="AB116" s="137"/>
    </row>
    <row r="117" ht="12.0" customHeight="1">
      <c r="A117" s="111"/>
      <c r="F117" s="123">
        <f t="shared" si="8"/>
        <v>116</v>
      </c>
      <c r="G117" s="124" t="s">
        <v>2413</v>
      </c>
      <c r="H117" s="125" t="s">
        <v>2378</v>
      </c>
      <c r="I117" s="126" t="s">
        <v>2201</v>
      </c>
      <c r="J117" s="127" t="str">
        <f t="shared" si="1"/>
        <v>PE25-116</v>
      </c>
      <c r="K117" s="128">
        <v>45811.0</v>
      </c>
      <c r="L117" s="129"/>
      <c r="M117" s="129" t="s">
        <v>2387</v>
      </c>
      <c r="N117" s="124" t="s">
        <v>1745</v>
      </c>
      <c r="O117" s="124"/>
      <c r="P117" s="130" t="s">
        <v>473</v>
      </c>
      <c r="Q117" s="131">
        <v>1.0884071E7</v>
      </c>
      <c r="R117" s="132">
        <f>Q117*7.5%</f>
        <v>816305.325</v>
      </c>
      <c r="S117" s="132">
        <f t="shared" si="2"/>
        <v>11700376.33</v>
      </c>
      <c r="T117" s="133">
        <f t="shared" si="3"/>
        <v>1287041.396</v>
      </c>
      <c r="U117" s="132">
        <f t="shared" si="4"/>
        <v>12987417.72</v>
      </c>
      <c r="V117" s="130"/>
      <c r="W117" s="124" t="s">
        <v>2388</v>
      </c>
      <c r="X117" s="134"/>
      <c r="Y117" s="135" t="str">
        <f>VLOOKUP(J117,[1]TARIKANMYSAP!$H$2:$K$1013,4,FALSE)</f>
        <v>#ERROR!</v>
      </c>
      <c r="Z117" s="136" t="str">
        <f t="shared" si="5"/>
        <v>PE25-116</v>
      </c>
      <c r="AA117" s="137"/>
      <c r="AB117" s="137"/>
    </row>
    <row r="118" ht="12.0" customHeight="1">
      <c r="A118" s="111"/>
      <c r="F118" s="123">
        <f t="shared" si="8"/>
        <v>117</v>
      </c>
      <c r="G118" s="124" t="s">
        <v>2413</v>
      </c>
      <c r="H118" s="125" t="s">
        <v>2378</v>
      </c>
      <c r="I118" s="126" t="s">
        <v>2205</v>
      </c>
      <c r="J118" s="127" t="str">
        <f t="shared" si="1"/>
        <v>PE25-117</v>
      </c>
      <c r="K118" s="128">
        <v>45811.0</v>
      </c>
      <c r="L118" s="129"/>
      <c r="M118" s="129" t="s">
        <v>475</v>
      </c>
      <c r="N118" s="124" t="s">
        <v>1745</v>
      </c>
      <c r="O118" s="124" t="s">
        <v>2381</v>
      </c>
      <c r="P118" s="130" t="s">
        <v>2414</v>
      </c>
      <c r="Q118" s="131">
        <v>4.0E7</v>
      </c>
      <c r="R118" s="132">
        <f>Q118*15%</f>
        <v>6000000</v>
      </c>
      <c r="S118" s="132">
        <f t="shared" si="2"/>
        <v>46000000</v>
      </c>
      <c r="T118" s="133">
        <f t="shared" si="3"/>
        <v>5060000</v>
      </c>
      <c r="U118" s="132">
        <f t="shared" si="4"/>
        <v>51060000</v>
      </c>
      <c r="V118" s="130"/>
      <c r="W118" s="154" t="s">
        <v>1764</v>
      </c>
      <c r="X118" s="134"/>
      <c r="Y118" s="135" t="str">
        <f>VLOOKUP(J118,[1]TARIKANMYSAP!$H$2:$K$1013,4,FALSE)</f>
        <v>#ERROR!</v>
      </c>
      <c r="Z118" s="136" t="str">
        <f t="shared" si="5"/>
        <v>PE25-117</v>
      </c>
      <c r="AA118" s="137"/>
      <c r="AB118" s="137"/>
    </row>
    <row r="119" ht="12.0" customHeight="1">
      <c r="A119" s="111"/>
      <c r="F119" s="123">
        <f t="shared" si="8"/>
        <v>118</v>
      </c>
      <c r="G119" s="124" t="s">
        <v>2413</v>
      </c>
      <c r="H119" s="125" t="s">
        <v>2378</v>
      </c>
      <c r="I119" s="126" t="s">
        <v>2210</v>
      </c>
      <c r="J119" s="127" t="str">
        <f t="shared" si="1"/>
        <v>PE25-118</v>
      </c>
      <c r="K119" s="128">
        <v>45811.0</v>
      </c>
      <c r="L119" s="129"/>
      <c r="M119" s="129" t="s">
        <v>2387</v>
      </c>
      <c r="N119" s="124" t="s">
        <v>1745</v>
      </c>
      <c r="O119" s="124"/>
      <c r="P119" s="130" t="s">
        <v>480</v>
      </c>
      <c r="Q119" s="131">
        <v>8550000.0</v>
      </c>
      <c r="R119" s="132"/>
      <c r="S119" s="132">
        <f t="shared" si="2"/>
        <v>8550000</v>
      </c>
      <c r="T119" s="133">
        <f t="shared" si="3"/>
        <v>940500</v>
      </c>
      <c r="U119" s="132">
        <f t="shared" si="4"/>
        <v>9490500</v>
      </c>
      <c r="V119" s="130"/>
      <c r="W119" s="124" t="s">
        <v>2388</v>
      </c>
      <c r="X119" s="134"/>
      <c r="Y119" s="135" t="str">
        <f>VLOOKUP(J119,[1]TARIKANMYSAP!$H$2:$K$1013,4,FALSE)</f>
        <v>#ERROR!</v>
      </c>
      <c r="Z119" s="136" t="str">
        <f t="shared" si="5"/>
        <v>PE25-118</v>
      </c>
      <c r="AA119" s="137"/>
      <c r="AB119" s="137"/>
    </row>
    <row r="120" ht="12.0" customHeight="1">
      <c r="A120" s="111"/>
      <c r="F120" s="123">
        <f t="shared" si="8"/>
        <v>119</v>
      </c>
      <c r="G120" s="124" t="s">
        <v>2413</v>
      </c>
      <c r="H120" s="125" t="s">
        <v>2378</v>
      </c>
      <c r="I120" s="126" t="s">
        <v>2214</v>
      </c>
      <c r="J120" s="127" t="str">
        <f t="shared" si="1"/>
        <v>PE25-119</v>
      </c>
      <c r="K120" s="128">
        <v>45813.0</v>
      </c>
      <c r="L120" s="129"/>
      <c r="M120" s="129" t="s">
        <v>2387</v>
      </c>
      <c r="N120" s="124" t="s">
        <v>1745</v>
      </c>
      <c r="O120" s="124"/>
      <c r="P120" s="130" t="s">
        <v>482</v>
      </c>
      <c r="Q120" s="131">
        <v>7370000.0</v>
      </c>
      <c r="R120" s="132"/>
      <c r="S120" s="132">
        <f t="shared" si="2"/>
        <v>7370000</v>
      </c>
      <c r="T120" s="133">
        <f t="shared" si="3"/>
        <v>810700</v>
      </c>
      <c r="U120" s="132">
        <f t="shared" si="4"/>
        <v>8180700</v>
      </c>
      <c r="V120" s="130"/>
      <c r="W120" s="124" t="s">
        <v>2395</v>
      </c>
      <c r="X120" s="134"/>
      <c r="Y120" s="135" t="str">
        <f>VLOOKUP(J120,[1]TARIKANMYSAP!$H$2:$K$1013,4,FALSE)</f>
        <v>#ERROR!</v>
      </c>
      <c r="Z120" s="136" t="str">
        <f t="shared" si="5"/>
        <v>PE25-119</v>
      </c>
      <c r="AA120" s="137"/>
      <c r="AB120" s="137"/>
    </row>
    <row r="121" ht="12.0" customHeight="1">
      <c r="A121" s="111"/>
      <c r="F121" s="123">
        <f t="shared" si="8"/>
        <v>120</v>
      </c>
      <c r="G121" s="124" t="s">
        <v>2413</v>
      </c>
      <c r="H121" s="125" t="s">
        <v>2378</v>
      </c>
      <c r="I121" s="126" t="s">
        <v>2218</v>
      </c>
      <c r="J121" s="127" t="str">
        <f t="shared" si="1"/>
        <v>PE25-120</v>
      </c>
      <c r="K121" s="128">
        <v>45813.0</v>
      </c>
      <c r="L121" s="129"/>
      <c r="M121" s="129" t="s">
        <v>2387</v>
      </c>
      <c r="N121" s="124" t="s">
        <v>1745</v>
      </c>
      <c r="O121" s="124"/>
      <c r="P121" s="130" t="s">
        <v>484</v>
      </c>
      <c r="Q121" s="131">
        <v>7932000.0</v>
      </c>
      <c r="R121" s="132"/>
      <c r="S121" s="132">
        <f t="shared" si="2"/>
        <v>7932000</v>
      </c>
      <c r="T121" s="133">
        <f t="shared" si="3"/>
        <v>872520</v>
      </c>
      <c r="U121" s="132">
        <f t="shared" si="4"/>
        <v>8804520</v>
      </c>
      <c r="V121" s="130"/>
      <c r="W121" s="124" t="s">
        <v>2388</v>
      </c>
      <c r="X121" s="134"/>
      <c r="Y121" s="135" t="str">
        <f>VLOOKUP(J121,[1]TARIKANMYSAP!$H$2:$K$1013,4,FALSE)</f>
        <v>#ERROR!</v>
      </c>
      <c r="Z121" s="136" t="str">
        <f t="shared" si="5"/>
        <v>PE25-120</v>
      </c>
      <c r="AA121" s="137"/>
      <c r="AB121" s="137"/>
    </row>
    <row r="122" ht="12.0" customHeight="1">
      <c r="A122" s="111"/>
      <c r="F122" s="123">
        <f t="shared" si="8"/>
        <v>121</v>
      </c>
      <c r="G122" s="124" t="s">
        <v>2413</v>
      </c>
      <c r="H122" s="125" t="s">
        <v>2378</v>
      </c>
      <c r="I122" s="126" t="s">
        <v>2221</v>
      </c>
      <c r="J122" s="127" t="str">
        <f t="shared" si="1"/>
        <v>PE25-121</v>
      </c>
      <c r="K122" s="128">
        <v>45813.0</v>
      </c>
      <c r="L122" s="129"/>
      <c r="M122" s="129" t="s">
        <v>487</v>
      </c>
      <c r="N122" s="124" t="s">
        <v>1745</v>
      </c>
      <c r="O122" s="124" t="s">
        <v>2379</v>
      </c>
      <c r="P122" s="130" t="s">
        <v>2415</v>
      </c>
      <c r="Q122" s="131">
        <v>1.725E7</v>
      </c>
      <c r="R122" s="132"/>
      <c r="S122" s="132">
        <f t="shared" si="2"/>
        <v>17250000</v>
      </c>
      <c r="T122" s="133">
        <f t="shared" si="3"/>
        <v>1897500</v>
      </c>
      <c r="U122" s="132">
        <f t="shared" si="4"/>
        <v>19147500</v>
      </c>
      <c r="V122" s="130"/>
      <c r="W122" s="124" t="s">
        <v>1925</v>
      </c>
      <c r="X122" s="134"/>
      <c r="Y122" s="135" t="str">
        <f>VLOOKUP(J122,[1]TARIKANMYSAP!$H$2:$K$1013,4,FALSE)</f>
        <v>#ERROR!</v>
      </c>
      <c r="Z122" s="136" t="str">
        <f t="shared" si="5"/>
        <v>PE25-121</v>
      </c>
      <c r="AA122" s="137"/>
      <c r="AB122" s="137"/>
    </row>
    <row r="123" ht="12.0" customHeight="1">
      <c r="A123" s="111"/>
      <c r="F123" s="123">
        <f t="shared" si="8"/>
        <v>122</v>
      </c>
      <c r="G123" s="124" t="s">
        <v>2413</v>
      </c>
      <c r="H123" s="125" t="s">
        <v>2378</v>
      </c>
      <c r="I123" s="126" t="s">
        <v>2225</v>
      </c>
      <c r="J123" s="127" t="str">
        <f t="shared" si="1"/>
        <v>PE25-122</v>
      </c>
      <c r="K123" s="128">
        <v>45813.0</v>
      </c>
      <c r="L123" s="151"/>
      <c r="M123" s="129" t="s">
        <v>490</v>
      </c>
      <c r="N123" s="124" t="s">
        <v>1745</v>
      </c>
      <c r="O123" s="124" t="s">
        <v>2379</v>
      </c>
      <c r="P123" s="130" t="s">
        <v>491</v>
      </c>
      <c r="Q123" s="131">
        <v>4.95E7</v>
      </c>
      <c r="R123" s="132"/>
      <c r="S123" s="132">
        <f t="shared" si="2"/>
        <v>49500000</v>
      </c>
      <c r="T123" s="133">
        <f t="shared" si="3"/>
        <v>5445000</v>
      </c>
      <c r="U123" s="132">
        <f t="shared" si="4"/>
        <v>54945000</v>
      </c>
      <c r="V123" s="130"/>
      <c r="W123" s="124" t="s">
        <v>1925</v>
      </c>
      <c r="X123" s="134"/>
      <c r="Y123" s="135" t="str">
        <f>VLOOKUP(J123,[1]TARIKANMYSAP!$H$2:$K$1013,4,FALSE)</f>
        <v>#ERROR!</v>
      </c>
      <c r="Z123" s="136" t="str">
        <f t="shared" si="5"/>
        <v>PE25-122</v>
      </c>
      <c r="AA123" s="137"/>
      <c r="AB123" s="137"/>
    </row>
    <row r="124" ht="12.0" customHeight="1">
      <c r="A124" s="111"/>
      <c r="F124" s="123">
        <f t="shared" si="8"/>
        <v>123</v>
      </c>
      <c r="G124" s="124" t="s">
        <v>2413</v>
      </c>
      <c r="H124" s="125" t="s">
        <v>2378</v>
      </c>
      <c r="I124" s="126" t="s">
        <v>2230</v>
      </c>
      <c r="J124" s="127" t="str">
        <f t="shared" si="1"/>
        <v>PE25-123</v>
      </c>
      <c r="K124" s="128">
        <v>45813.0</v>
      </c>
      <c r="L124" s="129"/>
      <c r="M124" s="129" t="s">
        <v>493</v>
      </c>
      <c r="N124" s="124" t="s">
        <v>1745</v>
      </c>
      <c r="O124" s="124" t="s">
        <v>2379</v>
      </c>
      <c r="P124" s="130" t="s">
        <v>494</v>
      </c>
      <c r="Q124" s="131">
        <v>1.344E7</v>
      </c>
      <c r="R124" s="132"/>
      <c r="S124" s="132">
        <f t="shared" si="2"/>
        <v>13440000</v>
      </c>
      <c r="T124" s="133">
        <f t="shared" si="3"/>
        <v>1478400</v>
      </c>
      <c r="U124" s="132">
        <f t="shared" si="4"/>
        <v>14918400</v>
      </c>
      <c r="V124" s="130"/>
      <c r="W124" s="124" t="s">
        <v>1925</v>
      </c>
      <c r="X124" s="134"/>
      <c r="Y124" s="135" t="str">
        <f>VLOOKUP(J124,[1]TARIKANMYSAP!$H$2:$K$1013,4,FALSE)</f>
        <v>#ERROR!</v>
      </c>
      <c r="Z124" s="136" t="str">
        <f t="shared" si="5"/>
        <v>PE25-123</v>
      </c>
      <c r="AA124" s="137"/>
      <c r="AB124" s="137"/>
    </row>
    <row r="125" ht="12.0" customHeight="1">
      <c r="A125" s="111"/>
      <c r="F125" s="123">
        <f t="shared" si="8"/>
        <v>124</v>
      </c>
      <c r="G125" s="124" t="s">
        <v>2413</v>
      </c>
      <c r="H125" s="125" t="s">
        <v>2378</v>
      </c>
      <c r="I125" s="126" t="s">
        <v>2235</v>
      </c>
      <c r="J125" s="127" t="str">
        <f t="shared" si="1"/>
        <v>PE25-124</v>
      </c>
      <c r="K125" s="128">
        <v>45818.0</v>
      </c>
      <c r="L125" s="129"/>
      <c r="M125" s="129" t="s">
        <v>2387</v>
      </c>
      <c r="N125" s="124" t="s">
        <v>1745</v>
      </c>
      <c r="O125" s="124"/>
      <c r="P125" s="130" t="s">
        <v>498</v>
      </c>
      <c r="Q125" s="131">
        <v>1.475118E7</v>
      </c>
      <c r="R125" s="132"/>
      <c r="S125" s="132">
        <f t="shared" si="2"/>
        <v>14751180</v>
      </c>
      <c r="T125" s="133">
        <f t="shared" si="3"/>
        <v>1622629.8</v>
      </c>
      <c r="U125" s="132">
        <f t="shared" si="4"/>
        <v>16373809.8</v>
      </c>
      <c r="V125" s="130"/>
      <c r="W125" s="124" t="s">
        <v>2388</v>
      </c>
      <c r="X125" s="134"/>
      <c r="Y125" s="135" t="str">
        <f>VLOOKUP(J125,[1]TARIKANMYSAP!$H$2:$K$1013,4,FALSE)</f>
        <v>#ERROR!</v>
      </c>
      <c r="Z125" s="136" t="str">
        <f t="shared" si="5"/>
        <v>PE25-124</v>
      </c>
      <c r="AA125" s="137"/>
      <c r="AB125" s="137"/>
    </row>
    <row r="126" ht="12.0" customHeight="1">
      <c r="A126" s="111"/>
      <c r="F126" s="123">
        <f t="shared" si="8"/>
        <v>125</v>
      </c>
      <c r="G126" s="124" t="s">
        <v>2413</v>
      </c>
      <c r="H126" s="125" t="s">
        <v>2378</v>
      </c>
      <c r="I126" s="126" t="s">
        <v>2239</v>
      </c>
      <c r="J126" s="127" t="str">
        <f t="shared" si="1"/>
        <v>PE25-125</v>
      </c>
      <c r="K126" s="128">
        <v>45818.0</v>
      </c>
      <c r="L126" s="129"/>
      <c r="M126" s="129" t="s">
        <v>2387</v>
      </c>
      <c r="N126" s="124" t="s">
        <v>1745</v>
      </c>
      <c r="O126" s="124"/>
      <c r="P126" s="130" t="s">
        <v>502</v>
      </c>
      <c r="Q126" s="131">
        <v>2.3473529E7</v>
      </c>
      <c r="R126" s="132"/>
      <c r="S126" s="132">
        <f t="shared" si="2"/>
        <v>23473529</v>
      </c>
      <c r="T126" s="133">
        <f t="shared" si="3"/>
        <v>2582088.19</v>
      </c>
      <c r="U126" s="132">
        <f t="shared" si="4"/>
        <v>26055617.19</v>
      </c>
      <c r="V126" s="130"/>
      <c r="W126" s="124" t="s">
        <v>2388</v>
      </c>
      <c r="X126" s="134"/>
      <c r="Y126" s="135" t="str">
        <f>VLOOKUP(J126,[1]TARIKANMYSAP!$H$2:$K$1013,4,FALSE)</f>
        <v>#ERROR!</v>
      </c>
      <c r="Z126" s="136" t="str">
        <f t="shared" si="5"/>
        <v>PE25-125</v>
      </c>
      <c r="AA126" s="137"/>
      <c r="AB126" s="137"/>
    </row>
    <row r="127" ht="12.0" customHeight="1">
      <c r="A127" s="111"/>
      <c r="F127" s="123">
        <f t="shared" si="8"/>
        <v>126</v>
      </c>
      <c r="G127" s="124" t="s">
        <v>2413</v>
      </c>
      <c r="H127" s="125" t="s">
        <v>2378</v>
      </c>
      <c r="I127" s="126" t="s">
        <v>2245</v>
      </c>
      <c r="J127" s="127" t="str">
        <f t="shared" si="1"/>
        <v>PE25-126</v>
      </c>
      <c r="K127" s="128">
        <v>45818.0</v>
      </c>
      <c r="L127" s="129"/>
      <c r="M127" s="129" t="s">
        <v>506</v>
      </c>
      <c r="N127" s="124" t="s">
        <v>1745</v>
      </c>
      <c r="O127" s="124" t="s">
        <v>2381</v>
      </c>
      <c r="P127" s="130" t="s">
        <v>507</v>
      </c>
      <c r="Q127" s="131">
        <v>4.489E7</v>
      </c>
      <c r="R127" s="132">
        <f>Q127*10%</f>
        <v>4489000</v>
      </c>
      <c r="S127" s="132">
        <f t="shared" si="2"/>
        <v>49379000</v>
      </c>
      <c r="T127" s="133">
        <f t="shared" si="3"/>
        <v>5431690</v>
      </c>
      <c r="U127" s="132">
        <f t="shared" si="4"/>
        <v>54810690</v>
      </c>
      <c r="V127" s="130"/>
      <c r="W127" s="154" t="s">
        <v>1764</v>
      </c>
      <c r="X127" s="134"/>
      <c r="Y127" s="135" t="str">
        <f>VLOOKUP(J127,[1]TARIKANMYSAP!$H$2:$K$1013,4,FALSE)</f>
        <v>#ERROR!</v>
      </c>
      <c r="Z127" s="136" t="str">
        <f t="shared" si="5"/>
        <v>PE25-126</v>
      </c>
      <c r="AA127" s="137"/>
      <c r="AB127" s="137"/>
    </row>
    <row r="128" ht="12.0" customHeight="1">
      <c r="A128" s="111"/>
      <c r="F128" s="123">
        <f t="shared" si="8"/>
        <v>127</v>
      </c>
      <c r="G128" s="124" t="s">
        <v>2413</v>
      </c>
      <c r="H128" s="125" t="s">
        <v>2378</v>
      </c>
      <c r="I128" s="126" t="s">
        <v>2251</v>
      </c>
      <c r="J128" s="127" t="str">
        <f t="shared" si="1"/>
        <v>PE25-127</v>
      </c>
      <c r="K128" s="128">
        <v>45818.0</v>
      </c>
      <c r="L128" s="129"/>
      <c r="M128" s="129" t="s">
        <v>511</v>
      </c>
      <c r="N128" s="124" t="s">
        <v>1745</v>
      </c>
      <c r="O128" s="124" t="s">
        <v>2379</v>
      </c>
      <c r="P128" s="130" t="s">
        <v>2416</v>
      </c>
      <c r="Q128" s="131">
        <v>2.7792139E7</v>
      </c>
      <c r="R128" s="132"/>
      <c r="S128" s="132">
        <f t="shared" si="2"/>
        <v>27792139</v>
      </c>
      <c r="T128" s="133">
        <f t="shared" si="3"/>
        <v>3057135.29</v>
      </c>
      <c r="U128" s="132">
        <f t="shared" si="4"/>
        <v>30849274.29</v>
      </c>
      <c r="V128" s="130"/>
      <c r="W128" s="154" t="s">
        <v>1925</v>
      </c>
      <c r="X128" s="134"/>
      <c r="Y128" s="135" t="str">
        <f>VLOOKUP(J128,[1]TARIKANMYSAP!$H$2:$K$1013,4,FALSE)</f>
        <v>#ERROR!</v>
      </c>
      <c r="Z128" s="136" t="str">
        <f t="shared" si="5"/>
        <v>PE25-127</v>
      </c>
      <c r="AA128" s="137"/>
      <c r="AB128" s="137"/>
    </row>
    <row r="129" ht="12.0" customHeight="1">
      <c r="A129" s="111"/>
      <c r="F129" s="123">
        <f t="shared" si="8"/>
        <v>128</v>
      </c>
      <c r="G129" s="124" t="s">
        <v>2413</v>
      </c>
      <c r="H129" s="125" t="s">
        <v>2378</v>
      </c>
      <c r="I129" s="126" t="s">
        <v>2255</v>
      </c>
      <c r="J129" s="127" t="str">
        <f t="shared" si="1"/>
        <v>PE25-128</v>
      </c>
      <c r="K129" s="128">
        <v>45818.0</v>
      </c>
      <c r="L129" s="129"/>
      <c r="M129" s="129"/>
      <c r="N129" s="124" t="s">
        <v>1745</v>
      </c>
      <c r="O129" s="124" t="s">
        <v>2379</v>
      </c>
      <c r="P129" s="130" t="s">
        <v>2417</v>
      </c>
      <c r="Q129" s="131">
        <v>4.9896E7</v>
      </c>
      <c r="R129" s="132"/>
      <c r="S129" s="132">
        <f t="shared" si="2"/>
        <v>49896000</v>
      </c>
      <c r="T129" s="133">
        <f t="shared" si="3"/>
        <v>5488560</v>
      </c>
      <c r="U129" s="132">
        <f t="shared" si="4"/>
        <v>55384560</v>
      </c>
      <c r="V129" s="130"/>
      <c r="W129" s="154" t="s">
        <v>1925</v>
      </c>
      <c r="X129" s="134"/>
      <c r="Y129" s="135" t="str">
        <f>VLOOKUP(J129,[1]TARIKANMYSAP!$H$2:$K$1013,4,FALSE)</f>
        <v>#ERROR!</v>
      </c>
      <c r="Z129" s="136" t="str">
        <f t="shared" si="5"/>
        <v>PE25-128</v>
      </c>
      <c r="AA129" s="137"/>
      <c r="AB129" s="137"/>
    </row>
    <row r="130" ht="12.0" customHeight="1">
      <c r="A130" s="111"/>
      <c r="F130" s="123">
        <f t="shared" si="8"/>
        <v>129</v>
      </c>
      <c r="G130" s="124" t="s">
        <v>2413</v>
      </c>
      <c r="H130" s="125" t="s">
        <v>2378</v>
      </c>
      <c r="I130" s="126" t="s">
        <v>2260</v>
      </c>
      <c r="J130" s="127" t="str">
        <f t="shared" si="1"/>
        <v>PE25-129</v>
      </c>
      <c r="K130" s="128">
        <v>45819.0</v>
      </c>
      <c r="L130" s="129"/>
      <c r="M130" s="129" t="s">
        <v>520</v>
      </c>
      <c r="N130" s="124" t="s">
        <v>1745</v>
      </c>
      <c r="O130" s="124"/>
      <c r="P130" s="130" t="s">
        <v>521</v>
      </c>
      <c r="Q130" s="131">
        <v>8.1352E7</v>
      </c>
      <c r="R130" s="132">
        <f>Q130*9%</f>
        <v>7321680</v>
      </c>
      <c r="S130" s="132">
        <f t="shared" si="2"/>
        <v>88673680</v>
      </c>
      <c r="T130" s="133">
        <f t="shared" si="3"/>
        <v>9754104.8</v>
      </c>
      <c r="U130" s="132">
        <f t="shared" si="4"/>
        <v>98427784.8</v>
      </c>
      <c r="V130" s="130"/>
      <c r="W130" s="124" t="s">
        <v>1747</v>
      </c>
      <c r="X130" s="134"/>
      <c r="Y130" s="135" t="str">
        <f>VLOOKUP(J130,[1]TARIKANMYSAP!$H$2:$K$1013,4,FALSE)</f>
        <v>#ERROR!</v>
      </c>
      <c r="Z130" s="136" t="str">
        <f t="shared" si="5"/>
        <v>PE25-129</v>
      </c>
      <c r="AA130" s="137"/>
      <c r="AB130" s="137"/>
    </row>
    <row r="131" ht="12.0" customHeight="1">
      <c r="A131" s="111"/>
      <c r="F131" s="123">
        <f t="shared" si="8"/>
        <v>130</v>
      </c>
      <c r="G131" s="124" t="s">
        <v>2413</v>
      </c>
      <c r="H131" s="125" t="s">
        <v>2378</v>
      </c>
      <c r="I131" s="126" t="s">
        <v>2266</v>
      </c>
      <c r="J131" s="127" t="str">
        <f t="shared" si="1"/>
        <v>PE25-130</v>
      </c>
      <c r="K131" s="128">
        <v>45819.0</v>
      </c>
      <c r="L131" s="129"/>
      <c r="M131" s="129"/>
      <c r="N131" s="124" t="s">
        <v>1745</v>
      </c>
      <c r="O131" s="124" t="s">
        <v>2379</v>
      </c>
      <c r="P131" s="130" t="s">
        <v>525</v>
      </c>
      <c r="Q131" s="131">
        <v>6.9417535E7</v>
      </c>
      <c r="R131" s="132"/>
      <c r="S131" s="132">
        <f t="shared" si="2"/>
        <v>69417535</v>
      </c>
      <c r="T131" s="133">
        <f t="shared" si="3"/>
        <v>7635928.85</v>
      </c>
      <c r="U131" s="132">
        <f t="shared" si="4"/>
        <v>77053463.85</v>
      </c>
      <c r="V131" s="130"/>
      <c r="W131" s="124" t="s">
        <v>1925</v>
      </c>
      <c r="X131" s="134"/>
      <c r="Y131" s="135" t="str">
        <f>VLOOKUP(J131,[1]TARIKANMYSAP!$H$2:$K$1013,4,FALSE)</f>
        <v>#ERROR!</v>
      </c>
      <c r="Z131" s="136" t="str">
        <f t="shared" si="5"/>
        <v>PE25-130</v>
      </c>
      <c r="AA131" s="137"/>
      <c r="AB131" s="137"/>
    </row>
    <row r="132" ht="12.0" customHeight="1">
      <c r="A132" s="111"/>
      <c r="F132" s="123">
        <f t="shared" si="8"/>
        <v>131</v>
      </c>
      <c r="G132" s="124" t="s">
        <v>2413</v>
      </c>
      <c r="H132" s="125" t="s">
        <v>2378</v>
      </c>
      <c r="I132" s="126" t="s">
        <v>2274</v>
      </c>
      <c r="J132" s="127" t="str">
        <f t="shared" si="1"/>
        <v>PE25-131</v>
      </c>
      <c r="K132" s="128">
        <v>45819.0</v>
      </c>
      <c r="L132" s="129"/>
      <c r="M132" s="129" t="s">
        <v>2418</v>
      </c>
      <c r="N132" s="124" t="s">
        <v>1745</v>
      </c>
      <c r="O132" s="124"/>
      <c r="P132" s="130" t="s">
        <v>529</v>
      </c>
      <c r="Q132" s="131">
        <v>3.452E7</v>
      </c>
      <c r="R132" s="132"/>
      <c r="S132" s="132">
        <f t="shared" si="2"/>
        <v>34520000</v>
      </c>
      <c r="T132" s="133">
        <f t="shared" si="3"/>
        <v>3797200</v>
      </c>
      <c r="U132" s="132">
        <f t="shared" si="4"/>
        <v>38317200</v>
      </c>
      <c r="V132" s="130"/>
      <c r="W132" s="124" t="s">
        <v>1780</v>
      </c>
      <c r="X132" s="134"/>
      <c r="Y132" s="135" t="str">
        <f>VLOOKUP(J132,[1]TARIKANMYSAP!$H$2:$K$1013,4,FALSE)</f>
        <v>#ERROR!</v>
      </c>
      <c r="Z132" s="136" t="str">
        <f t="shared" si="5"/>
        <v>PE25-131</v>
      </c>
      <c r="AA132" s="137"/>
      <c r="AB132" s="137"/>
    </row>
    <row r="133" ht="12.0" customHeight="1">
      <c r="A133" s="111"/>
      <c r="F133" s="123">
        <f t="shared" si="8"/>
        <v>132</v>
      </c>
      <c r="G133" s="124" t="s">
        <v>2413</v>
      </c>
      <c r="H133" s="125" t="s">
        <v>2378</v>
      </c>
      <c r="I133" s="126" t="s">
        <v>2278</v>
      </c>
      <c r="J133" s="127" t="str">
        <f t="shared" si="1"/>
        <v>PE25-132</v>
      </c>
      <c r="K133" s="128">
        <v>45821.0</v>
      </c>
      <c r="L133" s="129"/>
      <c r="M133" s="129" t="s">
        <v>533</v>
      </c>
      <c r="N133" s="124" t="s">
        <v>1745</v>
      </c>
      <c r="O133" s="124" t="s">
        <v>2379</v>
      </c>
      <c r="P133" s="130" t="s">
        <v>534</v>
      </c>
      <c r="Q133" s="131">
        <v>3.8864E7</v>
      </c>
      <c r="R133" s="132"/>
      <c r="S133" s="132">
        <f t="shared" si="2"/>
        <v>38864000</v>
      </c>
      <c r="T133" s="133">
        <f t="shared" si="3"/>
        <v>4275040</v>
      </c>
      <c r="U133" s="132">
        <f t="shared" si="4"/>
        <v>43139040</v>
      </c>
      <c r="V133" s="130"/>
      <c r="W133" s="124" t="s">
        <v>1925</v>
      </c>
      <c r="X133" s="134"/>
      <c r="Y133" s="135" t="str">
        <f>VLOOKUP(J133,[1]TARIKANMYSAP!$H$2:$K$1013,4,FALSE)</f>
        <v>#ERROR!</v>
      </c>
      <c r="Z133" s="136" t="str">
        <f t="shared" si="5"/>
        <v>PE25-132</v>
      </c>
      <c r="AA133" s="137"/>
      <c r="AB133" s="137"/>
    </row>
    <row r="134" ht="12.0" customHeight="1">
      <c r="A134" s="111"/>
      <c r="F134" s="123">
        <f t="shared" si="8"/>
        <v>133</v>
      </c>
      <c r="G134" s="124" t="s">
        <v>2413</v>
      </c>
      <c r="H134" s="125" t="s">
        <v>2378</v>
      </c>
      <c r="I134" s="126" t="s">
        <v>2282</v>
      </c>
      <c r="J134" s="127" t="str">
        <f t="shared" si="1"/>
        <v>PE25-133</v>
      </c>
      <c r="K134" s="128">
        <v>45821.0</v>
      </c>
      <c r="L134" s="129"/>
      <c r="M134" s="129" t="s">
        <v>538</v>
      </c>
      <c r="N134" s="124" t="s">
        <v>1745</v>
      </c>
      <c r="O134" s="124" t="s">
        <v>2379</v>
      </c>
      <c r="P134" s="130" t="s">
        <v>2419</v>
      </c>
      <c r="Q134" s="131">
        <v>6.776E7</v>
      </c>
      <c r="R134" s="132"/>
      <c r="S134" s="132">
        <f t="shared" si="2"/>
        <v>67760000</v>
      </c>
      <c r="T134" s="133">
        <f t="shared" si="3"/>
        <v>7453600</v>
      </c>
      <c r="U134" s="132">
        <f t="shared" si="4"/>
        <v>75213600</v>
      </c>
      <c r="V134" s="130"/>
      <c r="W134" s="124" t="s">
        <v>1925</v>
      </c>
      <c r="X134" s="134"/>
      <c r="Y134" s="135" t="str">
        <f>VLOOKUP(J134,[1]TARIKANMYSAP!$H$2:$K$1013,4,FALSE)</f>
        <v>#ERROR!</v>
      </c>
      <c r="Z134" s="136" t="str">
        <f t="shared" si="5"/>
        <v>PE25-133</v>
      </c>
      <c r="AA134" s="137"/>
      <c r="AB134" s="137"/>
    </row>
    <row r="135" ht="12.0" customHeight="1">
      <c r="A135" s="111"/>
      <c r="F135" s="123">
        <f t="shared" si="8"/>
        <v>134</v>
      </c>
      <c r="G135" s="124" t="s">
        <v>2413</v>
      </c>
      <c r="H135" s="125" t="s">
        <v>2378</v>
      </c>
      <c r="I135" s="126" t="s">
        <v>2287</v>
      </c>
      <c r="J135" s="127" t="str">
        <f t="shared" si="1"/>
        <v>PE25-134</v>
      </c>
      <c r="K135" s="128">
        <v>45821.0</v>
      </c>
      <c r="L135" s="151"/>
      <c r="M135" s="151" t="s">
        <v>543</v>
      </c>
      <c r="N135" s="124" t="s">
        <v>1745</v>
      </c>
      <c r="O135" s="124" t="s">
        <v>2379</v>
      </c>
      <c r="P135" s="130" t="s">
        <v>544</v>
      </c>
      <c r="Q135" s="131">
        <v>9.0277152E7</v>
      </c>
      <c r="R135" s="132"/>
      <c r="S135" s="132">
        <f t="shared" si="2"/>
        <v>90277152</v>
      </c>
      <c r="T135" s="133">
        <f t="shared" si="3"/>
        <v>9930486.72</v>
      </c>
      <c r="U135" s="132">
        <f t="shared" si="4"/>
        <v>100207638.7</v>
      </c>
      <c r="V135" s="130"/>
      <c r="W135" s="124" t="s">
        <v>1925</v>
      </c>
      <c r="X135" s="134"/>
      <c r="Y135" s="135" t="str">
        <f>VLOOKUP(J135,[1]TARIKANMYSAP!$H$2:$K$1013,4,FALSE)</f>
        <v>#ERROR!</v>
      </c>
      <c r="Z135" s="136" t="str">
        <f t="shared" si="5"/>
        <v>PE25-134</v>
      </c>
      <c r="AA135" s="137"/>
      <c r="AB135" s="137"/>
    </row>
    <row r="136" ht="12.0" customHeight="1">
      <c r="A136" s="111"/>
      <c r="F136" s="123">
        <f t="shared" si="8"/>
        <v>135</v>
      </c>
      <c r="G136" s="124" t="s">
        <v>2413</v>
      </c>
      <c r="H136" s="125" t="s">
        <v>2378</v>
      </c>
      <c r="I136" s="126" t="s">
        <v>2291</v>
      </c>
      <c r="J136" s="127" t="str">
        <f t="shared" si="1"/>
        <v>PE25-135</v>
      </c>
      <c r="K136" s="128">
        <v>45827.0</v>
      </c>
      <c r="L136" s="151"/>
      <c r="M136" s="151" t="s">
        <v>548</v>
      </c>
      <c r="N136" s="124" t="s">
        <v>1745</v>
      </c>
      <c r="O136" s="124"/>
      <c r="P136" s="130" t="s">
        <v>549</v>
      </c>
      <c r="Q136" s="131">
        <v>5.71261E7</v>
      </c>
      <c r="R136" s="132">
        <f>Q136*9%</f>
        <v>5141349</v>
      </c>
      <c r="S136" s="132">
        <f t="shared" si="2"/>
        <v>62267449</v>
      </c>
      <c r="T136" s="133">
        <f t="shared" si="3"/>
        <v>6849419.39</v>
      </c>
      <c r="U136" s="132">
        <f t="shared" si="4"/>
        <v>69116868.39</v>
      </c>
      <c r="V136" s="130"/>
      <c r="W136" s="124" t="s">
        <v>1747</v>
      </c>
      <c r="X136" s="134"/>
      <c r="Y136" s="135" t="str">
        <f>VLOOKUP(J136,[1]TARIKANMYSAP!$H$2:$K$1013,4,FALSE)</f>
        <v>#ERROR!</v>
      </c>
      <c r="Z136" s="136" t="str">
        <f t="shared" si="5"/>
        <v>PE25-135</v>
      </c>
      <c r="AA136" s="137"/>
      <c r="AB136" s="137"/>
    </row>
    <row r="137" ht="12.0" customHeight="1">
      <c r="A137" s="111"/>
      <c r="F137" s="123">
        <f t="shared" si="8"/>
        <v>136</v>
      </c>
      <c r="G137" s="124" t="s">
        <v>2413</v>
      </c>
      <c r="H137" s="125" t="s">
        <v>2378</v>
      </c>
      <c r="I137" s="126" t="s">
        <v>2295</v>
      </c>
      <c r="J137" s="127" t="str">
        <f t="shared" si="1"/>
        <v>PE25-136</v>
      </c>
      <c r="K137" s="128">
        <v>45834.0</v>
      </c>
      <c r="L137" s="151"/>
      <c r="M137" s="151"/>
      <c r="N137" s="124" t="s">
        <v>1745</v>
      </c>
      <c r="O137" s="124"/>
      <c r="P137" s="130" t="s">
        <v>553</v>
      </c>
      <c r="Q137" s="131">
        <v>2.2564331E7</v>
      </c>
      <c r="R137" s="132"/>
      <c r="S137" s="132">
        <f t="shared" si="2"/>
        <v>22564331</v>
      </c>
      <c r="T137" s="133">
        <f t="shared" si="3"/>
        <v>2482076.41</v>
      </c>
      <c r="U137" s="132">
        <f t="shared" si="4"/>
        <v>25046407.41</v>
      </c>
      <c r="V137" s="130"/>
      <c r="W137" s="124" t="s">
        <v>2420</v>
      </c>
      <c r="X137" s="134"/>
      <c r="Y137" s="135" t="str">
        <f>VLOOKUP(J137,[1]TARIKANMYSAP!$H$2:$K$1013,4,FALSE)</f>
        <v>#ERROR!</v>
      </c>
      <c r="Z137" s="136" t="str">
        <f t="shared" si="5"/>
        <v>PE25-136</v>
      </c>
      <c r="AA137" s="137"/>
      <c r="AB137" s="137"/>
    </row>
    <row r="138" ht="12.0" customHeight="1">
      <c r="A138" s="111"/>
      <c r="F138" s="123">
        <f t="shared" si="8"/>
        <v>137</v>
      </c>
      <c r="G138" s="124" t="s">
        <v>2421</v>
      </c>
      <c r="H138" s="125" t="s">
        <v>2378</v>
      </c>
      <c r="I138" s="126" t="s">
        <v>2300</v>
      </c>
      <c r="J138" s="127" t="str">
        <f t="shared" si="1"/>
        <v>PE25-137</v>
      </c>
      <c r="K138" s="128">
        <v>45839.0</v>
      </c>
      <c r="L138" s="151"/>
      <c r="M138" s="129" t="s">
        <v>2387</v>
      </c>
      <c r="N138" s="124" t="s">
        <v>1745</v>
      </c>
      <c r="O138" s="124" t="s">
        <v>1583</v>
      </c>
      <c r="P138" s="130" t="s">
        <v>557</v>
      </c>
      <c r="Q138" s="131">
        <v>2.5249141E7</v>
      </c>
      <c r="R138" s="132">
        <f>Q138*6.2%</f>
        <v>1565446.742</v>
      </c>
      <c r="S138" s="132">
        <f t="shared" si="2"/>
        <v>26814587.74</v>
      </c>
      <c r="T138" s="133">
        <f t="shared" si="3"/>
        <v>2949604.652</v>
      </c>
      <c r="U138" s="132">
        <f t="shared" si="4"/>
        <v>29764192.39</v>
      </c>
      <c r="V138" s="130"/>
      <c r="W138" s="124" t="s">
        <v>2388</v>
      </c>
      <c r="X138" s="134"/>
      <c r="Y138" s="135" t="str">
        <f>VLOOKUP(J138,[1]TARIKANMYSAP!$H$2:$K$1013,4,FALSE)</f>
        <v>#ERROR!</v>
      </c>
      <c r="Z138" s="136" t="str">
        <f t="shared" si="5"/>
        <v>PE25-137</v>
      </c>
      <c r="AA138" s="137"/>
      <c r="AB138" s="137"/>
    </row>
    <row r="139" ht="12.0" customHeight="1">
      <c r="A139" s="111"/>
      <c r="F139" s="123">
        <f t="shared" si="8"/>
        <v>138</v>
      </c>
      <c r="G139" s="124" t="s">
        <v>2421</v>
      </c>
      <c r="H139" s="125" t="s">
        <v>2378</v>
      </c>
      <c r="I139" s="126" t="s">
        <v>2304</v>
      </c>
      <c r="J139" s="127" t="str">
        <f t="shared" si="1"/>
        <v>PE25-138</v>
      </c>
      <c r="K139" s="128">
        <v>45839.0</v>
      </c>
      <c r="L139" s="129"/>
      <c r="M139" s="129" t="s">
        <v>2387</v>
      </c>
      <c r="N139" s="124" t="s">
        <v>1745</v>
      </c>
      <c r="O139" s="124" t="s">
        <v>1583</v>
      </c>
      <c r="P139" s="130" t="s">
        <v>559</v>
      </c>
      <c r="Q139" s="131">
        <v>1.0884071E7</v>
      </c>
      <c r="R139" s="132">
        <f>Q139*7.5%</f>
        <v>816305.325</v>
      </c>
      <c r="S139" s="132">
        <f t="shared" si="2"/>
        <v>11700376.33</v>
      </c>
      <c r="T139" s="133">
        <f t="shared" si="3"/>
        <v>1287041.396</v>
      </c>
      <c r="U139" s="132">
        <f t="shared" si="4"/>
        <v>12987417.72</v>
      </c>
      <c r="V139" s="130"/>
      <c r="W139" s="154" t="s">
        <v>2388</v>
      </c>
      <c r="X139" s="134"/>
      <c r="Y139" s="135" t="str">
        <f>VLOOKUP(J139,[1]TARIKANMYSAP!$H$2:$K$1013,4,FALSE)</f>
        <v>#ERROR!</v>
      </c>
      <c r="Z139" s="136" t="str">
        <f t="shared" si="5"/>
        <v>PE25-138</v>
      </c>
      <c r="AA139" s="137"/>
      <c r="AB139" s="137"/>
    </row>
    <row r="140" ht="12.0" customHeight="1">
      <c r="A140" s="111"/>
      <c r="F140" s="123">
        <f t="shared" si="8"/>
        <v>139</v>
      </c>
      <c r="G140" s="124" t="s">
        <v>2421</v>
      </c>
      <c r="H140" s="125" t="s">
        <v>2378</v>
      </c>
      <c r="I140" s="126" t="s">
        <v>2308</v>
      </c>
      <c r="J140" s="127" t="str">
        <f t="shared" si="1"/>
        <v>PE25-139</v>
      </c>
      <c r="K140" s="128">
        <v>45839.0</v>
      </c>
      <c r="L140" s="151"/>
      <c r="M140" s="129" t="s">
        <v>2387</v>
      </c>
      <c r="N140" s="124" t="s">
        <v>1745</v>
      </c>
      <c r="O140" s="124" t="s">
        <v>1583</v>
      </c>
      <c r="P140" s="130" t="s">
        <v>561</v>
      </c>
      <c r="Q140" s="131">
        <v>8550000.0</v>
      </c>
      <c r="R140" s="132"/>
      <c r="S140" s="132">
        <f t="shared" si="2"/>
        <v>8550000</v>
      </c>
      <c r="T140" s="133">
        <f t="shared" si="3"/>
        <v>940500</v>
      </c>
      <c r="U140" s="132">
        <f t="shared" si="4"/>
        <v>9490500</v>
      </c>
      <c r="V140" s="130"/>
      <c r="W140" s="124" t="s">
        <v>2388</v>
      </c>
      <c r="X140" s="134"/>
      <c r="Y140" s="135" t="str">
        <f>VLOOKUP(J140,[1]TARIKANMYSAP!$H$2:$K$1013,4,FALSE)</f>
        <v>#ERROR!</v>
      </c>
      <c r="Z140" s="136" t="str">
        <f t="shared" si="5"/>
        <v>PE25-139</v>
      </c>
      <c r="AA140" s="137"/>
      <c r="AB140" s="137"/>
    </row>
    <row r="141" ht="12.0" customHeight="1">
      <c r="A141" s="111"/>
      <c r="F141" s="123">
        <f t="shared" si="8"/>
        <v>140</v>
      </c>
      <c r="G141" s="124" t="s">
        <v>2421</v>
      </c>
      <c r="H141" s="125" t="s">
        <v>2378</v>
      </c>
      <c r="I141" s="126" t="s">
        <v>2313</v>
      </c>
      <c r="J141" s="127" t="str">
        <f t="shared" si="1"/>
        <v>PE25-140</v>
      </c>
      <c r="K141" s="128">
        <v>45839.0</v>
      </c>
      <c r="L141" s="151"/>
      <c r="M141" s="129" t="s">
        <v>2387</v>
      </c>
      <c r="N141" s="124" t="s">
        <v>1745</v>
      </c>
      <c r="O141" s="124" t="s">
        <v>1583</v>
      </c>
      <c r="P141" s="130" t="s">
        <v>563</v>
      </c>
      <c r="Q141" s="131">
        <v>1.19890912E8</v>
      </c>
      <c r="R141" s="132">
        <f>Q141*6.2%</f>
        <v>7433236.544</v>
      </c>
      <c r="S141" s="132">
        <f t="shared" si="2"/>
        <v>127324148.5</v>
      </c>
      <c r="T141" s="133">
        <f t="shared" si="3"/>
        <v>14005656.34</v>
      </c>
      <c r="U141" s="132">
        <f t="shared" si="4"/>
        <v>141329804.9</v>
      </c>
      <c r="V141" s="130"/>
      <c r="W141" s="154" t="s">
        <v>2388</v>
      </c>
      <c r="X141" s="134"/>
      <c r="Y141" s="135" t="str">
        <f>VLOOKUP(J141,[1]TARIKANMYSAP!$H$2:$K$1013,4,FALSE)</f>
        <v>#ERROR!</v>
      </c>
      <c r="Z141" s="136" t="str">
        <f t="shared" si="5"/>
        <v>PE25-140</v>
      </c>
      <c r="AA141" s="137"/>
      <c r="AB141" s="137"/>
    </row>
    <row r="142" ht="12.0" customHeight="1">
      <c r="A142" s="111"/>
      <c r="F142" s="123">
        <f t="shared" si="8"/>
        <v>141</v>
      </c>
      <c r="G142" s="124" t="s">
        <v>2421</v>
      </c>
      <c r="H142" s="125" t="s">
        <v>2378</v>
      </c>
      <c r="I142" s="126" t="s">
        <v>2318</v>
      </c>
      <c r="J142" s="127" t="str">
        <f t="shared" si="1"/>
        <v>PE25-141</v>
      </c>
      <c r="K142" s="153">
        <v>45840.0</v>
      </c>
      <c r="L142" s="151"/>
      <c r="M142" s="129" t="s">
        <v>567</v>
      </c>
      <c r="N142" s="124" t="s">
        <v>1745</v>
      </c>
      <c r="O142" s="124" t="s">
        <v>2381</v>
      </c>
      <c r="P142" s="130" t="s">
        <v>2422</v>
      </c>
      <c r="Q142" s="131">
        <v>7973800.0</v>
      </c>
      <c r="R142" s="132">
        <f>Q142*15%</f>
        <v>1196070</v>
      </c>
      <c r="S142" s="132">
        <f t="shared" si="2"/>
        <v>9169870</v>
      </c>
      <c r="T142" s="133">
        <f t="shared" si="3"/>
        <v>1008685.7</v>
      </c>
      <c r="U142" s="132">
        <f t="shared" si="4"/>
        <v>10178555.7</v>
      </c>
      <c r="V142" s="130"/>
      <c r="W142" s="124" t="s">
        <v>1764</v>
      </c>
      <c r="X142" s="134"/>
      <c r="Y142" s="135" t="str">
        <f>VLOOKUP(J142,[1]TARIKANMYSAP!$H$2:$K$1013,4,FALSE)</f>
        <v>#ERROR!</v>
      </c>
      <c r="Z142" s="136" t="str">
        <f t="shared" si="5"/>
        <v>PE25-141</v>
      </c>
      <c r="AA142" s="137"/>
      <c r="AB142" s="137"/>
    </row>
    <row r="143" ht="12.0" customHeight="1">
      <c r="A143" s="111"/>
      <c r="F143" s="123">
        <f t="shared" si="8"/>
        <v>142</v>
      </c>
      <c r="G143" s="124" t="s">
        <v>2421</v>
      </c>
      <c r="H143" s="125" t="s">
        <v>2378</v>
      </c>
      <c r="I143" s="126" t="s">
        <v>2324</v>
      </c>
      <c r="J143" s="127" t="str">
        <f t="shared" si="1"/>
        <v>PE25-142</v>
      </c>
      <c r="K143" s="153">
        <v>45840.0</v>
      </c>
      <c r="L143" s="129"/>
      <c r="M143" s="129" t="s">
        <v>572</v>
      </c>
      <c r="N143" s="124" t="s">
        <v>1752</v>
      </c>
      <c r="O143" s="124" t="s">
        <v>2381</v>
      </c>
      <c r="P143" s="130" t="s">
        <v>2423</v>
      </c>
      <c r="Q143" s="131">
        <v>4200000.0</v>
      </c>
      <c r="R143" s="132">
        <f t="shared" ref="R143:R147" si="16">Q143*12%</f>
        <v>504000</v>
      </c>
      <c r="S143" s="132">
        <f t="shared" si="2"/>
        <v>4704000</v>
      </c>
      <c r="T143" s="133">
        <f t="shared" si="3"/>
        <v>517440</v>
      </c>
      <c r="U143" s="132">
        <f t="shared" si="4"/>
        <v>5221440</v>
      </c>
      <c r="V143" s="130"/>
      <c r="W143" s="124" t="s">
        <v>1747</v>
      </c>
      <c r="X143" s="134"/>
      <c r="Y143" s="135" t="str">
        <f>VLOOKUP(J143,[1]TARIKANMYSAP!$H$2:$K$1013,4,FALSE)</f>
        <v>#ERROR!</v>
      </c>
      <c r="Z143" s="136" t="str">
        <f t="shared" si="5"/>
        <v>PE25-142</v>
      </c>
      <c r="AA143" s="137"/>
      <c r="AB143" s="137"/>
    </row>
    <row r="144" ht="12.0" customHeight="1">
      <c r="A144" s="111"/>
      <c r="F144" s="123">
        <f t="shared" si="8"/>
        <v>143</v>
      </c>
      <c r="G144" s="124" t="s">
        <v>2421</v>
      </c>
      <c r="H144" s="125" t="s">
        <v>2378</v>
      </c>
      <c r="I144" s="126" t="s">
        <v>2329</v>
      </c>
      <c r="J144" s="127" t="str">
        <f t="shared" si="1"/>
        <v>PE25-143</v>
      </c>
      <c r="K144" s="153">
        <v>45840.0</v>
      </c>
      <c r="L144" s="151"/>
      <c r="M144" s="129" t="s">
        <v>572</v>
      </c>
      <c r="N144" s="124" t="s">
        <v>1752</v>
      </c>
      <c r="O144" s="124" t="s">
        <v>2381</v>
      </c>
      <c r="P144" s="130" t="s">
        <v>2424</v>
      </c>
      <c r="Q144" s="131">
        <v>8400000.0</v>
      </c>
      <c r="R144" s="132">
        <f t="shared" si="16"/>
        <v>1008000</v>
      </c>
      <c r="S144" s="132">
        <f t="shared" si="2"/>
        <v>9408000</v>
      </c>
      <c r="T144" s="133">
        <f t="shared" si="3"/>
        <v>1034880</v>
      </c>
      <c r="U144" s="132">
        <f t="shared" si="4"/>
        <v>10442880</v>
      </c>
      <c r="V144" s="130"/>
      <c r="W144" s="124" t="s">
        <v>1747</v>
      </c>
      <c r="X144" s="134"/>
      <c r="Y144" s="135" t="str">
        <f>VLOOKUP(J144,[1]TARIKANMYSAP!$H$2:$K$1013,4,FALSE)</f>
        <v>#ERROR!</v>
      </c>
      <c r="Z144" s="136" t="str">
        <f t="shared" si="5"/>
        <v>PE25-143</v>
      </c>
      <c r="AA144" s="137"/>
      <c r="AB144" s="137"/>
    </row>
    <row r="145" ht="12.0" customHeight="1">
      <c r="A145" s="111"/>
      <c r="F145" s="123">
        <f t="shared" si="8"/>
        <v>144</v>
      </c>
      <c r="G145" s="124" t="s">
        <v>2421</v>
      </c>
      <c r="H145" s="125" t="s">
        <v>2378</v>
      </c>
      <c r="I145" s="126" t="s">
        <v>2334</v>
      </c>
      <c r="J145" s="127" t="str">
        <f t="shared" si="1"/>
        <v>PE25-144</v>
      </c>
      <c r="K145" s="153">
        <v>45840.0</v>
      </c>
      <c r="L145" s="151"/>
      <c r="M145" s="129" t="s">
        <v>572</v>
      </c>
      <c r="N145" s="124" t="s">
        <v>1752</v>
      </c>
      <c r="O145" s="124" t="s">
        <v>2381</v>
      </c>
      <c r="P145" s="130" t="s">
        <v>580</v>
      </c>
      <c r="Q145" s="131">
        <v>1.9751012E7</v>
      </c>
      <c r="R145" s="132">
        <f t="shared" si="16"/>
        <v>2370121.44</v>
      </c>
      <c r="S145" s="132">
        <f t="shared" si="2"/>
        <v>22121133.44</v>
      </c>
      <c r="T145" s="133">
        <f t="shared" si="3"/>
        <v>2433324.678</v>
      </c>
      <c r="U145" s="132">
        <f t="shared" si="4"/>
        <v>24554458.12</v>
      </c>
      <c r="V145" s="130"/>
      <c r="W145" s="124" t="s">
        <v>1747</v>
      </c>
      <c r="X145" s="134"/>
      <c r="Y145" s="135" t="str">
        <f>VLOOKUP(J145,[1]TARIKANMYSAP!$H$2:$K$1013,4,FALSE)</f>
        <v>#ERROR!</v>
      </c>
      <c r="Z145" s="136" t="str">
        <f t="shared" si="5"/>
        <v>PE25-144</v>
      </c>
      <c r="AA145" s="137"/>
      <c r="AB145" s="137"/>
    </row>
    <row r="146" ht="12.0" customHeight="1">
      <c r="A146" s="111"/>
      <c r="F146" s="123">
        <f t="shared" si="8"/>
        <v>145</v>
      </c>
      <c r="G146" s="124" t="s">
        <v>2421</v>
      </c>
      <c r="H146" s="125" t="s">
        <v>2378</v>
      </c>
      <c r="I146" s="126" t="s">
        <v>2336</v>
      </c>
      <c r="J146" s="127" t="str">
        <f t="shared" si="1"/>
        <v>PE25-145</v>
      </c>
      <c r="K146" s="153">
        <v>45840.0</v>
      </c>
      <c r="L146" s="151"/>
      <c r="M146" s="129" t="s">
        <v>572</v>
      </c>
      <c r="N146" s="124" t="s">
        <v>1752</v>
      </c>
      <c r="O146" s="124" t="s">
        <v>2381</v>
      </c>
      <c r="P146" s="130" t="s">
        <v>2425</v>
      </c>
      <c r="Q146" s="131">
        <v>9900000.0</v>
      </c>
      <c r="R146" s="132">
        <f t="shared" si="16"/>
        <v>1188000</v>
      </c>
      <c r="S146" s="132">
        <f t="shared" si="2"/>
        <v>11088000</v>
      </c>
      <c r="T146" s="133">
        <f t="shared" si="3"/>
        <v>1219680</v>
      </c>
      <c r="U146" s="132">
        <f t="shared" si="4"/>
        <v>12307680</v>
      </c>
      <c r="V146" s="130"/>
      <c r="W146" s="124" t="s">
        <v>1747</v>
      </c>
      <c r="X146" s="134"/>
      <c r="Y146" s="135" t="str">
        <f>VLOOKUP(J146,[1]TARIKANMYSAP!$H$2:$K$1013,4,FALSE)</f>
        <v>#ERROR!</v>
      </c>
      <c r="Z146" s="136" t="str">
        <f t="shared" si="5"/>
        <v>PE25-145</v>
      </c>
      <c r="AA146" s="137"/>
      <c r="AB146" s="137"/>
    </row>
    <row r="147" ht="12.0" customHeight="1">
      <c r="A147" s="111"/>
      <c r="F147" s="123">
        <f t="shared" si="8"/>
        <v>146</v>
      </c>
      <c r="G147" s="124" t="s">
        <v>2421</v>
      </c>
      <c r="H147" s="125" t="s">
        <v>2378</v>
      </c>
      <c r="I147" s="126" t="s">
        <v>2341</v>
      </c>
      <c r="J147" s="127" t="str">
        <f t="shared" si="1"/>
        <v>PE25-146</v>
      </c>
      <c r="K147" s="153">
        <v>45840.0</v>
      </c>
      <c r="L147" s="151"/>
      <c r="M147" s="129" t="s">
        <v>572</v>
      </c>
      <c r="N147" s="124" t="s">
        <v>1752</v>
      </c>
      <c r="O147" s="124" t="s">
        <v>2381</v>
      </c>
      <c r="P147" s="130" t="s">
        <v>2426</v>
      </c>
      <c r="Q147" s="131">
        <v>1.03E7</v>
      </c>
      <c r="R147" s="132">
        <f t="shared" si="16"/>
        <v>1236000</v>
      </c>
      <c r="S147" s="132">
        <f t="shared" si="2"/>
        <v>11536000</v>
      </c>
      <c r="T147" s="133">
        <f t="shared" si="3"/>
        <v>1268960</v>
      </c>
      <c r="U147" s="132">
        <f t="shared" si="4"/>
        <v>12804960</v>
      </c>
      <c r="V147" s="130"/>
      <c r="W147" s="124" t="s">
        <v>1747</v>
      </c>
      <c r="X147" s="134"/>
      <c r="Y147" s="135" t="str">
        <f>VLOOKUP(J147,[1]TARIKANMYSAP!$H$2:$K$1013,4,FALSE)</f>
        <v>#ERROR!</v>
      </c>
      <c r="Z147" s="136" t="str">
        <f t="shared" si="5"/>
        <v>PE25-146</v>
      </c>
      <c r="AA147" s="137"/>
      <c r="AB147" s="137"/>
    </row>
    <row r="148" ht="12.0" customHeight="1">
      <c r="A148" s="111"/>
      <c r="F148" s="123">
        <f t="shared" si="8"/>
        <v>147</v>
      </c>
      <c r="G148" s="124" t="s">
        <v>2421</v>
      </c>
      <c r="H148" s="125" t="s">
        <v>2378</v>
      </c>
      <c r="I148" s="126" t="s">
        <v>2345</v>
      </c>
      <c r="J148" s="127" t="str">
        <f t="shared" si="1"/>
        <v>PE25-147</v>
      </c>
      <c r="K148" s="153">
        <v>45840.0</v>
      </c>
      <c r="L148" s="151"/>
      <c r="M148" s="151" t="s">
        <v>592</v>
      </c>
      <c r="N148" s="124" t="s">
        <v>1745</v>
      </c>
      <c r="O148" s="124" t="s">
        <v>1789</v>
      </c>
      <c r="P148" s="130" t="s">
        <v>593</v>
      </c>
      <c r="Q148" s="131">
        <v>2.735E7</v>
      </c>
      <c r="R148" s="132"/>
      <c r="S148" s="132">
        <f t="shared" si="2"/>
        <v>27350000</v>
      </c>
      <c r="T148" s="133">
        <f t="shared" si="3"/>
        <v>3008500</v>
      </c>
      <c r="U148" s="132">
        <f t="shared" si="4"/>
        <v>30358500</v>
      </c>
      <c r="V148" s="130"/>
      <c r="W148" s="124" t="s">
        <v>1780</v>
      </c>
      <c r="X148" s="134"/>
      <c r="Y148" s="135" t="str">
        <f>VLOOKUP(J148,[1]TARIKANMYSAP!$H$2:$K$1013,4,FALSE)</f>
        <v>#ERROR!</v>
      </c>
      <c r="Z148" s="136" t="str">
        <f t="shared" si="5"/>
        <v>PE25-147</v>
      </c>
      <c r="AA148" s="137"/>
      <c r="AB148" s="137"/>
    </row>
    <row r="149" ht="12.0" customHeight="1">
      <c r="A149" s="111"/>
      <c r="F149" s="123">
        <f t="shared" si="8"/>
        <v>148</v>
      </c>
      <c r="G149" s="124" t="s">
        <v>2421</v>
      </c>
      <c r="H149" s="125" t="s">
        <v>2378</v>
      </c>
      <c r="I149" s="126" t="s">
        <v>2350</v>
      </c>
      <c r="J149" s="127" t="str">
        <f t="shared" si="1"/>
        <v>PE25-148</v>
      </c>
      <c r="K149" s="153">
        <v>45840.0</v>
      </c>
      <c r="L149" s="151"/>
      <c r="M149" s="151" t="s">
        <v>597</v>
      </c>
      <c r="N149" s="124" t="s">
        <v>1745</v>
      </c>
      <c r="O149" s="124" t="s">
        <v>1789</v>
      </c>
      <c r="P149" s="130" t="s">
        <v>598</v>
      </c>
      <c r="Q149" s="131">
        <f>3400000+29400000+5600000+3500000</f>
        <v>41900000</v>
      </c>
      <c r="R149" s="132"/>
      <c r="S149" s="132">
        <f t="shared" si="2"/>
        <v>41900000</v>
      </c>
      <c r="T149" s="133">
        <f t="shared" si="3"/>
        <v>4609000</v>
      </c>
      <c r="U149" s="132">
        <f t="shared" si="4"/>
        <v>46509000</v>
      </c>
      <c r="V149" s="130"/>
      <c r="W149" s="124" t="s">
        <v>1780</v>
      </c>
      <c r="X149" s="134"/>
      <c r="Y149" s="135" t="str">
        <f>VLOOKUP(J149,[1]TARIKANMYSAP!$H$2:$K$1013,4,FALSE)</f>
        <v>#ERROR!</v>
      </c>
      <c r="Z149" s="136" t="str">
        <f t="shared" si="5"/>
        <v>PE25-148</v>
      </c>
      <c r="AA149" s="137"/>
      <c r="AB149" s="137"/>
    </row>
    <row r="150" ht="12.0" customHeight="1">
      <c r="A150" s="111"/>
      <c r="F150" s="123">
        <f t="shared" si="8"/>
        <v>149</v>
      </c>
      <c r="G150" s="124" t="s">
        <v>2421</v>
      </c>
      <c r="H150" s="125" t="s">
        <v>2378</v>
      </c>
      <c r="I150" s="126" t="s">
        <v>2353</v>
      </c>
      <c r="J150" s="127" t="str">
        <f t="shared" si="1"/>
        <v>PE25-149</v>
      </c>
      <c r="K150" s="153">
        <v>45841.0</v>
      </c>
      <c r="L150" s="129"/>
      <c r="M150" s="129" t="s">
        <v>2387</v>
      </c>
      <c r="N150" s="124" t="s">
        <v>1745</v>
      </c>
      <c r="O150" s="124" t="s">
        <v>1583</v>
      </c>
      <c r="P150" s="130" t="s">
        <v>602</v>
      </c>
      <c r="Q150" s="131">
        <v>2.7744577E7</v>
      </c>
      <c r="R150" s="132">
        <f>Q150*9.5%</f>
        <v>2635734.815</v>
      </c>
      <c r="S150" s="132">
        <f t="shared" si="2"/>
        <v>30380311.82</v>
      </c>
      <c r="T150" s="133">
        <f t="shared" si="3"/>
        <v>3341834.3</v>
      </c>
      <c r="U150" s="132">
        <f t="shared" si="4"/>
        <v>33722146.11</v>
      </c>
      <c r="V150" s="130"/>
      <c r="W150" s="124" t="s">
        <v>2388</v>
      </c>
      <c r="X150" s="134"/>
      <c r="Y150" s="135" t="str">
        <f>VLOOKUP(J150,[1]TARIKANMYSAP!$H$2:$K$1013,4,FALSE)</f>
        <v>#ERROR!</v>
      </c>
      <c r="Z150" s="136" t="str">
        <f t="shared" si="5"/>
        <v>PE25-149</v>
      </c>
      <c r="AA150" s="137"/>
      <c r="AB150" s="137"/>
    </row>
    <row r="151" ht="12.0" customHeight="1">
      <c r="A151" s="111"/>
      <c r="F151" s="123">
        <f t="shared" si="8"/>
        <v>150</v>
      </c>
      <c r="G151" s="124" t="s">
        <v>2421</v>
      </c>
      <c r="H151" s="125" t="s">
        <v>2378</v>
      </c>
      <c r="I151" s="126" t="s">
        <v>2427</v>
      </c>
      <c r="J151" s="127" t="str">
        <f t="shared" si="1"/>
        <v>PE25-150</v>
      </c>
      <c r="K151" s="153">
        <v>45842.0</v>
      </c>
      <c r="L151" s="129"/>
      <c r="M151" s="129" t="s">
        <v>2387</v>
      </c>
      <c r="N151" s="124" t="s">
        <v>1745</v>
      </c>
      <c r="O151" s="124"/>
      <c r="P151" s="130" t="s">
        <v>606</v>
      </c>
      <c r="Q151" s="131">
        <v>7370000.0</v>
      </c>
      <c r="R151" s="132"/>
      <c r="S151" s="132">
        <f t="shared" si="2"/>
        <v>7370000</v>
      </c>
      <c r="T151" s="133">
        <f t="shared" si="3"/>
        <v>810700</v>
      </c>
      <c r="U151" s="132">
        <f t="shared" si="4"/>
        <v>8180700</v>
      </c>
      <c r="V151" s="130"/>
      <c r="W151" s="124" t="s">
        <v>2395</v>
      </c>
      <c r="X151" s="134"/>
      <c r="Y151" s="135" t="str">
        <f>VLOOKUP(J151,[1]TARIKANMYSAP!$H$2:$K$1013,4,FALSE)</f>
        <v>#ERROR!</v>
      </c>
      <c r="Z151" s="136" t="str">
        <f t="shared" si="5"/>
        <v>PE25-150</v>
      </c>
      <c r="AA151" s="137"/>
      <c r="AB151" s="137"/>
    </row>
    <row r="152" ht="12.0" customHeight="1">
      <c r="A152" s="111"/>
      <c r="F152" s="123">
        <f t="shared" si="8"/>
        <v>151</v>
      </c>
      <c r="G152" s="124" t="s">
        <v>2421</v>
      </c>
      <c r="H152" s="125" t="s">
        <v>2378</v>
      </c>
      <c r="I152" s="126" t="s">
        <v>2428</v>
      </c>
      <c r="J152" s="127" t="str">
        <f t="shared" si="1"/>
        <v>PE25-151</v>
      </c>
      <c r="K152" s="153">
        <v>45842.0</v>
      </c>
      <c r="L152" s="151"/>
      <c r="M152" s="129" t="s">
        <v>2387</v>
      </c>
      <c r="N152" s="124" t="s">
        <v>1745</v>
      </c>
      <c r="O152" s="124"/>
      <c r="P152" s="130" t="s">
        <v>608</v>
      </c>
      <c r="Q152" s="131">
        <v>4.125E7</v>
      </c>
      <c r="R152" s="132"/>
      <c r="S152" s="132">
        <f t="shared" si="2"/>
        <v>41250000</v>
      </c>
      <c r="T152" s="133">
        <f t="shared" si="3"/>
        <v>4537500</v>
      </c>
      <c r="U152" s="132">
        <f t="shared" si="4"/>
        <v>45787500</v>
      </c>
      <c r="V152" s="130"/>
      <c r="W152" s="124" t="s">
        <v>2395</v>
      </c>
      <c r="X152" s="134"/>
      <c r="Y152" s="135" t="str">
        <f>VLOOKUP(J152,[1]TARIKANMYSAP!$H$2:$K$1013,4,FALSE)</f>
        <v>#ERROR!</v>
      </c>
      <c r="Z152" s="136" t="str">
        <f t="shared" si="5"/>
        <v>PE25-151</v>
      </c>
      <c r="AA152" s="137"/>
      <c r="AB152" s="137"/>
    </row>
    <row r="153" ht="12.0" customHeight="1">
      <c r="A153" s="111"/>
      <c r="F153" s="123">
        <f t="shared" si="8"/>
        <v>152</v>
      </c>
      <c r="G153" s="124" t="s">
        <v>2421</v>
      </c>
      <c r="H153" s="125" t="s">
        <v>2378</v>
      </c>
      <c r="I153" s="126" t="s">
        <v>2429</v>
      </c>
      <c r="J153" s="127" t="str">
        <f t="shared" si="1"/>
        <v>PE25-152</v>
      </c>
      <c r="K153" s="153">
        <v>45842.0</v>
      </c>
      <c r="L153" s="151"/>
      <c r="M153" s="129" t="s">
        <v>2387</v>
      </c>
      <c r="N153" s="124" t="s">
        <v>1745</v>
      </c>
      <c r="O153" s="124"/>
      <c r="P153" s="130" t="s">
        <v>612</v>
      </c>
      <c r="Q153" s="131">
        <v>7392000.0</v>
      </c>
      <c r="R153" s="132"/>
      <c r="S153" s="132">
        <f t="shared" si="2"/>
        <v>7392000</v>
      </c>
      <c r="T153" s="133">
        <f t="shared" si="3"/>
        <v>813120</v>
      </c>
      <c r="U153" s="132">
        <f t="shared" si="4"/>
        <v>8205120</v>
      </c>
      <c r="V153" s="130"/>
      <c r="W153" s="124" t="s">
        <v>2388</v>
      </c>
      <c r="X153" s="134"/>
      <c r="Y153" s="135" t="str">
        <f>VLOOKUP(J153,[1]TARIKANMYSAP!$H$2:$K$1013,4,FALSE)</f>
        <v>#ERROR!</v>
      </c>
      <c r="Z153" s="136" t="str">
        <f t="shared" si="5"/>
        <v>PE25-152</v>
      </c>
      <c r="AA153" s="137"/>
      <c r="AB153" s="137"/>
    </row>
    <row r="154" ht="12.0" customHeight="1">
      <c r="A154" s="111"/>
      <c r="F154" s="123">
        <f t="shared" si="8"/>
        <v>153</v>
      </c>
      <c r="G154" s="124" t="s">
        <v>2421</v>
      </c>
      <c r="H154" s="125" t="s">
        <v>2378</v>
      </c>
      <c r="I154" s="126" t="s">
        <v>2430</v>
      </c>
      <c r="J154" s="127" t="str">
        <f t="shared" si="1"/>
        <v>PE25-153</v>
      </c>
      <c r="K154" s="153">
        <v>45842.0</v>
      </c>
      <c r="L154" s="151"/>
      <c r="M154" s="151" t="s">
        <v>614</v>
      </c>
      <c r="N154" s="124" t="s">
        <v>1745</v>
      </c>
      <c r="O154" s="124" t="s">
        <v>2381</v>
      </c>
      <c r="P154" s="130" t="s">
        <v>2431</v>
      </c>
      <c r="Q154" s="131">
        <v>6.11514E7</v>
      </c>
      <c r="R154" s="132">
        <f>Q154*9%</f>
        <v>5503626</v>
      </c>
      <c r="S154" s="132">
        <f t="shared" si="2"/>
        <v>66655026</v>
      </c>
      <c r="T154" s="133">
        <f t="shared" si="3"/>
        <v>7332052.86</v>
      </c>
      <c r="U154" s="132">
        <f t="shared" si="4"/>
        <v>73987078.86</v>
      </c>
      <c r="V154" s="130"/>
      <c r="W154" s="124" t="s">
        <v>1764</v>
      </c>
      <c r="X154" s="134"/>
      <c r="Y154" s="135" t="str">
        <f>VLOOKUP(J154,[1]TARIKANMYSAP!$H$2:$K$1013,4,FALSE)</f>
        <v>#ERROR!</v>
      </c>
      <c r="Z154" s="136" t="str">
        <f t="shared" si="5"/>
        <v>PE25-153</v>
      </c>
      <c r="AA154" s="137"/>
      <c r="AB154" s="137"/>
    </row>
    <row r="155" ht="12.0" customHeight="1">
      <c r="A155" s="111"/>
      <c r="F155" s="123">
        <f t="shared" si="8"/>
        <v>154</v>
      </c>
      <c r="G155" s="124" t="s">
        <v>2421</v>
      </c>
      <c r="H155" s="125" t="s">
        <v>2378</v>
      </c>
      <c r="I155" s="126" t="s">
        <v>2432</v>
      </c>
      <c r="J155" s="127" t="str">
        <f t="shared" si="1"/>
        <v>PE25-154</v>
      </c>
      <c r="K155" s="153">
        <v>45846.0</v>
      </c>
      <c r="L155" s="151"/>
      <c r="M155" s="151" t="s">
        <v>619</v>
      </c>
      <c r="N155" s="124" t="s">
        <v>1745</v>
      </c>
      <c r="O155" s="124" t="s">
        <v>2379</v>
      </c>
      <c r="P155" s="130" t="s">
        <v>2433</v>
      </c>
      <c r="Q155" s="131">
        <v>7.3248E7</v>
      </c>
      <c r="R155" s="132"/>
      <c r="S155" s="132">
        <f t="shared" si="2"/>
        <v>73248000</v>
      </c>
      <c r="T155" s="133">
        <f t="shared" si="3"/>
        <v>8057280</v>
      </c>
      <c r="U155" s="132">
        <f t="shared" si="4"/>
        <v>81305280</v>
      </c>
      <c r="V155" s="130"/>
      <c r="W155" s="124" t="s">
        <v>1925</v>
      </c>
      <c r="X155" s="134"/>
      <c r="Y155" s="135" t="str">
        <f>VLOOKUP(J155,[1]TARIKANMYSAP!$H$2:$K$1013,4,FALSE)</f>
        <v>#ERROR!</v>
      </c>
      <c r="Z155" s="136" t="str">
        <f t="shared" si="5"/>
        <v>PE25-154</v>
      </c>
      <c r="AA155" s="137"/>
      <c r="AB155" s="137"/>
    </row>
    <row r="156" ht="12.0" customHeight="1">
      <c r="A156" s="111"/>
      <c r="F156" s="123">
        <f t="shared" si="8"/>
        <v>155</v>
      </c>
      <c r="G156" s="124" t="s">
        <v>2421</v>
      </c>
      <c r="H156" s="125" t="s">
        <v>2378</v>
      </c>
      <c r="I156" s="126" t="s">
        <v>2434</v>
      </c>
      <c r="J156" s="127" t="str">
        <f t="shared" si="1"/>
        <v>PE25-155</v>
      </c>
      <c r="K156" s="153">
        <v>45848.0</v>
      </c>
      <c r="L156" s="151"/>
      <c r="M156" s="151" t="s">
        <v>217</v>
      </c>
      <c r="N156" s="124" t="s">
        <v>1745</v>
      </c>
      <c r="O156" s="124"/>
      <c r="P156" s="130" t="s">
        <v>624</v>
      </c>
      <c r="Q156" s="131">
        <v>5.0E7</v>
      </c>
      <c r="R156" s="132">
        <f>Q156*7.5%</f>
        <v>3750000</v>
      </c>
      <c r="S156" s="132">
        <f t="shared" si="2"/>
        <v>53750000</v>
      </c>
      <c r="T156" s="133">
        <f t="shared" si="3"/>
        <v>5912500</v>
      </c>
      <c r="U156" s="132">
        <f t="shared" si="4"/>
        <v>59662500</v>
      </c>
      <c r="V156" s="130"/>
      <c r="W156" s="124" t="s">
        <v>1747</v>
      </c>
      <c r="X156" s="134"/>
      <c r="Y156" s="135" t="str">
        <f>VLOOKUP(J156,[1]TARIKANMYSAP!$H$2:$K$1013,4,FALSE)</f>
        <v>#ERROR!</v>
      </c>
      <c r="Z156" s="136" t="str">
        <f t="shared" si="5"/>
        <v>PE25-155</v>
      </c>
      <c r="AA156" s="137"/>
      <c r="AB156" s="137"/>
    </row>
    <row r="157" ht="12.0" customHeight="1">
      <c r="A157" s="111"/>
      <c r="F157" s="123">
        <f t="shared" si="8"/>
        <v>156</v>
      </c>
      <c r="G157" s="124" t="s">
        <v>2421</v>
      </c>
      <c r="H157" s="125" t="s">
        <v>2378</v>
      </c>
      <c r="I157" s="125" t="s">
        <v>2435</v>
      </c>
      <c r="J157" s="127" t="str">
        <f t="shared" si="1"/>
        <v>PE25-155-1</v>
      </c>
      <c r="K157" s="153">
        <v>45848.0</v>
      </c>
      <c r="L157" s="129"/>
      <c r="M157" s="129" t="s">
        <v>626</v>
      </c>
      <c r="N157" s="124" t="s">
        <v>1745</v>
      </c>
      <c r="O157" s="124" t="s">
        <v>1789</v>
      </c>
      <c r="P157" s="130" t="s">
        <v>627</v>
      </c>
      <c r="Q157" s="131">
        <v>7.906976E7</v>
      </c>
      <c r="R157" s="132"/>
      <c r="S157" s="132">
        <f t="shared" si="2"/>
        <v>79069760</v>
      </c>
      <c r="T157" s="133">
        <f t="shared" si="3"/>
        <v>8697673.6</v>
      </c>
      <c r="U157" s="132">
        <f t="shared" si="4"/>
        <v>87767433.6</v>
      </c>
      <c r="V157" s="130"/>
      <c r="W157" s="124" t="s">
        <v>1780</v>
      </c>
      <c r="X157" s="134"/>
      <c r="Y157" s="135" t="str">
        <f>VLOOKUP(J157,[1]TARIKANMYSAP!$H$2:$K$1013,4,FALSE)</f>
        <v>#ERROR!</v>
      </c>
      <c r="Z157" s="136" t="str">
        <f t="shared" si="5"/>
        <v>PE25-155-1</v>
      </c>
      <c r="AA157" s="137"/>
      <c r="AB157" s="137"/>
    </row>
    <row r="158" ht="12.0" customHeight="1">
      <c r="A158" s="111"/>
      <c r="F158" s="123">
        <f t="shared" si="8"/>
        <v>157</v>
      </c>
      <c r="G158" s="124" t="s">
        <v>2421</v>
      </c>
      <c r="H158" s="125" t="s">
        <v>2378</v>
      </c>
      <c r="I158" s="126" t="s">
        <v>2436</v>
      </c>
      <c r="J158" s="127" t="str">
        <f t="shared" si="1"/>
        <v>PE25-156</v>
      </c>
      <c r="K158" s="153">
        <v>45848.0</v>
      </c>
      <c r="L158" s="129"/>
      <c r="M158" s="129" t="s">
        <v>94</v>
      </c>
      <c r="N158" s="124" t="s">
        <v>1745</v>
      </c>
      <c r="O158" s="124"/>
      <c r="P158" s="130" t="s">
        <v>631</v>
      </c>
      <c r="Q158" s="131">
        <v>5.086275E7</v>
      </c>
      <c r="R158" s="132"/>
      <c r="S158" s="132">
        <f t="shared" si="2"/>
        <v>50862750</v>
      </c>
      <c r="T158" s="133">
        <f t="shared" si="3"/>
        <v>5594902.5</v>
      </c>
      <c r="U158" s="132">
        <f t="shared" si="4"/>
        <v>56457652.5</v>
      </c>
      <c r="V158" s="130"/>
      <c r="W158" s="124" t="s">
        <v>1747</v>
      </c>
      <c r="X158" s="134"/>
      <c r="Y158" s="135" t="str">
        <f>VLOOKUP(J158,[1]TARIKANMYSAP!$H$2:$K$1013,4,FALSE)</f>
        <v>#ERROR!</v>
      </c>
      <c r="Z158" s="136" t="str">
        <f t="shared" si="5"/>
        <v>PE25-156</v>
      </c>
      <c r="AA158" s="137"/>
      <c r="AB158" s="137"/>
    </row>
    <row r="159" ht="12.0" customHeight="1">
      <c r="A159" s="111"/>
      <c r="F159" s="123">
        <f t="shared" si="8"/>
        <v>158</v>
      </c>
      <c r="G159" s="124" t="s">
        <v>2421</v>
      </c>
      <c r="H159" s="125" t="s">
        <v>2378</v>
      </c>
      <c r="I159" s="126" t="s">
        <v>2437</v>
      </c>
      <c r="J159" s="127" t="str">
        <f t="shared" si="1"/>
        <v>PE25-157</v>
      </c>
      <c r="K159" s="153">
        <v>45852.0</v>
      </c>
      <c r="L159" s="151"/>
      <c r="M159" s="151"/>
      <c r="N159" s="124" t="s">
        <v>1752</v>
      </c>
      <c r="O159" s="124" t="s">
        <v>2381</v>
      </c>
      <c r="P159" s="130" t="s">
        <v>635</v>
      </c>
      <c r="Q159" s="131">
        <v>1.2959181E7</v>
      </c>
      <c r="R159" s="132">
        <f>Q159*12%</f>
        <v>1555101.72</v>
      </c>
      <c r="S159" s="132">
        <f t="shared" si="2"/>
        <v>14514282.72</v>
      </c>
      <c r="T159" s="133">
        <f t="shared" si="3"/>
        <v>1596571.099</v>
      </c>
      <c r="U159" s="132">
        <f t="shared" si="4"/>
        <v>16110853.82</v>
      </c>
      <c r="V159" s="130"/>
      <c r="W159" s="124" t="s">
        <v>1747</v>
      </c>
      <c r="X159" s="134"/>
      <c r="Y159" s="135" t="str">
        <f>VLOOKUP(J159,[1]TARIKANMYSAP!$H$2:$K$1013,4,FALSE)</f>
        <v>#ERROR!</v>
      </c>
      <c r="Z159" s="136" t="str">
        <f t="shared" si="5"/>
        <v>PE25-157</v>
      </c>
      <c r="AA159" s="137"/>
      <c r="AB159" s="137"/>
    </row>
    <row r="160" ht="12.0" customHeight="1">
      <c r="A160" s="111"/>
      <c r="F160" s="123">
        <f t="shared" si="8"/>
        <v>159</v>
      </c>
      <c r="G160" s="124" t="s">
        <v>2421</v>
      </c>
      <c r="H160" s="125" t="s">
        <v>2378</v>
      </c>
      <c r="I160" s="126" t="s">
        <v>2438</v>
      </c>
      <c r="J160" s="127" t="str">
        <f t="shared" si="1"/>
        <v>PE25-158</v>
      </c>
      <c r="K160" s="153">
        <v>45855.0</v>
      </c>
      <c r="L160" s="151"/>
      <c r="M160" s="151" t="s">
        <v>418</v>
      </c>
      <c r="N160" s="124" t="s">
        <v>1745</v>
      </c>
      <c r="O160" s="124"/>
      <c r="P160" s="130" t="s">
        <v>640</v>
      </c>
      <c r="Q160" s="131">
        <v>6.9603266E7</v>
      </c>
      <c r="R160" s="132">
        <f t="shared" ref="R160:R164" si="17">Q160*8.5%</f>
        <v>5916277.61</v>
      </c>
      <c r="S160" s="132">
        <f t="shared" si="2"/>
        <v>75519543.61</v>
      </c>
      <c r="T160" s="133">
        <f t="shared" si="3"/>
        <v>8307149.797</v>
      </c>
      <c r="U160" s="132">
        <f t="shared" si="4"/>
        <v>83826693.41</v>
      </c>
      <c r="V160" s="130"/>
      <c r="W160" s="124" t="s">
        <v>1747</v>
      </c>
      <c r="X160" s="134"/>
      <c r="Y160" s="135" t="str">
        <f>VLOOKUP(J160,[1]TARIKANMYSAP!$H$2:$K$1013,4,FALSE)</f>
        <v>#ERROR!</v>
      </c>
      <c r="Z160" s="136" t="str">
        <f t="shared" si="5"/>
        <v>PE25-158</v>
      </c>
      <c r="AA160" s="137"/>
      <c r="AB160" s="137"/>
    </row>
    <row r="161" ht="12.0" customHeight="1">
      <c r="A161" s="111"/>
      <c r="F161" s="123">
        <f t="shared" si="8"/>
        <v>160</v>
      </c>
      <c r="G161" s="124" t="s">
        <v>2421</v>
      </c>
      <c r="H161" s="125" t="s">
        <v>2378</v>
      </c>
      <c r="I161" s="126" t="s">
        <v>2439</v>
      </c>
      <c r="J161" s="127" t="str">
        <f t="shared" si="1"/>
        <v>PE25-159</v>
      </c>
      <c r="K161" s="153">
        <v>45855.0</v>
      </c>
      <c r="L161" s="151"/>
      <c r="M161" s="151" t="s">
        <v>418</v>
      </c>
      <c r="N161" s="124" t="s">
        <v>1745</v>
      </c>
      <c r="O161" s="124"/>
      <c r="P161" s="130" t="s">
        <v>644</v>
      </c>
      <c r="Q161" s="131">
        <v>3.8686383E7</v>
      </c>
      <c r="R161" s="132">
        <f t="shared" si="17"/>
        <v>3288342.555</v>
      </c>
      <c r="S161" s="132">
        <f t="shared" si="2"/>
        <v>41974725.56</v>
      </c>
      <c r="T161" s="133">
        <f t="shared" si="3"/>
        <v>4617219.811</v>
      </c>
      <c r="U161" s="132">
        <f t="shared" si="4"/>
        <v>46591945.37</v>
      </c>
      <c r="V161" s="130"/>
      <c r="W161" s="124" t="s">
        <v>1747</v>
      </c>
      <c r="X161" s="134"/>
      <c r="Y161" s="135" t="str">
        <f>VLOOKUP(J161,[1]TARIKANMYSAP!$H$2:$K$1013,4,FALSE)</f>
        <v>#ERROR!</v>
      </c>
      <c r="Z161" s="136" t="str">
        <f t="shared" si="5"/>
        <v>PE25-159</v>
      </c>
      <c r="AA161" s="137"/>
      <c r="AB161" s="137"/>
    </row>
    <row r="162" ht="12.0" customHeight="1">
      <c r="A162" s="111"/>
      <c r="F162" s="123">
        <f t="shared" si="8"/>
        <v>161</v>
      </c>
      <c r="G162" s="124" t="s">
        <v>2421</v>
      </c>
      <c r="H162" s="125" t="s">
        <v>2378</v>
      </c>
      <c r="I162" s="126" t="s">
        <v>2440</v>
      </c>
      <c r="J162" s="127" t="str">
        <f t="shared" si="1"/>
        <v>PE25-160</v>
      </c>
      <c r="K162" s="153">
        <v>45855.0</v>
      </c>
      <c r="L162" s="151"/>
      <c r="M162" s="151" t="s">
        <v>418</v>
      </c>
      <c r="N162" s="124" t="s">
        <v>1745</v>
      </c>
      <c r="O162" s="124"/>
      <c r="P162" s="130" t="s">
        <v>648</v>
      </c>
      <c r="Q162" s="131">
        <v>6.0897136E7</v>
      </c>
      <c r="R162" s="132">
        <f t="shared" si="17"/>
        <v>5176256.56</v>
      </c>
      <c r="S162" s="132">
        <f t="shared" si="2"/>
        <v>66073392.56</v>
      </c>
      <c r="T162" s="133">
        <f t="shared" si="3"/>
        <v>7268073.182</v>
      </c>
      <c r="U162" s="132">
        <f t="shared" si="4"/>
        <v>73341465.74</v>
      </c>
      <c r="V162" s="130"/>
      <c r="W162" s="124" t="s">
        <v>1747</v>
      </c>
      <c r="X162" s="134"/>
      <c r="Y162" s="135" t="str">
        <f>VLOOKUP(J162,[1]TARIKANMYSAP!$H$2:$K$1013,4,FALSE)</f>
        <v>#ERROR!</v>
      </c>
      <c r="Z162" s="136" t="str">
        <f t="shared" si="5"/>
        <v>PE25-160</v>
      </c>
      <c r="AA162" s="137"/>
      <c r="AB162" s="137"/>
    </row>
    <row r="163" ht="12.0" customHeight="1">
      <c r="A163" s="111"/>
      <c r="F163" s="123">
        <f t="shared" si="8"/>
        <v>162</v>
      </c>
      <c r="G163" s="124" t="s">
        <v>2421</v>
      </c>
      <c r="H163" s="125" t="s">
        <v>2378</v>
      </c>
      <c r="I163" s="126" t="s">
        <v>2441</v>
      </c>
      <c r="J163" s="127" t="str">
        <f t="shared" si="1"/>
        <v>PE25-161</v>
      </c>
      <c r="K163" s="153">
        <v>45855.0</v>
      </c>
      <c r="L163" s="151"/>
      <c r="M163" s="151" t="s">
        <v>418</v>
      </c>
      <c r="N163" s="124" t="s">
        <v>1745</v>
      </c>
      <c r="O163" s="124"/>
      <c r="P163" s="130" t="s">
        <v>652</v>
      </c>
      <c r="Q163" s="131">
        <v>8.8018955E7</v>
      </c>
      <c r="R163" s="132">
        <f t="shared" si="17"/>
        <v>7481611.175</v>
      </c>
      <c r="S163" s="132">
        <f t="shared" si="2"/>
        <v>95500566.18</v>
      </c>
      <c r="T163" s="133">
        <f t="shared" si="3"/>
        <v>10505062.28</v>
      </c>
      <c r="U163" s="132">
        <f t="shared" si="4"/>
        <v>106005628.5</v>
      </c>
      <c r="V163" s="130"/>
      <c r="W163" s="124" t="s">
        <v>1747</v>
      </c>
      <c r="X163" s="134"/>
      <c r="Y163" s="135" t="str">
        <f>VLOOKUP(J163,[1]TARIKANMYSAP!$H$2:$K$1013,4,FALSE)</f>
        <v>#ERROR!</v>
      </c>
      <c r="Z163" s="136" t="str">
        <f t="shared" si="5"/>
        <v>PE25-161</v>
      </c>
      <c r="AA163" s="137"/>
      <c r="AB163" s="137"/>
    </row>
    <row r="164" ht="12.0" customHeight="1">
      <c r="A164" s="111"/>
      <c r="F164" s="123">
        <f t="shared" si="8"/>
        <v>163</v>
      </c>
      <c r="G164" s="124" t="s">
        <v>2421</v>
      </c>
      <c r="H164" s="125" t="s">
        <v>2378</v>
      </c>
      <c r="I164" s="126" t="s">
        <v>2442</v>
      </c>
      <c r="J164" s="127" t="str">
        <f t="shared" si="1"/>
        <v>PE25-162</v>
      </c>
      <c r="K164" s="153">
        <v>45855.0</v>
      </c>
      <c r="L164" s="151"/>
      <c r="M164" s="151" t="s">
        <v>418</v>
      </c>
      <c r="N164" s="124" t="s">
        <v>1745</v>
      </c>
      <c r="O164" s="124"/>
      <c r="P164" s="130" t="s">
        <v>656</v>
      </c>
      <c r="Q164" s="131">
        <v>5.1878883E7</v>
      </c>
      <c r="R164" s="132">
        <f t="shared" si="17"/>
        <v>4409705.055</v>
      </c>
      <c r="S164" s="132">
        <f t="shared" si="2"/>
        <v>56288588.06</v>
      </c>
      <c r="T164" s="133">
        <f t="shared" si="3"/>
        <v>6191744.686</v>
      </c>
      <c r="U164" s="132">
        <f t="shared" si="4"/>
        <v>62480332.74</v>
      </c>
      <c r="V164" s="130"/>
      <c r="W164" s="124" t="s">
        <v>1747</v>
      </c>
      <c r="X164" s="134"/>
      <c r="Y164" s="135" t="str">
        <f>VLOOKUP(J164,[1]TARIKANMYSAP!$H$2:$K$1013,4,FALSE)</f>
        <v>#ERROR!</v>
      </c>
      <c r="Z164" s="136" t="str">
        <f t="shared" si="5"/>
        <v>PE25-162</v>
      </c>
      <c r="AA164" s="137"/>
      <c r="AB164" s="137"/>
    </row>
    <row r="165" ht="12.0" customHeight="1">
      <c r="A165" s="111"/>
      <c r="F165" s="123">
        <f t="shared" si="8"/>
        <v>164</v>
      </c>
      <c r="G165" s="124" t="s">
        <v>2421</v>
      </c>
      <c r="H165" s="125" t="s">
        <v>2378</v>
      </c>
      <c r="I165" s="126" t="s">
        <v>2443</v>
      </c>
      <c r="J165" s="127" t="str">
        <f t="shared" si="1"/>
        <v>PE25-163</v>
      </c>
      <c r="K165" s="153">
        <v>45860.0</v>
      </c>
      <c r="L165" s="129"/>
      <c r="M165" s="129" t="s">
        <v>661</v>
      </c>
      <c r="N165" s="124" t="s">
        <v>1745</v>
      </c>
      <c r="O165" s="124" t="s">
        <v>2379</v>
      </c>
      <c r="P165" s="130" t="s">
        <v>662</v>
      </c>
      <c r="Q165" s="131">
        <v>2.408E7</v>
      </c>
      <c r="R165" s="132"/>
      <c r="S165" s="132">
        <f t="shared" si="2"/>
        <v>24080000</v>
      </c>
      <c r="T165" s="133">
        <f t="shared" si="3"/>
        <v>2648800</v>
      </c>
      <c r="U165" s="132">
        <f t="shared" si="4"/>
        <v>26728800</v>
      </c>
      <c r="V165" s="130"/>
      <c r="W165" s="124" t="s">
        <v>1925</v>
      </c>
      <c r="X165" s="134"/>
      <c r="Y165" s="135" t="str">
        <f>VLOOKUP(J165,[1]TARIKANMYSAP!$H$2:$K$1013,4,FALSE)</f>
        <v>#ERROR!</v>
      </c>
      <c r="Z165" s="136" t="str">
        <f t="shared" si="5"/>
        <v>PE25-163</v>
      </c>
      <c r="AA165" s="137"/>
      <c r="AB165" s="137"/>
    </row>
    <row r="166" ht="12.0" customHeight="1">
      <c r="A166" s="111"/>
      <c r="F166" s="123">
        <f t="shared" si="8"/>
        <v>165</v>
      </c>
      <c r="G166" s="124" t="s">
        <v>2421</v>
      </c>
      <c r="H166" s="125" t="s">
        <v>2378</v>
      </c>
      <c r="I166" s="126" t="s">
        <v>2444</v>
      </c>
      <c r="J166" s="127" t="str">
        <f t="shared" si="1"/>
        <v>PE25-164</v>
      </c>
      <c r="K166" s="153">
        <v>45860.0</v>
      </c>
      <c r="L166" s="129"/>
      <c r="M166" s="129" t="s">
        <v>666</v>
      </c>
      <c r="N166" s="124" t="s">
        <v>1745</v>
      </c>
      <c r="O166" s="124" t="s">
        <v>2379</v>
      </c>
      <c r="P166" s="130" t="s">
        <v>2445</v>
      </c>
      <c r="Q166" s="131">
        <v>4.368E7</v>
      </c>
      <c r="R166" s="132"/>
      <c r="S166" s="132">
        <f t="shared" si="2"/>
        <v>43680000</v>
      </c>
      <c r="T166" s="133">
        <f t="shared" si="3"/>
        <v>4804800</v>
      </c>
      <c r="U166" s="132">
        <f t="shared" si="4"/>
        <v>48484800</v>
      </c>
      <c r="V166" s="130"/>
      <c r="W166" s="124" t="s">
        <v>1925</v>
      </c>
      <c r="X166" s="134"/>
      <c r="Y166" s="135" t="str">
        <f>VLOOKUP(J166,[1]TARIKANMYSAP!$H$2:$K$1013,4,FALSE)</f>
        <v>#ERROR!</v>
      </c>
      <c r="Z166" s="136" t="str">
        <f t="shared" si="5"/>
        <v>PE25-164</v>
      </c>
      <c r="AA166" s="137"/>
      <c r="AB166" s="137"/>
    </row>
    <row r="167" ht="12.0" customHeight="1">
      <c r="A167" s="111"/>
      <c r="F167" s="123">
        <f t="shared" si="8"/>
        <v>166</v>
      </c>
      <c r="G167" s="124" t="s">
        <v>2421</v>
      </c>
      <c r="H167" s="125" t="s">
        <v>2378</v>
      </c>
      <c r="I167" s="126" t="s">
        <v>2446</v>
      </c>
      <c r="J167" s="127" t="str">
        <f t="shared" si="1"/>
        <v>PE25-165</v>
      </c>
      <c r="K167" s="153">
        <v>45860.0</v>
      </c>
      <c r="L167" s="129"/>
      <c r="M167" s="129" t="s">
        <v>671</v>
      </c>
      <c r="N167" s="124" t="s">
        <v>1745</v>
      </c>
      <c r="O167" s="124" t="s">
        <v>2379</v>
      </c>
      <c r="P167" s="130" t="s">
        <v>2447</v>
      </c>
      <c r="Q167" s="131">
        <v>4.984E7</v>
      </c>
      <c r="R167" s="132"/>
      <c r="S167" s="132">
        <f t="shared" si="2"/>
        <v>49840000</v>
      </c>
      <c r="T167" s="133">
        <f t="shared" si="3"/>
        <v>5482400</v>
      </c>
      <c r="U167" s="132">
        <f t="shared" si="4"/>
        <v>55322400</v>
      </c>
      <c r="V167" s="130"/>
      <c r="W167" s="124" t="s">
        <v>1925</v>
      </c>
      <c r="X167" s="134"/>
      <c r="Y167" s="135" t="str">
        <f>VLOOKUP(J167,[1]TARIKANMYSAP!$H$2:$K$1013,4,FALSE)</f>
        <v>#ERROR!</v>
      </c>
      <c r="Z167" s="136" t="str">
        <f t="shared" si="5"/>
        <v>PE25-165</v>
      </c>
      <c r="AA167" s="137"/>
      <c r="AB167" s="137"/>
    </row>
    <row r="168" ht="12.0" customHeight="1">
      <c r="A168" s="111"/>
      <c r="F168" s="123">
        <f t="shared" si="8"/>
        <v>167</v>
      </c>
      <c r="G168" s="124" t="s">
        <v>2421</v>
      </c>
      <c r="H168" s="125" t="s">
        <v>2378</v>
      </c>
      <c r="I168" s="126" t="s">
        <v>2448</v>
      </c>
      <c r="J168" s="127" t="str">
        <f t="shared" si="1"/>
        <v>PE25-166</v>
      </c>
      <c r="K168" s="153">
        <v>45860.0</v>
      </c>
      <c r="L168" s="129"/>
      <c r="M168" s="129" t="s">
        <v>676</v>
      </c>
      <c r="N168" s="124" t="s">
        <v>1745</v>
      </c>
      <c r="O168" s="124" t="s">
        <v>2379</v>
      </c>
      <c r="P168" s="130" t="s">
        <v>2449</v>
      </c>
      <c r="Q168" s="131">
        <v>1.7986E7</v>
      </c>
      <c r="R168" s="132"/>
      <c r="S168" s="132">
        <f t="shared" si="2"/>
        <v>17986000</v>
      </c>
      <c r="T168" s="133">
        <f t="shared" si="3"/>
        <v>1978460</v>
      </c>
      <c r="U168" s="132">
        <f t="shared" si="4"/>
        <v>19964460</v>
      </c>
      <c r="V168" s="130"/>
      <c r="W168" s="124" t="s">
        <v>1925</v>
      </c>
      <c r="X168" s="134"/>
      <c r="Y168" s="135" t="str">
        <f>VLOOKUP(J168,[1]TARIKANMYSAP!$H$2:$K$1013,4,FALSE)</f>
        <v>#ERROR!</v>
      </c>
      <c r="Z168" s="136" t="str">
        <f t="shared" si="5"/>
        <v>PE25-166</v>
      </c>
      <c r="AA168" s="137"/>
      <c r="AB168" s="137"/>
    </row>
    <row r="169" ht="12.0" customHeight="1">
      <c r="A169" s="111"/>
      <c r="F169" s="123">
        <f t="shared" si="8"/>
        <v>168</v>
      </c>
      <c r="G169" s="124" t="s">
        <v>2421</v>
      </c>
      <c r="H169" s="125" t="s">
        <v>2378</v>
      </c>
      <c r="I169" s="126" t="s">
        <v>2450</v>
      </c>
      <c r="J169" s="127" t="str">
        <f t="shared" si="1"/>
        <v>PE25-167</v>
      </c>
      <c r="K169" s="153">
        <v>45860.0</v>
      </c>
      <c r="L169" s="129"/>
      <c r="M169" s="129" t="s">
        <v>681</v>
      </c>
      <c r="N169" s="124" t="s">
        <v>1745</v>
      </c>
      <c r="O169" s="124" t="s">
        <v>2379</v>
      </c>
      <c r="P169" s="130" t="s">
        <v>682</v>
      </c>
      <c r="Q169" s="131">
        <v>4.99968E7</v>
      </c>
      <c r="R169" s="132"/>
      <c r="S169" s="132">
        <f t="shared" si="2"/>
        <v>49996800</v>
      </c>
      <c r="T169" s="133">
        <f t="shared" si="3"/>
        <v>5499648</v>
      </c>
      <c r="U169" s="132">
        <f t="shared" si="4"/>
        <v>55496448</v>
      </c>
      <c r="V169" s="130"/>
      <c r="W169" s="124" t="s">
        <v>1925</v>
      </c>
      <c r="X169" s="134"/>
      <c r="Y169" s="135" t="str">
        <f>VLOOKUP(J169,[1]TARIKANMYSAP!$H$2:$K$1013,4,FALSE)</f>
        <v>#ERROR!</v>
      </c>
      <c r="Z169" s="136" t="str">
        <f t="shared" si="5"/>
        <v>PE25-167</v>
      </c>
      <c r="AA169" s="137"/>
      <c r="AB169" s="137"/>
    </row>
    <row r="170" ht="12.0" customHeight="1">
      <c r="A170" s="111"/>
      <c r="F170" s="123">
        <f t="shared" si="8"/>
        <v>169</v>
      </c>
      <c r="G170" s="124" t="s">
        <v>2421</v>
      </c>
      <c r="H170" s="125" t="s">
        <v>2378</v>
      </c>
      <c r="I170" s="126" t="s">
        <v>2451</v>
      </c>
      <c r="J170" s="127" t="str">
        <f t="shared" si="1"/>
        <v>PE25-168</v>
      </c>
      <c r="K170" s="153">
        <v>45860.0</v>
      </c>
      <c r="L170" s="151"/>
      <c r="M170" s="151" t="s">
        <v>686</v>
      </c>
      <c r="N170" s="124" t="s">
        <v>1745</v>
      </c>
      <c r="O170" s="124" t="s">
        <v>2379</v>
      </c>
      <c r="P170" s="130" t="s">
        <v>2452</v>
      </c>
      <c r="Q170" s="131">
        <v>8261600.0</v>
      </c>
      <c r="R170" s="132"/>
      <c r="S170" s="132">
        <f t="shared" si="2"/>
        <v>8261600</v>
      </c>
      <c r="T170" s="133">
        <f t="shared" si="3"/>
        <v>908776</v>
      </c>
      <c r="U170" s="132">
        <f t="shared" si="4"/>
        <v>9170376</v>
      </c>
      <c r="V170" s="130"/>
      <c r="W170" s="124" t="s">
        <v>1925</v>
      </c>
      <c r="X170" s="134"/>
      <c r="Y170" s="135" t="str">
        <f>VLOOKUP(J170,[1]TARIKANMYSAP!$H$2:$K$1013,4,FALSE)</f>
        <v>#ERROR!</v>
      </c>
      <c r="Z170" s="136" t="str">
        <f t="shared" si="5"/>
        <v>PE25-168</v>
      </c>
      <c r="AA170" s="137"/>
      <c r="AB170" s="137"/>
    </row>
    <row r="171" ht="12.0" customHeight="1">
      <c r="A171" s="111"/>
      <c r="F171" s="123">
        <f t="shared" si="8"/>
        <v>170</v>
      </c>
      <c r="G171" s="124" t="s">
        <v>2421</v>
      </c>
      <c r="H171" s="125" t="s">
        <v>2378</v>
      </c>
      <c r="I171" s="126" t="s">
        <v>2453</v>
      </c>
      <c r="J171" s="127" t="str">
        <f t="shared" si="1"/>
        <v>PE25-169</v>
      </c>
      <c r="K171" s="153">
        <v>45860.0</v>
      </c>
      <c r="L171" s="129"/>
      <c r="M171" s="151" t="s">
        <v>690</v>
      </c>
      <c r="N171" s="124" t="s">
        <v>1745</v>
      </c>
      <c r="O171" s="124" t="s">
        <v>2379</v>
      </c>
      <c r="P171" s="130" t="s">
        <v>691</v>
      </c>
      <c r="Q171" s="131">
        <v>2.6096E7</v>
      </c>
      <c r="R171" s="132"/>
      <c r="S171" s="132">
        <f t="shared" si="2"/>
        <v>26096000</v>
      </c>
      <c r="T171" s="133">
        <f t="shared" si="3"/>
        <v>2870560</v>
      </c>
      <c r="U171" s="132">
        <f t="shared" si="4"/>
        <v>28966560</v>
      </c>
      <c r="V171" s="130"/>
      <c r="W171" s="124" t="s">
        <v>1925</v>
      </c>
      <c r="X171" s="134"/>
      <c r="Y171" s="135" t="str">
        <f>VLOOKUP(J171,[1]TARIKANMYSAP!$H$2:$K$1013,4,FALSE)</f>
        <v>#ERROR!</v>
      </c>
      <c r="Z171" s="136" t="str">
        <f t="shared" si="5"/>
        <v>PE25-169</v>
      </c>
      <c r="AA171" s="137"/>
      <c r="AB171" s="137"/>
    </row>
    <row r="172" ht="12.0" customHeight="1">
      <c r="A172" s="111"/>
      <c r="F172" s="123">
        <f t="shared" si="8"/>
        <v>171</v>
      </c>
      <c r="G172" s="124" t="s">
        <v>2421</v>
      </c>
      <c r="H172" s="125" t="s">
        <v>2378</v>
      </c>
      <c r="I172" s="126" t="s">
        <v>2454</v>
      </c>
      <c r="J172" s="127" t="str">
        <f t="shared" si="1"/>
        <v>PE25-170</v>
      </c>
      <c r="K172" s="153">
        <v>45860.0</v>
      </c>
      <c r="L172" s="151"/>
      <c r="M172" s="151" t="s">
        <v>695</v>
      </c>
      <c r="N172" s="124" t="s">
        <v>1745</v>
      </c>
      <c r="O172" s="124" t="s">
        <v>2379</v>
      </c>
      <c r="P172" s="130" t="s">
        <v>696</v>
      </c>
      <c r="Q172" s="131">
        <v>2.2904E7</v>
      </c>
      <c r="R172" s="132"/>
      <c r="S172" s="132">
        <f t="shared" si="2"/>
        <v>22904000</v>
      </c>
      <c r="T172" s="133">
        <f t="shared" si="3"/>
        <v>2519440</v>
      </c>
      <c r="U172" s="132">
        <f t="shared" si="4"/>
        <v>25423440</v>
      </c>
      <c r="V172" s="130"/>
      <c r="W172" s="124" t="s">
        <v>1925</v>
      </c>
      <c r="X172" s="134"/>
      <c r="Y172" s="135" t="str">
        <f>VLOOKUP(J172,[1]TARIKANMYSAP!$H$2:$K$1013,4,FALSE)</f>
        <v>#ERROR!</v>
      </c>
      <c r="Z172" s="136" t="str">
        <f t="shared" si="5"/>
        <v>PE25-170</v>
      </c>
      <c r="AA172" s="137"/>
      <c r="AB172" s="137"/>
    </row>
    <row r="173" ht="12.0" customHeight="1">
      <c r="A173" s="111"/>
      <c r="F173" s="123">
        <f t="shared" si="8"/>
        <v>172</v>
      </c>
      <c r="G173" s="124" t="s">
        <v>2421</v>
      </c>
      <c r="H173" s="125" t="s">
        <v>2378</v>
      </c>
      <c r="I173" s="126" t="s">
        <v>2455</v>
      </c>
      <c r="J173" s="127" t="str">
        <f t="shared" si="1"/>
        <v>PE25-171</v>
      </c>
      <c r="K173" s="153">
        <v>45860.0</v>
      </c>
      <c r="L173" s="151"/>
      <c r="M173" s="151" t="s">
        <v>700</v>
      </c>
      <c r="N173" s="124" t="s">
        <v>1745</v>
      </c>
      <c r="O173" s="124" t="s">
        <v>2379</v>
      </c>
      <c r="P173" s="130" t="s">
        <v>701</v>
      </c>
      <c r="Q173" s="131">
        <v>1.725E7</v>
      </c>
      <c r="R173" s="132"/>
      <c r="S173" s="132">
        <f t="shared" si="2"/>
        <v>17250000</v>
      </c>
      <c r="T173" s="133">
        <f t="shared" si="3"/>
        <v>1897500</v>
      </c>
      <c r="U173" s="132">
        <f t="shared" si="4"/>
        <v>19147500</v>
      </c>
      <c r="V173" s="130"/>
      <c r="W173" s="124" t="s">
        <v>1925</v>
      </c>
      <c r="X173" s="134"/>
      <c r="Y173" s="135" t="str">
        <f>VLOOKUP(J173,[1]TARIKANMYSAP!$H$2:$K$1013,4,FALSE)</f>
        <v>#ERROR!</v>
      </c>
      <c r="Z173" s="136" t="str">
        <f t="shared" si="5"/>
        <v>PE25-171</v>
      </c>
      <c r="AA173" s="137"/>
      <c r="AB173" s="137"/>
    </row>
    <row r="174" ht="12.0" customHeight="1">
      <c r="A174" s="111"/>
      <c r="F174" s="123">
        <f t="shared" si="8"/>
        <v>173</v>
      </c>
      <c r="G174" s="124" t="s">
        <v>2421</v>
      </c>
      <c r="H174" s="125" t="s">
        <v>2378</v>
      </c>
      <c r="I174" s="126" t="s">
        <v>2456</v>
      </c>
      <c r="J174" s="127" t="str">
        <f t="shared" si="1"/>
        <v>PE25-172</v>
      </c>
      <c r="K174" s="153">
        <v>45860.0</v>
      </c>
      <c r="L174" s="129"/>
      <c r="M174" s="129" t="s">
        <v>329</v>
      </c>
      <c r="N174" s="124" t="s">
        <v>1745</v>
      </c>
      <c r="O174" s="124"/>
      <c r="P174" s="130" t="s">
        <v>703</v>
      </c>
      <c r="Q174" s="131">
        <v>1.56315941E8</v>
      </c>
      <c r="R174" s="132"/>
      <c r="S174" s="132">
        <f t="shared" si="2"/>
        <v>156315941</v>
      </c>
      <c r="T174" s="133">
        <f t="shared" si="3"/>
        <v>17194753.51</v>
      </c>
      <c r="U174" s="132">
        <f t="shared" si="4"/>
        <v>173510694.5</v>
      </c>
      <c r="V174" s="130"/>
      <c r="W174" s="124" t="s">
        <v>1747</v>
      </c>
      <c r="X174" s="134"/>
      <c r="Y174" s="135" t="str">
        <f>VLOOKUP(J174,[1]TARIKANMYSAP!$H$2:$K$1013,4,FALSE)</f>
        <v>#ERROR!</v>
      </c>
      <c r="Z174" s="136" t="str">
        <f t="shared" si="5"/>
        <v>PE25-172</v>
      </c>
      <c r="AA174" s="137"/>
      <c r="AB174" s="137"/>
    </row>
    <row r="175" ht="12.0" customHeight="1">
      <c r="A175" s="111"/>
      <c r="F175" s="123">
        <f t="shared" si="8"/>
        <v>174</v>
      </c>
      <c r="G175" s="124" t="s">
        <v>2421</v>
      </c>
      <c r="H175" s="125" t="s">
        <v>2378</v>
      </c>
      <c r="I175" s="126" t="s">
        <v>2457</v>
      </c>
      <c r="J175" s="127" t="str">
        <f t="shared" si="1"/>
        <v>PE25-173</v>
      </c>
      <c r="K175" s="153">
        <v>45861.0</v>
      </c>
      <c r="L175" s="129"/>
      <c r="M175" s="129" t="s">
        <v>708</v>
      </c>
      <c r="N175" s="124" t="s">
        <v>1745</v>
      </c>
      <c r="O175" s="124"/>
      <c r="P175" s="130" t="s">
        <v>709</v>
      </c>
      <c r="Q175" s="131">
        <v>1.56819256E8</v>
      </c>
      <c r="R175" s="132"/>
      <c r="S175" s="132">
        <f t="shared" si="2"/>
        <v>156819256</v>
      </c>
      <c r="T175" s="133">
        <f t="shared" si="3"/>
        <v>17250118.16</v>
      </c>
      <c r="U175" s="132">
        <f t="shared" si="4"/>
        <v>174069374.2</v>
      </c>
      <c r="V175" s="130"/>
      <c r="W175" s="124" t="s">
        <v>1780</v>
      </c>
      <c r="X175" s="134"/>
      <c r="Y175" s="135" t="str">
        <f>VLOOKUP(J175,[1]TARIKANMYSAP!$H$2:$K$1013,4,FALSE)</f>
        <v>#ERROR!</v>
      </c>
      <c r="Z175" s="136" t="str">
        <f t="shared" si="5"/>
        <v>PE25-173</v>
      </c>
      <c r="AA175" s="137"/>
      <c r="AB175" s="137"/>
    </row>
    <row r="176" ht="12.0" customHeight="1">
      <c r="A176" s="111"/>
      <c r="F176" s="123">
        <f t="shared" si="8"/>
        <v>175</v>
      </c>
      <c r="G176" s="124" t="s">
        <v>2421</v>
      </c>
      <c r="H176" s="125" t="s">
        <v>2378</v>
      </c>
      <c r="I176" s="126" t="s">
        <v>2458</v>
      </c>
      <c r="J176" s="127" t="str">
        <f t="shared" si="1"/>
        <v>PE25-174</v>
      </c>
      <c r="K176" s="153">
        <v>45863.0</v>
      </c>
      <c r="L176" s="129"/>
      <c r="M176" s="129" t="s">
        <v>329</v>
      </c>
      <c r="N176" s="124" t="s">
        <v>1745</v>
      </c>
      <c r="O176" s="124"/>
      <c r="P176" s="130" t="s">
        <v>714</v>
      </c>
      <c r="Q176" s="131">
        <v>1.15574963E8</v>
      </c>
      <c r="R176" s="132"/>
      <c r="S176" s="132">
        <f t="shared" si="2"/>
        <v>115574963</v>
      </c>
      <c r="T176" s="133">
        <f t="shared" si="3"/>
        <v>12713245.93</v>
      </c>
      <c r="U176" s="132">
        <f t="shared" si="4"/>
        <v>128288208.9</v>
      </c>
      <c r="V176" s="130"/>
      <c r="W176" s="124" t="s">
        <v>1747</v>
      </c>
      <c r="X176" s="134"/>
      <c r="Y176" s="135" t="str">
        <f>VLOOKUP(J176,[1]TARIKANMYSAP!$H$2:$K$1013,4,FALSE)</f>
        <v>#ERROR!</v>
      </c>
      <c r="Z176" s="136" t="str">
        <f t="shared" si="5"/>
        <v>PE25-174</v>
      </c>
      <c r="AA176" s="137"/>
      <c r="AB176" s="137"/>
    </row>
    <row r="177" ht="12.0" customHeight="1">
      <c r="A177" s="111"/>
      <c r="F177" s="123">
        <f t="shared" si="8"/>
        <v>176</v>
      </c>
      <c r="G177" s="124" t="s">
        <v>2459</v>
      </c>
      <c r="H177" s="125" t="s">
        <v>2378</v>
      </c>
      <c r="I177" s="126" t="s">
        <v>2460</v>
      </c>
      <c r="J177" s="127" t="str">
        <f t="shared" si="1"/>
        <v>PE25-175</v>
      </c>
      <c r="K177" s="153">
        <v>45870.0</v>
      </c>
      <c r="L177" s="129"/>
      <c r="M177" s="129" t="s">
        <v>718</v>
      </c>
      <c r="N177" s="124" t="s">
        <v>1745</v>
      </c>
      <c r="O177" s="124" t="s">
        <v>2379</v>
      </c>
      <c r="P177" s="130" t="s">
        <v>2461</v>
      </c>
      <c r="Q177" s="131">
        <v>4.9868E7</v>
      </c>
      <c r="R177" s="132"/>
      <c r="S177" s="132">
        <f t="shared" si="2"/>
        <v>49868000</v>
      </c>
      <c r="T177" s="133">
        <f t="shared" si="3"/>
        <v>5485480</v>
      </c>
      <c r="U177" s="132">
        <f t="shared" si="4"/>
        <v>55353480</v>
      </c>
      <c r="V177" s="130"/>
      <c r="W177" s="124" t="s">
        <v>1925</v>
      </c>
      <c r="X177" s="134"/>
      <c r="Y177" s="135" t="str">
        <f>VLOOKUP(J177,[1]TARIKANMYSAP!$H$2:$K$1013,4,FALSE)</f>
        <v>#ERROR!</v>
      </c>
      <c r="Z177" s="136" t="str">
        <f t="shared" si="5"/>
        <v>PE25-175</v>
      </c>
      <c r="AA177" s="137"/>
      <c r="AB177" s="137"/>
    </row>
    <row r="178" ht="12.0" customHeight="1">
      <c r="A178" s="111"/>
      <c r="F178" s="123">
        <f t="shared" si="8"/>
        <v>177</v>
      </c>
      <c r="G178" s="124" t="s">
        <v>2459</v>
      </c>
      <c r="H178" s="125" t="s">
        <v>2378</v>
      </c>
      <c r="I178" s="126" t="s">
        <v>2462</v>
      </c>
      <c r="J178" s="127" t="str">
        <f t="shared" si="1"/>
        <v>PE25-176</v>
      </c>
      <c r="K178" s="153">
        <v>45870.0</v>
      </c>
      <c r="L178" s="129"/>
      <c r="M178" s="129" t="s">
        <v>2387</v>
      </c>
      <c r="N178" s="124" t="s">
        <v>1745</v>
      </c>
      <c r="O178" s="124"/>
      <c r="P178" s="130" t="s">
        <v>723</v>
      </c>
      <c r="Q178" s="131">
        <v>2.5369141E7</v>
      </c>
      <c r="R178" s="132">
        <f>Q178*6.2%</f>
        <v>1572886.742</v>
      </c>
      <c r="S178" s="132">
        <f t="shared" si="2"/>
        <v>26942027.74</v>
      </c>
      <c r="T178" s="133">
        <f t="shared" si="3"/>
        <v>2963623.052</v>
      </c>
      <c r="U178" s="132">
        <f t="shared" si="4"/>
        <v>29905650.79</v>
      </c>
      <c r="V178" s="130"/>
      <c r="W178" s="124" t="s">
        <v>2388</v>
      </c>
      <c r="X178" s="134"/>
      <c r="Y178" s="135" t="str">
        <f>VLOOKUP(J178,[1]TARIKANMYSAP!$H$2:$K$1013,4,FALSE)</f>
        <v>#ERROR!</v>
      </c>
      <c r="Z178" s="136" t="str">
        <f t="shared" si="5"/>
        <v>PE25-176</v>
      </c>
      <c r="AA178" s="137"/>
      <c r="AB178" s="137"/>
    </row>
    <row r="179" ht="12.0" customHeight="1">
      <c r="A179" s="111"/>
      <c r="F179" s="123">
        <f t="shared" si="8"/>
        <v>178</v>
      </c>
      <c r="G179" s="124" t="s">
        <v>2459</v>
      </c>
      <c r="H179" s="125" t="s">
        <v>2378</v>
      </c>
      <c r="I179" s="126" t="s">
        <v>2463</v>
      </c>
      <c r="J179" s="127" t="str">
        <f t="shared" si="1"/>
        <v>PE25-177</v>
      </c>
      <c r="K179" s="153">
        <v>45870.0</v>
      </c>
      <c r="L179" s="129"/>
      <c r="M179" s="129" t="s">
        <v>2387</v>
      </c>
      <c r="N179" s="124" t="s">
        <v>1745</v>
      </c>
      <c r="O179" s="124"/>
      <c r="P179" s="130" t="s">
        <v>727</v>
      </c>
      <c r="Q179" s="131">
        <v>1.0884071E7</v>
      </c>
      <c r="R179" s="132">
        <f>Q179*7.5%</f>
        <v>816305.325</v>
      </c>
      <c r="S179" s="132">
        <f t="shared" si="2"/>
        <v>11700376.33</v>
      </c>
      <c r="T179" s="133">
        <f t="shared" si="3"/>
        <v>1287041.396</v>
      </c>
      <c r="U179" s="132">
        <f t="shared" si="4"/>
        <v>12987417.72</v>
      </c>
      <c r="V179" s="130"/>
      <c r="W179" s="124" t="s">
        <v>2388</v>
      </c>
      <c r="X179" s="134"/>
      <c r="Y179" s="135" t="str">
        <f>VLOOKUP(J179,[1]TARIKANMYSAP!$H$2:$K$1013,4,FALSE)</f>
        <v>#ERROR!</v>
      </c>
      <c r="Z179" s="136" t="str">
        <f t="shared" si="5"/>
        <v>PE25-177</v>
      </c>
      <c r="AA179" s="137"/>
      <c r="AB179" s="137"/>
    </row>
    <row r="180" ht="12.0" customHeight="1">
      <c r="A180" s="111"/>
      <c r="F180" s="123">
        <f t="shared" si="8"/>
        <v>179</v>
      </c>
      <c r="G180" s="124" t="s">
        <v>2459</v>
      </c>
      <c r="H180" s="125" t="s">
        <v>2378</v>
      </c>
      <c r="I180" s="126" t="s">
        <v>2464</v>
      </c>
      <c r="J180" s="127" t="str">
        <f t="shared" si="1"/>
        <v>PE25-178</v>
      </c>
      <c r="K180" s="153">
        <v>45870.0</v>
      </c>
      <c r="L180" s="129"/>
      <c r="M180" s="129" t="s">
        <v>2387</v>
      </c>
      <c r="N180" s="124" t="s">
        <v>1745</v>
      </c>
      <c r="O180" s="124"/>
      <c r="P180" s="130" t="s">
        <v>729</v>
      </c>
      <c r="Q180" s="131">
        <v>8550000.0</v>
      </c>
      <c r="R180" s="132"/>
      <c r="S180" s="132">
        <f t="shared" si="2"/>
        <v>8550000</v>
      </c>
      <c r="T180" s="133">
        <f t="shared" si="3"/>
        <v>940500</v>
      </c>
      <c r="U180" s="132">
        <f t="shared" si="4"/>
        <v>9490500</v>
      </c>
      <c r="V180" s="130"/>
      <c r="W180" s="124" t="s">
        <v>2388</v>
      </c>
      <c r="X180" s="134"/>
      <c r="Y180" s="135" t="str">
        <f>VLOOKUP(J180,[1]TARIKANMYSAP!$H$2:$K$1013,4,FALSE)</f>
        <v>#ERROR!</v>
      </c>
      <c r="Z180" s="136" t="str">
        <f t="shared" si="5"/>
        <v>PE25-178</v>
      </c>
      <c r="AA180" s="137"/>
      <c r="AB180" s="137"/>
    </row>
    <row r="181" ht="12.0" customHeight="1">
      <c r="A181" s="111"/>
      <c r="F181" s="123">
        <f t="shared" si="8"/>
        <v>180</v>
      </c>
      <c r="G181" s="124" t="s">
        <v>2459</v>
      </c>
      <c r="H181" s="125" t="s">
        <v>2378</v>
      </c>
      <c r="I181" s="126" t="s">
        <v>2465</v>
      </c>
      <c r="J181" s="127" t="str">
        <f t="shared" si="1"/>
        <v>PE25-179</v>
      </c>
      <c r="K181" s="153">
        <v>45870.0</v>
      </c>
      <c r="L181" s="129"/>
      <c r="M181" s="129" t="s">
        <v>2387</v>
      </c>
      <c r="N181" s="124" t="s">
        <v>1745</v>
      </c>
      <c r="O181" s="124"/>
      <c r="P181" s="130" t="s">
        <v>731</v>
      </c>
      <c r="Q181" s="131">
        <v>2.1171884E7</v>
      </c>
      <c r="R181" s="132">
        <f>Q181*10%</f>
        <v>2117188.4</v>
      </c>
      <c r="S181" s="132">
        <f t="shared" si="2"/>
        <v>23289072.4</v>
      </c>
      <c r="T181" s="133">
        <f t="shared" si="3"/>
        <v>2561797.964</v>
      </c>
      <c r="U181" s="132">
        <f t="shared" si="4"/>
        <v>25850870.36</v>
      </c>
      <c r="V181" s="130"/>
      <c r="W181" s="124" t="s">
        <v>2388</v>
      </c>
      <c r="X181" s="134"/>
      <c r="Y181" s="135" t="str">
        <f>VLOOKUP(J181,[1]TARIKANMYSAP!$H$2:$K$1013,4,FALSE)</f>
        <v>#ERROR!</v>
      </c>
      <c r="Z181" s="136" t="str">
        <f t="shared" si="5"/>
        <v>PE25-179</v>
      </c>
      <c r="AA181" s="137"/>
      <c r="AB181" s="137"/>
    </row>
    <row r="182" ht="12.0" customHeight="1">
      <c r="A182" s="111"/>
      <c r="F182" s="123">
        <f t="shared" si="8"/>
        <v>181</v>
      </c>
      <c r="G182" s="124" t="s">
        <v>2459</v>
      </c>
      <c r="H182" s="125" t="s">
        <v>2378</v>
      </c>
      <c r="I182" s="126" t="s">
        <v>2466</v>
      </c>
      <c r="J182" s="127" t="str">
        <f t="shared" si="1"/>
        <v>PE25-180</v>
      </c>
      <c r="K182" s="153">
        <v>45873.0</v>
      </c>
      <c r="L182" s="129"/>
      <c r="M182" s="129" t="s">
        <v>735</v>
      </c>
      <c r="N182" s="124" t="s">
        <v>1745</v>
      </c>
      <c r="O182" s="124" t="s">
        <v>2379</v>
      </c>
      <c r="P182" s="130" t="s">
        <v>736</v>
      </c>
      <c r="Q182" s="131">
        <v>8.2546111E7</v>
      </c>
      <c r="R182" s="132"/>
      <c r="S182" s="132">
        <f t="shared" si="2"/>
        <v>82546111</v>
      </c>
      <c r="T182" s="133">
        <f t="shared" si="3"/>
        <v>9080072.21</v>
      </c>
      <c r="U182" s="132">
        <f t="shared" si="4"/>
        <v>91626183.21</v>
      </c>
      <c r="V182" s="130"/>
      <c r="W182" s="124" t="s">
        <v>1925</v>
      </c>
      <c r="X182" s="134"/>
      <c r="Y182" s="135" t="str">
        <f>VLOOKUP(J182,[1]TARIKANMYSAP!$H$2:$K$1013,4,FALSE)</f>
        <v>#ERROR!</v>
      </c>
      <c r="Z182" s="136" t="str">
        <f t="shared" si="5"/>
        <v>PE25-180</v>
      </c>
      <c r="AA182" s="137"/>
      <c r="AB182" s="137"/>
    </row>
    <row r="183" ht="12.0" customHeight="1">
      <c r="A183" s="111"/>
      <c r="F183" s="123">
        <f t="shared" si="8"/>
        <v>182</v>
      </c>
      <c r="G183" s="124" t="s">
        <v>2459</v>
      </c>
      <c r="H183" s="125" t="s">
        <v>2378</v>
      </c>
      <c r="I183" s="126" t="s">
        <v>2467</v>
      </c>
      <c r="J183" s="127" t="str">
        <f t="shared" si="1"/>
        <v>PE25-181</v>
      </c>
      <c r="K183" s="153">
        <v>45873.0</v>
      </c>
      <c r="L183" s="129"/>
      <c r="M183" s="129" t="s">
        <v>740</v>
      </c>
      <c r="N183" s="124" t="s">
        <v>1745</v>
      </c>
      <c r="O183" s="124" t="s">
        <v>2379</v>
      </c>
      <c r="P183" s="130" t="s">
        <v>741</v>
      </c>
      <c r="Q183" s="131">
        <v>3.002454E7</v>
      </c>
      <c r="R183" s="132"/>
      <c r="S183" s="132">
        <f t="shared" si="2"/>
        <v>30024540</v>
      </c>
      <c r="T183" s="133">
        <f t="shared" si="3"/>
        <v>3302699.4</v>
      </c>
      <c r="U183" s="132">
        <f t="shared" si="4"/>
        <v>33327239.4</v>
      </c>
      <c r="V183" s="130"/>
      <c r="W183" s="124" t="s">
        <v>1925</v>
      </c>
      <c r="X183" s="134"/>
      <c r="Y183" s="135" t="str">
        <f>VLOOKUP(J183,[1]TARIKANMYSAP!$H$2:$K$1013,4,FALSE)</f>
        <v>#ERROR!</v>
      </c>
      <c r="Z183" s="136" t="str">
        <f t="shared" si="5"/>
        <v>PE25-181</v>
      </c>
      <c r="AA183" s="137"/>
      <c r="AB183" s="137"/>
    </row>
    <row r="184" ht="12.0" customHeight="1">
      <c r="A184" s="111"/>
      <c r="F184" s="123">
        <f t="shared" si="8"/>
        <v>183</v>
      </c>
      <c r="G184" s="124" t="s">
        <v>2459</v>
      </c>
      <c r="H184" s="125" t="s">
        <v>2378</v>
      </c>
      <c r="I184" s="126" t="s">
        <v>2468</v>
      </c>
      <c r="J184" s="127" t="str">
        <f t="shared" si="1"/>
        <v>PE25-182</v>
      </c>
      <c r="K184" s="153">
        <v>45870.0</v>
      </c>
      <c r="L184" s="129"/>
      <c r="M184" s="129" t="s">
        <v>244</v>
      </c>
      <c r="N184" s="124" t="s">
        <v>1745</v>
      </c>
      <c r="O184" s="124"/>
      <c r="P184" s="130" t="s">
        <v>745</v>
      </c>
      <c r="Q184" s="131">
        <v>9830016.0</v>
      </c>
      <c r="R184" s="132"/>
      <c r="S184" s="132">
        <f t="shared" si="2"/>
        <v>9830016</v>
      </c>
      <c r="T184" s="133">
        <f t="shared" si="3"/>
        <v>1081301.76</v>
      </c>
      <c r="U184" s="132">
        <f t="shared" si="4"/>
        <v>10911317.76</v>
      </c>
      <c r="V184" s="130"/>
      <c r="W184" s="124" t="s">
        <v>1780</v>
      </c>
      <c r="X184" s="134"/>
      <c r="Y184" s="135" t="str">
        <f>VLOOKUP(J184,[1]TARIKANMYSAP!$H$2:$K$1013,4,FALSE)</f>
        <v>#ERROR!</v>
      </c>
      <c r="Z184" s="136" t="str">
        <f t="shared" si="5"/>
        <v>PE25-182</v>
      </c>
      <c r="AA184" s="137"/>
      <c r="AB184" s="137"/>
    </row>
    <row r="185" ht="12.0" customHeight="1">
      <c r="A185" s="111"/>
      <c r="F185" s="123">
        <f t="shared" si="8"/>
        <v>184</v>
      </c>
      <c r="G185" s="124" t="s">
        <v>2459</v>
      </c>
      <c r="H185" s="125" t="s">
        <v>2378</v>
      </c>
      <c r="I185" s="126" t="s">
        <v>2469</v>
      </c>
      <c r="J185" s="127" t="str">
        <f t="shared" si="1"/>
        <v>PE25-183</v>
      </c>
      <c r="K185" s="153">
        <v>45870.0</v>
      </c>
      <c r="L185" s="129"/>
      <c r="M185" s="129" t="s">
        <v>239</v>
      </c>
      <c r="N185" s="124" t="s">
        <v>1745</v>
      </c>
      <c r="O185" s="124"/>
      <c r="P185" s="130" t="s">
        <v>749</v>
      </c>
      <c r="Q185" s="131">
        <v>9830016.0</v>
      </c>
      <c r="R185" s="132"/>
      <c r="S185" s="132">
        <f t="shared" si="2"/>
        <v>9830016</v>
      </c>
      <c r="T185" s="133">
        <f t="shared" si="3"/>
        <v>1081301.76</v>
      </c>
      <c r="U185" s="132">
        <f t="shared" si="4"/>
        <v>10911317.76</v>
      </c>
      <c r="V185" s="130"/>
      <c r="W185" s="124" t="s">
        <v>1780</v>
      </c>
      <c r="X185" s="134"/>
      <c r="Y185" s="135" t="str">
        <f>VLOOKUP(J185,[1]TARIKANMYSAP!$H$2:$K$1013,4,FALSE)</f>
        <v>#ERROR!</v>
      </c>
      <c r="Z185" s="136" t="str">
        <f t="shared" si="5"/>
        <v>PE25-183</v>
      </c>
      <c r="AA185" s="137"/>
      <c r="AB185" s="137"/>
    </row>
    <row r="186" ht="12.0" customHeight="1">
      <c r="A186" s="111"/>
      <c r="F186" s="123">
        <f t="shared" si="8"/>
        <v>185</v>
      </c>
      <c r="G186" s="124" t="s">
        <v>2459</v>
      </c>
      <c r="H186" s="125" t="s">
        <v>2378</v>
      </c>
      <c r="I186" s="126" t="s">
        <v>2470</v>
      </c>
      <c r="J186" s="127" t="str">
        <f t="shared" si="1"/>
        <v>PE25-184</v>
      </c>
      <c r="K186" s="153">
        <v>45870.0</v>
      </c>
      <c r="L186" s="129"/>
      <c r="M186" s="129" t="s">
        <v>244</v>
      </c>
      <c r="N186" s="124" t="s">
        <v>1745</v>
      </c>
      <c r="O186" s="124"/>
      <c r="P186" s="130" t="s">
        <v>751</v>
      </c>
      <c r="Q186" s="131">
        <v>3.9320064E7</v>
      </c>
      <c r="R186" s="132"/>
      <c r="S186" s="132">
        <f t="shared" si="2"/>
        <v>39320064</v>
      </c>
      <c r="T186" s="133">
        <f t="shared" si="3"/>
        <v>4325207.04</v>
      </c>
      <c r="U186" s="132">
        <f t="shared" si="4"/>
        <v>43645271.04</v>
      </c>
      <c r="V186" s="130"/>
      <c r="W186" s="124" t="s">
        <v>1780</v>
      </c>
      <c r="X186" s="134"/>
      <c r="Y186" s="135" t="str">
        <f>VLOOKUP(J186,[1]TARIKANMYSAP!$H$2:$K$1013,4,FALSE)</f>
        <v>#ERROR!</v>
      </c>
      <c r="Z186" s="136" t="str">
        <f t="shared" si="5"/>
        <v>PE25-184</v>
      </c>
      <c r="AA186" s="137"/>
      <c r="AB186" s="137"/>
    </row>
    <row r="187" ht="12.0" customHeight="1">
      <c r="A187" s="111"/>
      <c r="F187" s="123">
        <f t="shared" si="8"/>
        <v>186</v>
      </c>
      <c r="G187" s="124" t="s">
        <v>2459</v>
      </c>
      <c r="H187" s="125" t="s">
        <v>2378</v>
      </c>
      <c r="I187" s="126" t="s">
        <v>2471</v>
      </c>
      <c r="J187" s="127" t="str">
        <f t="shared" si="1"/>
        <v>PE25-185</v>
      </c>
      <c r="K187" s="153">
        <v>45870.0</v>
      </c>
      <c r="L187" s="129"/>
      <c r="M187" s="129" t="s">
        <v>443</v>
      </c>
      <c r="N187" s="124" t="s">
        <v>1745</v>
      </c>
      <c r="O187" s="124"/>
      <c r="P187" s="130" t="s">
        <v>753</v>
      </c>
      <c r="Q187" s="131">
        <v>2.5348534E7</v>
      </c>
      <c r="R187" s="132"/>
      <c r="S187" s="132">
        <f t="shared" si="2"/>
        <v>25348534</v>
      </c>
      <c r="T187" s="133">
        <f t="shared" si="3"/>
        <v>2788338.74</v>
      </c>
      <c r="U187" s="132">
        <f t="shared" si="4"/>
        <v>28136872.74</v>
      </c>
      <c r="V187" s="130"/>
      <c r="W187" s="154" t="s">
        <v>1780</v>
      </c>
      <c r="X187" s="134"/>
      <c r="Y187" s="135" t="str">
        <f>VLOOKUP(J187,[1]TARIKANMYSAP!$H$2:$K$1013,4,FALSE)</f>
        <v>#ERROR!</v>
      </c>
      <c r="Z187" s="136" t="str">
        <f t="shared" si="5"/>
        <v>PE25-185</v>
      </c>
      <c r="AA187" s="137"/>
      <c r="AB187" s="137"/>
    </row>
    <row r="188" ht="12.0" customHeight="1">
      <c r="A188" s="111"/>
      <c r="F188" s="123">
        <f t="shared" si="8"/>
        <v>187</v>
      </c>
      <c r="G188" s="124" t="s">
        <v>2459</v>
      </c>
      <c r="H188" s="125" t="s">
        <v>2378</v>
      </c>
      <c r="I188" s="126" t="s">
        <v>2472</v>
      </c>
      <c r="J188" s="127" t="str">
        <f t="shared" si="1"/>
        <v>PE25-186</v>
      </c>
      <c r="K188" s="153">
        <v>45870.0</v>
      </c>
      <c r="L188" s="129"/>
      <c r="M188" s="129" t="s">
        <v>757</v>
      </c>
      <c r="N188" s="124" t="s">
        <v>1745</v>
      </c>
      <c r="O188" s="124"/>
      <c r="P188" s="130" t="s">
        <v>758</v>
      </c>
      <c r="Q188" s="131">
        <v>3.6769703E7</v>
      </c>
      <c r="R188" s="124"/>
      <c r="S188" s="132">
        <f t="shared" si="2"/>
        <v>36769703</v>
      </c>
      <c r="T188" s="133">
        <f t="shared" si="3"/>
        <v>4044667.33</v>
      </c>
      <c r="U188" s="132">
        <f t="shared" si="4"/>
        <v>40814370.33</v>
      </c>
      <c r="V188" s="130"/>
      <c r="W188" s="154" t="s">
        <v>1780</v>
      </c>
      <c r="X188" s="134"/>
      <c r="Y188" s="135" t="str">
        <f>VLOOKUP(J188,[1]TARIKANMYSAP!$H$2:$K$1013,4,FALSE)</f>
        <v>#ERROR!</v>
      </c>
      <c r="Z188" s="136" t="str">
        <f t="shared" si="5"/>
        <v>PE25-186</v>
      </c>
      <c r="AA188" s="137"/>
      <c r="AB188" s="137"/>
    </row>
    <row r="189" ht="12.0" customHeight="1">
      <c r="A189" s="111"/>
      <c r="F189" s="123">
        <f t="shared" si="8"/>
        <v>188</v>
      </c>
      <c r="G189" s="124" t="s">
        <v>2459</v>
      </c>
      <c r="H189" s="125" t="s">
        <v>2378</v>
      </c>
      <c r="I189" s="126" t="s">
        <v>2473</v>
      </c>
      <c r="J189" s="127" t="str">
        <f t="shared" si="1"/>
        <v>PE25-187</v>
      </c>
      <c r="K189" s="153">
        <v>45876.0</v>
      </c>
      <c r="L189" s="129"/>
      <c r="M189" s="129" t="s">
        <v>762</v>
      </c>
      <c r="N189" s="124" t="s">
        <v>1745</v>
      </c>
      <c r="O189" s="124" t="s">
        <v>2379</v>
      </c>
      <c r="P189" s="130" t="s">
        <v>2474</v>
      </c>
      <c r="Q189" s="131">
        <v>2.8E7</v>
      </c>
      <c r="R189" s="132"/>
      <c r="S189" s="132">
        <f t="shared" si="2"/>
        <v>28000000</v>
      </c>
      <c r="T189" s="133">
        <f t="shared" si="3"/>
        <v>3080000</v>
      </c>
      <c r="U189" s="132">
        <f t="shared" si="4"/>
        <v>31080000</v>
      </c>
      <c r="V189" s="130"/>
      <c r="W189" s="124" t="s">
        <v>1925</v>
      </c>
      <c r="X189" s="134"/>
      <c r="Y189" s="135" t="str">
        <f>VLOOKUP(J189,[1]TARIKANMYSAP!$H$2:$K$1013,4,FALSE)</f>
        <v>#ERROR!</v>
      </c>
      <c r="Z189" s="136" t="str">
        <f t="shared" si="5"/>
        <v>PE25-187</v>
      </c>
      <c r="AA189" s="137"/>
      <c r="AB189" s="137"/>
    </row>
    <row r="190" ht="12.0" customHeight="1">
      <c r="A190" s="111"/>
      <c r="F190" s="123">
        <f t="shared" si="8"/>
        <v>189</v>
      </c>
      <c r="G190" s="124" t="s">
        <v>2459</v>
      </c>
      <c r="H190" s="125" t="s">
        <v>2378</v>
      </c>
      <c r="I190" s="126" t="s">
        <v>2475</v>
      </c>
      <c r="J190" s="127" t="str">
        <f t="shared" si="1"/>
        <v>PE25-188</v>
      </c>
      <c r="K190" s="153">
        <v>45880.0</v>
      </c>
      <c r="L190" s="129"/>
      <c r="M190" s="129" t="s">
        <v>94</v>
      </c>
      <c r="N190" s="124" t="s">
        <v>1745</v>
      </c>
      <c r="O190" s="124"/>
      <c r="P190" s="130" t="s">
        <v>767</v>
      </c>
      <c r="Q190" s="131">
        <v>4.645E7</v>
      </c>
      <c r="R190" s="132">
        <v>4412750.0</v>
      </c>
      <c r="S190" s="132">
        <f t="shared" si="2"/>
        <v>50862750</v>
      </c>
      <c r="T190" s="133">
        <f t="shared" si="3"/>
        <v>5594902.5</v>
      </c>
      <c r="U190" s="132">
        <f t="shared" si="4"/>
        <v>56457652.5</v>
      </c>
      <c r="V190" s="130"/>
      <c r="W190" s="124" t="s">
        <v>1747</v>
      </c>
      <c r="X190" s="134"/>
      <c r="Y190" s="135" t="str">
        <f>VLOOKUP(J190,[1]TARIKANMYSAP!$H$2:$K$1013,4,FALSE)</f>
        <v>#ERROR!</v>
      </c>
      <c r="Z190" s="136" t="str">
        <f t="shared" si="5"/>
        <v>PE25-188</v>
      </c>
      <c r="AA190" s="137"/>
      <c r="AB190" s="137"/>
    </row>
    <row r="191" ht="12.0" customHeight="1">
      <c r="A191" s="111"/>
      <c r="F191" s="123">
        <f t="shared" si="8"/>
        <v>190</v>
      </c>
      <c r="G191" s="124" t="s">
        <v>2459</v>
      </c>
      <c r="H191" s="125" t="s">
        <v>2378</v>
      </c>
      <c r="I191" s="126" t="s">
        <v>2476</v>
      </c>
      <c r="J191" s="127" t="str">
        <f t="shared" si="1"/>
        <v>PE25-189</v>
      </c>
      <c r="K191" s="153">
        <v>45880.0</v>
      </c>
      <c r="L191" s="129"/>
      <c r="M191" s="129" t="s">
        <v>217</v>
      </c>
      <c r="N191" s="124" t="s">
        <v>1745</v>
      </c>
      <c r="O191" s="124"/>
      <c r="P191" s="130" t="s">
        <v>2477</v>
      </c>
      <c r="Q191" s="131">
        <v>6.0E7</v>
      </c>
      <c r="R191" s="132">
        <f>Q191*7.5%</f>
        <v>4500000</v>
      </c>
      <c r="S191" s="132">
        <f t="shared" si="2"/>
        <v>64500000</v>
      </c>
      <c r="T191" s="133">
        <f t="shared" si="3"/>
        <v>7095000</v>
      </c>
      <c r="U191" s="132">
        <f t="shared" si="4"/>
        <v>71595000</v>
      </c>
      <c r="V191" s="130"/>
      <c r="W191" s="124" t="s">
        <v>1747</v>
      </c>
      <c r="X191" s="134"/>
      <c r="Y191" s="135" t="str">
        <f>VLOOKUP(J191,[1]TARIKANMYSAP!$H$2:$K$1013,4,FALSE)</f>
        <v>#ERROR!</v>
      </c>
      <c r="Z191" s="136" t="str">
        <f t="shared" si="5"/>
        <v>PE25-189</v>
      </c>
      <c r="AA191" s="137"/>
      <c r="AB191" s="137"/>
    </row>
    <row r="192" ht="12.0" customHeight="1">
      <c r="A192" s="111"/>
      <c r="F192" s="123">
        <f t="shared" si="8"/>
        <v>191</v>
      </c>
      <c r="G192" s="124" t="s">
        <v>2459</v>
      </c>
      <c r="H192" s="125" t="s">
        <v>2378</v>
      </c>
      <c r="I192" s="126" t="s">
        <v>2478</v>
      </c>
      <c r="J192" s="127" t="str">
        <f t="shared" si="1"/>
        <v>PE25-190</v>
      </c>
      <c r="K192" s="153">
        <v>45881.0</v>
      </c>
      <c r="L192" s="129"/>
      <c r="M192" s="129" t="s">
        <v>597</v>
      </c>
      <c r="N192" s="124" t="s">
        <v>1745</v>
      </c>
      <c r="O192" s="124"/>
      <c r="P192" s="130" t="s">
        <v>771</v>
      </c>
      <c r="Q192" s="131">
        <v>4.9562013E7</v>
      </c>
      <c r="R192" s="132"/>
      <c r="S192" s="132">
        <f t="shared" si="2"/>
        <v>49562013</v>
      </c>
      <c r="T192" s="133">
        <f t="shared" si="3"/>
        <v>5451821.43</v>
      </c>
      <c r="U192" s="132">
        <f t="shared" si="4"/>
        <v>55013834.43</v>
      </c>
      <c r="V192" s="130"/>
      <c r="W192" s="124" t="s">
        <v>1780</v>
      </c>
      <c r="X192" s="134"/>
      <c r="Y192" s="135" t="str">
        <f>VLOOKUP(J192,[1]TARIKANMYSAP!$H$2:$K$1013,4,FALSE)</f>
        <v>#ERROR!</v>
      </c>
      <c r="Z192" s="136" t="str">
        <f t="shared" si="5"/>
        <v>PE25-190</v>
      </c>
      <c r="AA192" s="137"/>
      <c r="AB192" s="137"/>
    </row>
    <row r="193" ht="12.0" customHeight="1">
      <c r="A193" s="111"/>
      <c r="F193" s="123">
        <f t="shared" si="8"/>
        <v>192</v>
      </c>
      <c r="G193" s="124" t="s">
        <v>2459</v>
      </c>
      <c r="H193" s="125" t="s">
        <v>2378</v>
      </c>
      <c r="I193" s="126" t="s">
        <v>2479</v>
      </c>
      <c r="J193" s="127" t="str">
        <f t="shared" si="1"/>
        <v>PE25-191</v>
      </c>
      <c r="K193" s="153">
        <v>45881.0</v>
      </c>
      <c r="L193" s="129"/>
      <c r="M193" s="129" t="s">
        <v>597</v>
      </c>
      <c r="N193" s="124" t="s">
        <v>1745</v>
      </c>
      <c r="O193" s="124"/>
      <c r="P193" s="130" t="s">
        <v>2480</v>
      </c>
      <c r="Q193" s="131">
        <v>4.2556501E7</v>
      </c>
      <c r="R193" s="132"/>
      <c r="S193" s="132">
        <f t="shared" si="2"/>
        <v>42556501</v>
      </c>
      <c r="T193" s="133">
        <f t="shared" si="3"/>
        <v>4681215.11</v>
      </c>
      <c r="U193" s="132">
        <f t="shared" si="4"/>
        <v>47237716.11</v>
      </c>
      <c r="V193" s="130"/>
      <c r="W193" s="124" t="s">
        <v>1780</v>
      </c>
      <c r="X193" s="134"/>
      <c r="Y193" s="135" t="str">
        <f>VLOOKUP(J193,[1]TARIKANMYSAP!$H$2:$K$1013,4,FALSE)</f>
        <v>#ERROR!</v>
      </c>
      <c r="Z193" s="136" t="str">
        <f t="shared" si="5"/>
        <v>PE25-191</v>
      </c>
      <c r="AA193" s="137"/>
      <c r="AB193" s="137"/>
    </row>
    <row r="194" ht="12.0" customHeight="1">
      <c r="A194" s="111"/>
      <c r="F194" s="123">
        <f t="shared" si="8"/>
        <v>193</v>
      </c>
      <c r="G194" s="124" t="s">
        <v>2459</v>
      </c>
      <c r="H194" s="125" t="s">
        <v>2378</v>
      </c>
      <c r="I194" s="126" t="s">
        <v>2481</v>
      </c>
      <c r="J194" s="127" t="str">
        <f t="shared" si="1"/>
        <v>PE25-192</v>
      </c>
      <c r="K194" s="153">
        <v>45881.0</v>
      </c>
      <c r="L194" s="129"/>
      <c r="M194" s="129" t="s">
        <v>779</v>
      </c>
      <c r="N194" s="124" t="s">
        <v>1745</v>
      </c>
      <c r="O194" s="124" t="s">
        <v>2379</v>
      </c>
      <c r="P194" s="130" t="s">
        <v>780</v>
      </c>
      <c r="Q194" s="131">
        <v>2.8E7</v>
      </c>
      <c r="R194" s="124"/>
      <c r="S194" s="132">
        <f t="shared" si="2"/>
        <v>28000000</v>
      </c>
      <c r="T194" s="133">
        <f t="shared" si="3"/>
        <v>3080000</v>
      </c>
      <c r="U194" s="132">
        <f t="shared" si="4"/>
        <v>31080000</v>
      </c>
      <c r="V194" s="130"/>
      <c r="W194" s="124" t="s">
        <v>1925</v>
      </c>
      <c r="X194" s="134"/>
      <c r="Y194" s="135" t="str">
        <f>VLOOKUP(J194,[1]TARIKANMYSAP!$H$2:$K$1013,4,FALSE)</f>
        <v>#ERROR!</v>
      </c>
      <c r="Z194" s="136" t="str">
        <f t="shared" si="5"/>
        <v>PE25-192</v>
      </c>
      <c r="AA194" s="137"/>
      <c r="AB194" s="137"/>
    </row>
    <row r="195" ht="12.0" customHeight="1">
      <c r="A195" s="111"/>
      <c r="F195" s="123">
        <f t="shared" si="8"/>
        <v>194</v>
      </c>
      <c r="G195" s="124" t="s">
        <v>2459</v>
      </c>
      <c r="H195" s="125" t="s">
        <v>2378</v>
      </c>
      <c r="I195" s="126" t="s">
        <v>2482</v>
      </c>
      <c r="J195" s="127" t="str">
        <f t="shared" si="1"/>
        <v>PE25-193</v>
      </c>
      <c r="K195" s="153">
        <v>45881.0</v>
      </c>
      <c r="L195" s="129"/>
      <c r="M195" s="129" t="s">
        <v>782</v>
      </c>
      <c r="N195" s="124" t="s">
        <v>1745</v>
      </c>
      <c r="O195" s="124" t="s">
        <v>2379</v>
      </c>
      <c r="P195" s="130" t="s">
        <v>783</v>
      </c>
      <c r="Q195" s="131">
        <v>8.76512E7</v>
      </c>
      <c r="R195" s="132"/>
      <c r="S195" s="132">
        <f t="shared" si="2"/>
        <v>87651200</v>
      </c>
      <c r="T195" s="133">
        <f t="shared" si="3"/>
        <v>9641632</v>
      </c>
      <c r="U195" s="132">
        <f t="shared" si="4"/>
        <v>97292832</v>
      </c>
      <c r="V195" s="130"/>
      <c r="W195" s="124" t="s">
        <v>1925</v>
      </c>
      <c r="X195" s="134"/>
      <c r="Y195" s="135" t="str">
        <f>VLOOKUP(J195,[1]TARIKANMYSAP!$H$2:$K$1013,4,FALSE)</f>
        <v>#ERROR!</v>
      </c>
      <c r="Z195" s="136" t="str">
        <f t="shared" si="5"/>
        <v>PE25-193</v>
      </c>
      <c r="AA195" s="137"/>
      <c r="AB195" s="137"/>
    </row>
    <row r="196" ht="12.0" customHeight="1">
      <c r="A196" s="111"/>
      <c r="F196" s="123">
        <f t="shared" si="8"/>
        <v>195</v>
      </c>
      <c r="G196" s="124" t="s">
        <v>2459</v>
      </c>
      <c r="H196" s="125" t="s">
        <v>2378</v>
      </c>
      <c r="I196" s="126" t="s">
        <v>2483</v>
      </c>
      <c r="J196" s="127" t="str">
        <f t="shared" si="1"/>
        <v>PE25-194</v>
      </c>
      <c r="K196" s="153">
        <v>45889.0</v>
      </c>
      <c r="L196" s="129"/>
      <c r="M196" s="129" t="s">
        <v>33</v>
      </c>
      <c r="N196" s="124" t="s">
        <v>1752</v>
      </c>
      <c r="O196" s="124"/>
      <c r="P196" s="130" t="s">
        <v>788</v>
      </c>
      <c r="Q196" s="131">
        <v>2857142.0</v>
      </c>
      <c r="R196" s="132">
        <f t="shared" ref="R196:R204" si="18">Q196*12%</f>
        <v>342857.04</v>
      </c>
      <c r="S196" s="132">
        <f t="shared" si="2"/>
        <v>3199999.04</v>
      </c>
      <c r="T196" s="133">
        <f t="shared" si="3"/>
        <v>351999.8944</v>
      </c>
      <c r="U196" s="132">
        <f t="shared" si="4"/>
        <v>3551998.934</v>
      </c>
      <c r="V196" s="130"/>
      <c r="W196" s="124" t="s">
        <v>1747</v>
      </c>
      <c r="X196" s="134"/>
      <c r="Y196" s="135" t="str">
        <f>VLOOKUP(J196,[1]TARIKANMYSAP!$H$2:$K$1013,4,FALSE)</f>
        <v>#ERROR!</v>
      </c>
      <c r="Z196" s="136" t="str">
        <f t="shared" si="5"/>
        <v>PE25-194</v>
      </c>
      <c r="AA196" s="137"/>
      <c r="AB196" s="137"/>
    </row>
    <row r="197" ht="12.0" customHeight="1">
      <c r="A197" s="111"/>
      <c r="F197" s="123">
        <f t="shared" si="8"/>
        <v>196</v>
      </c>
      <c r="G197" s="124" t="s">
        <v>2459</v>
      </c>
      <c r="H197" s="125" t="s">
        <v>2378</v>
      </c>
      <c r="I197" s="126" t="s">
        <v>2484</v>
      </c>
      <c r="J197" s="127" t="str">
        <f t="shared" si="1"/>
        <v>PE25-195</v>
      </c>
      <c r="K197" s="153">
        <v>45889.0</v>
      </c>
      <c r="L197" s="129"/>
      <c r="M197" s="129" t="s">
        <v>33</v>
      </c>
      <c r="N197" s="124" t="s">
        <v>1752</v>
      </c>
      <c r="O197" s="124"/>
      <c r="P197" s="130" t="s">
        <v>790</v>
      </c>
      <c r="Q197" s="131">
        <v>1.2244898E7</v>
      </c>
      <c r="R197" s="132">
        <f t="shared" si="18"/>
        <v>1469387.76</v>
      </c>
      <c r="S197" s="132">
        <f t="shared" si="2"/>
        <v>13714285.76</v>
      </c>
      <c r="T197" s="133">
        <f t="shared" si="3"/>
        <v>1508571.434</v>
      </c>
      <c r="U197" s="132">
        <f t="shared" si="4"/>
        <v>15222857.19</v>
      </c>
      <c r="V197" s="130"/>
      <c r="W197" s="124" t="s">
        <v>1747</v>
      </c>
      <c r="X197" s="134"/>
      <c r="Y197" s="135" t="str">
        <f>VLOOKUP(J197,[1]TARIKANMYSAP!$H$2:$K$1013,4,FALSE)</f>
        <v>#ERROR!</v>
      </c>
      <c r="Z197" s="136" t="str">
        <f t="shared" si="5"/>
        <v>PE25-195</v>
      </c>
      <c r="AA197" s="137"/>
      <c r="AB197" s="137"/>
    </row>
    <row r="198" ht="12.0" customHeight="1">
      <c r="A198" s="111"/>
      <c r="F198" s="123">
        <f t="shared" si="8"/>
        <v>197</v>
      </c>
      <c r="G198" s="124" t="s">
        <v>2459</v>
      </c>
      <c r="H198" s="125" t="s">
        <v>2378</v>
      </c>
      <c r="I198" s="126" t="s">
        <v>2485</v>
      </c>
      <c r="J198" s="127" t="str">
        <f t="shared" si="1"/>
        <v>PE25-196</v>
      </c>
      <c r="K198" s="153">
        <v>45889.0</v>
      </c>
      <c r="L198" s="129"/>
      <c r="M198" s="129" t="s">
        <v>33</v>
      </c>
      <c r="N198" s="124" t="s">
        <v>1752</v>
      </c>
      <c r="O198" s="124"/>
      <c r="P198" s="130" t="s">
        <v>794</v>
      </c>
      <c r="Q198" s="131">
        <v>7653060.0</v>
      </c>
      <c r="R198" s="132">
        <f t="shared" si="18"/>
        <v>918367.2</v>
      </c>
      <c r="S198" s="132">
        <f t="shared" si="2"/>
        <v>8571427.2</v>
      </c>
      <c r="T198" s="133">
        <f t="shared" si="3"/>
        <v>942856.992</v>
      </c>
      <c r="U198" s="132">
        <f t="shared" si="4"/>
        <v>9514284.192</v>
      </c>
      <c r="V198" s="130"/>
      <c r="W198" s="124" t="s">
        <v>1747</v>
      </c>
      <c r="X198" s="134"/>
      <c r="Y198" s="135" t="str">
        <f>VLOOKUP(J198,[1]TARIKANMYSAP!$H$2:$K$1013,4,FALSE)</f>
        <v>#ERROR!</v>
      </c>
      <c r="Z198" s="136" t="str">
        <f t="shared" si="5"/>
        <v>PE25-196</v>
      </c>
      <c r="AA198" s="137"/>
      <c r="AB198" s="137"/>
    </row>
    <row r="199" ht="12.0" customHeight="1">
      <c r="A199" s="111"/>
      <c r="F199" s="123">
        <f t="shared" si="8"/>
        <v>198</v>
      </c>
      <c r="G199" s="124" t="s">
        <v>2459</v>
      </c>
      <c r="H199" s="125" t="s">
        <v>2378</v>
      </c>
      <c r="I199" s="126" t="s">
        <v>2486</v>
      </c>
      <c r="J199" s="127" t="str">
        <f t="shared" si="1"/>
        <v>PE25-197</v>
      </c>
      <c r="K199" s="153">
        <v>45889.0</v>
      </c>
      <c r="L199" s="129"/>
      <c r="M199" s="129" t="s">
        <v>33</v>
      </c>
      <c r="N199" s="124" t="s">
        <v>1752</v>
      </c>
      <c r="O199" s="124"/>
      <c r="P199" s="130" t="s">
        <v>797</v>
      </c>
      <c r="Q199" s="131">
        <v>1.4683673E7</v>
      </c>
      <c r="R199" s="132">
        <f t="shared" si="18"/>
        <v>1762040.76</v>
      </c>
      <c r="S199" s="132">
        <f t="shared" si="2"/>
        <v>16445713.76</v>
      </c>
      <c r="T199" s="133">
        <f t="shared" si="3"/>
        <v>1809028.514</v>
      </c>
      <c r="U199" s="132">
        <f t="shared" si="4"/>
        <v>18254742.27</v>
      </c>
      <c r="V199" s="130"/>
      <c r="W199" s="124" t="s">
        <v>1747</v>
      </c>
      <c r="X199" s="134"/>
      <c r="Y199" s="135" t="str">
        <f>VLOOKUP(J199,[1]TARIKANMYSAP!$H$2:$K$1013,4,FALSE)</f>
        <v>#ERROR!</v>
      </c>
      <c r="Z199" s="136" t="str">
        <f t="shared" si="5"/>
        <v>PE25-197</v>
      </c>
      <c r="AA199" s="137"/>
      <c r="AB199" s="137"/>
    </row>
    <row r="200" ht="12.0" customHeight="1">
      <c r="A200" s="111"/>
      <c r="F200" s="123">
        <f t="shared" si="8"/>
        <v>199</v>
      </c>
      <c r="G200" s="124" t="s">
        <v>2459</v>
      </c>
      <c r="H200" s="125" t="s">
        <v>2378</v>
      </c>
      <c r="I200" s="126" t="s">
        <v>2487</v>
      </c>
      <c r="J200" s="127" t="str">
        <f t="shared" si="1"/>
        <v>PE25-198</v>
      </c>
      <c r="K200" s="153">
        <v>45890.0</v>
      </c>
      <c r="L200" s="129"/>
      <c r="M200" s="129" t="s">
        <v>33</v>
      </c>
      <c r="N200" s="124" t="s">
        <v>1752</v>
      </c>
      <c r="O200" s="124"/>
      <c r="P200" s="130" t="s">
        <v>2488</v>
      </c>
      <c r="Q200" s="131">
        <v>6122448.0</v>
      </c>
      <c r="R200" s="132">
        <f t="shared" si="18"/>
        <v>734693.76</v>
      </c>
      <c r="S200" s="132">
        <f t="shared" si="2"/>
        <v>6857141.76</v>
      </c>
      <c r="T200" s="133">
        <f t="shared" si="3"/>
        <v>754285.5936</v>
      </c>
      <c r="U200" s="132">
        <f t="shared" si="4"/>
        <v>7611427.354</v>
      </c>
      <c r="V200" s="130"/>
      <c r="W200" s="124" t="s">
        <v>1747</v>
      </c>
      <c r="X200" s="134"/>
      <c r="Y200" s="135" t="str">
        <f>VLOOKUP(J200,[1]TARIKANMYSAP!$H$2:$K$1013,4,FALSE)</f>
        <v>#ERROR!</v>
      </c>
      <c r="Z200" s="136" t="str">
        <f t="shared" si="5"/>
        <v>PE25-198</v>
      </c>
      <c r="AA200" s="137"/>
      <c r="AB200" s="137"/>
    </row>
    <row r="201" ht="12.0" customHeight="1">
      <c r="A201" s="111"/>
      <c r="F201" s="123">
        <f t="shared" si="8"/>
        <v>200</v>
      </c>
      <c r="G201" s="124" t="s">
        <v>2459</v>
      </c>
      <c r="H201" s="125" t="s">
        <v>2378</v>
      </c>
      <c r="I201" s="126" t="s">
        <v>2489</v>
      </c>
      <c r="J201" s="127" t="str">
        <f t="shared" si="1"/>
        <v>PE25-199</v>
      </c>
      <c r="K201" s="153">
        <v>45890.0</v>
      </c>
      <c r="L201" s="129"/>
      <c r="M201" s="129" t="s">
        <v>33</v>
      </c>
      <c r="N201" s="124" t="s">
        <v>1752</v>
      </c>
      <c r="O201" s="124"/>
      <c r="P201" s="130" t="s">
        <v>804</v>
      </c>
      <c r="Q201" s="131">
        <v>1.2244896E7</v>
      </c>
      <c r="R201" s="132">
        <f t="shared" si="18"/>
        <v>1469387.52</v>
      </c>
      <c r="S201" s="132">
        <f t="shared" si="2"/>
        <v>13714283.52</v>
      </c>
      <c r="T201" s="133">
        <f t="shared" si="3"/>
        <v>1508571.187</v>
      </c>
      <c r="U201" s="132">
        <f t="shared" si="4"/>
        <v>15222854.71</v>
      </c>
      <c r="V201" s="130"/>
      <c r="W201" s="124" t="s">
        <v>1747</v>
      </c>
      <c r="X201" s="134"/>
      <c r="Y201" s="135" t="str">
        <f>VLOOKUP(J201,[1]TARIKANMYSAP!$H$2:$K$1013,4,FALSE)</f>
        <v>#ERROR!</v>
      </c>
      <c r="Z201" s="136" t="str">
        <f t="shared" si="5"/>
        <v>PE25-199</v>
      </c>
      <c r="AA201" s="137"/>
      <c r="AB201" s="137"/>
    </row>
    <row r="202" ht="12.0" customHeight="1">
      <c r="A202" s="111"/>
      <c r="F202" s="123">
        <f t="shared" si="8"/>
        <v>201</v>
      </c>
      <c r="G202" s="124" t="s">
        <v>2459</v>
      </c>
      <c r="H202" s="125" t="s">
        <v>2378</v>
      </c>
      <c r="I202" s="126" t="s">
        <v>2490</v>
      </c>
      <c r="J202" s="127" t="str">
        <f t="shared" si="1"/>
        <v>PE25-200</v>
      </c>
      <c r="K202" s="153">
        <v>45890.0</v>
      </c>
      <c r="L202" s="129"/>
      <c r="M202" s="129" t="s">
        <v>33</v>
      </c>
      <c r="N202" s="124" t="s">
        <v>1752</v>
      </c>
      <c r="O202" s="124"/>
      <c r="P202" s="130" t="s">
        <v>2491</v>
      </c>
      <c r="Q202" s="131">
        <v>3265306.0</v>
      </c>
      <c r="R202" s="132">
        <f t="shared" si="18"/>
        <v>391836.72</v>
      </c>
      <c r="S202" s="132">
        <f t="shared" si="2"/>
        <v>3657142.72</v>
      </c>
      <c r="T202" s="133">
        <f t="shared" si="3"/>
        <v>402285.6992</v>
      </c>
      <c r="U202" s="132">
        <f t="shared" si="4"/>
        <v>4059428.419</v>
      </c>
      <c r="V202" s="130"/>
      <c r="W202" s="124" t="s">
        <v>1747</v>
      </c>
      <c r="X202" s="134"/>
      <c r="Y202" s="135" t="str">
        <f>VLOOKUP(J202,[1]TARIKANMYSAP!$H$2:$K$1013,4,FALSE)</f>
        <v>#ERROR!</v>
      </c>
      <c r="Z202" s="136" t="str">
        <f t="shared" si="5"/>
        <v>PE25-200</v>
      </c>
      <c r="AA202" s="137"/>
      <c r="AB202" s="137"/>
    </row>
    <row r="203" ht="12.0" customHeight="1">
      <c r="A203" s="111"/>
      <c r="F203" s="123">
        <f t="shared" si="8"/>
        <v>202</v>
      </c>
      <c r="G203" s="124" t="s">
        <v>2459</v>
      </c>
      <c r="H203" s="125" t="s">
        <v>2378</v>
      </c>
      <c r="I203" s="155">
        <f t="shared" ref="I203:I276" si="19">I202+1</f>
        <v>201</v>
      </c>
      <c r="J203" s="127" t="str">
        <f t="shared" si="1"/>
        <v>PE25-201</v>
      </c>
      <c r="K203" s="153">
        <v>45890.0</v>
      </c>
      <c r="L203" s="129"/>
      <c r="M203" s="129" t="s">
        <v>33</v>
      </c>
      <c r="N203" s="124" t="s">
        <v>1752</v>
      </c>
      <c r="O203" s="124"/>
      <c r="P203" s="130" t="s">
        <v>810</v>
      </c>
      <c r="Q203" s="131">
        <v>1.4285712E7</v>
      </c>
      <c r="R203" s="132">
        <f t="shared" si="18"/>
        <v>1714285.44</v>
      </c>
      <c r="S203" s="132">
        <f t="shared" si="2"/>
        <v>15999997.44</v>
      </c>
      <c r="T203" s="133">
        <f t="shared" si="3"/>
        <v>1759999.718</v>
      </c>
      <c r="U203" s="132">
        <f t="shared" si="4"/>
        <v>17759997.16</v>
      </c>
      <c r="V203" s="130"/>
      <c r="W203" s="124" t="s">
        <v>1747</v>
      </c>
      <c r="X203" s="134"/>
      <c r="Y203" s="135" t="str">
        <f>VLOOKUP(J203,[1]TARIKANMYSAP!$H$2:$K$1013,4,FALSE)</f>
        <v>#ERROR!</v>
      </c>
      <c r="Z203" s="136" t="str">
        <f t="shared" si="5"/>
        <v>PE25-201</v>
      </c>
      <c r="AA203" s="137"/>
      <c r="AB203" s="137"/>
    </row>
    <row r="204" ht="12.0" customHeight="1">
      <c r="A204" s="111"/>
      <c r="F204" s="123">
        <f t="shared" si="8"/>
        <v>203</v>
      </c>
      <c r="G204" s="124" t="s">
        <v>2459</v>
      </c>
      <c r="H204" s="125" t="s">
        <v>2378</v>
      </c>
      <c r="I204" s="155">
        <f t="shared" si="19"/>
        <v>202</v>
      </c>
      <c r="J204" s="127" t="str">
        <f t="shared" si="1"/>
        <v>PE25-202</v>
      </c>
      <c r="K204" s="153">
        <v>45890.0</v>
      </c>
      <c r="L204" s="129"/>
      <c r="M204" s="129" t="s">
        <v>33</v>
      </c>
      <c r="N204" s="124" t="s">
        <v>1752</v>
      </c>
      <c r="O204" s="124"/>
      <c r="P204" s="130" t="s">
        <v>814</v>
      </c>
      <c r="Q204" s="131">
        <v>1.4285712E7</v>
      </c>
      <c r="R204" s="132">
        <f t="shared" si="18"/>
        <v>1714285.44</v>
      </c>
      <c r="S204" s="132">
        <f t="shared" si="2"/>
        <v>15999997.44</v>
      </c>
      <c r="T204" s="133">
        <f t="shared" si="3"/>
        <v>1759999.718</v>
      </c>
      <c r="U204" s="132">
        <f t="shared" si="4"/>
        <v>17759997.16</v>
      </c>
      <c r="V204" s="130"/>
      <c r="W204" s="124" t="s">
        <v>1747</v>
      </c>
      <c r="X204" s="134"/>
      <c r="Y204" s="135" t="str">
        <f>VLOOKUP(J204,[1]TARIKANMYSAP!$H$2:$K$1013,4,FALSE)</f>
        <v>#ERROR!</v>
      </c>
      <c r="Z204" s="136" t="str">
        <f t="shared" si="5"/>
        <v>PE25-202</v>
      </c>
      <c r="AA204" s="137"/>
      <c r="AB204" s="137"/>
    </row>
    <row r="205" ht="12.0" customHeight="1">
      <c r="A205" s="111"/>
      <c r="F205" s="123">
        <f t="shared" si="8"/>
        <v>204</v>
      </c>
      <c r="G205" s="124" t="s">
        <v>2459</v>
      </c>
      <c r="H205" s="125" t="s">
        <v>2378</v>
      </c>
      <c r="I205" s="155">
        <f t="shared" si="19"/>
        <v>203</v>
      </c>
      <c r="J205" s="127" t="str">
        <f t="shared" si="1"/>
        <v>PE25-203</v>
      </c>
      <c r="K205" s="153">
        <v>45890.0</v>
      </c>
      <c r="L205" s="129"/>
      <c r="M205" s="129" t="s">
        <v>443</v>
      </c>
      <c r="N205" s="124" t="s">
        <v>1745</v>
      </c>
      <c r="O205" s="124"/>
      <c r="P205" s="130" t="s">
        <v>816</v>
      </c>
      <c r="Q205" s="131">
        <v>4.9999185E7</v>
      </c>
      <c r="R205" s="132"/>
      <c r="S205" s="132">
        <f t="shared" si="2"/>
        <v>49999185</v>
      </c>
      <c r="T205" s="133">
        <f t="shared" si="3"/>
        <v>5499910.35</v>
      </c>
      <c r="U205" s="132">
        <f t="shared" si="4"/>
        <v>55499095.35</v>
      </c>
      <c r="V205" s="130"/>
      <c r="W205" s="130" t="s">
        <v>1780</v>
      </c>
      <c r="X205" s="134"/>
      <c r="Y205" s="135" t="str">
        <f>VLOOKUP(J205,[1]TARIKANMYSAP!$H$2:$K$1013,4,FALSE)</f>
        <v>#ERROR!</v>
      </c>
      <c r="Z205" s="136" t="str">
        <f t="shared" si="5"/>
        <v>PE25-203</v>
      </c>
      <c r="AA205" s="137"/>
      <c r="AB205" s="137"/>
    </row>
    <row r="206" ht="12.0" customHeight="1">
      <c r="A206" s="111"/>
      <c r="F206" s="123">
        <f t="shared" si="8"/>
        <v>205</v>
      </c>
      <c r="G206" s="124" t="s">
        <v>2459</v>
      </c>
      <c r="H206" s="125" t="s">
        <v>2378</v>
      </c>
      <c r="I206" s="155">
        <f t="shared" si="19"/>
        <v>204</v>
      </c>
      <c r="J206" s="127" t="str">
        <f t="shared" si="1"/>
        <v>PE25-204</v>
      </c>
      <c r="K206" s="153">
        <v>45890.0</v>
      </c>
      <c r="L206" s="129"/>
      <c r="M206" s="129" t="s">
        <v>634</v>
      </c>
      <c r="N206" s="124" t="s">
        <v>1752</v>
      </c>
      <c r="O206" s="124"/>
      <c r="P206" s="130" t="s">
        <v>820</v>
      </c>
      <c r="Q206" s="132">
        <v>6122447.0</v>
      </c>
      <c r="R206" s="132">
        <f t="shared" ref="R206:R207" si="20">Q206*12%</f>
        <v>734693.64</v>
      </c>
      <c r="S206" s="132">
        <f t="shared" si="2"/>
        <v>6857140.64</v>
      </c>
      <c r="T206" s="133">
        <f t="shared" si="3"/>
        <v>754285.4704</v>
      </c>
      <c r="U206" s="132">
        <f t="shared" si="4"/>
        <v>7611426.11</v>
      </c>
      <c r="V206" s="156"/>
      <c r="W206" s="124" t="s">
        <v>1747</v>
      </c>
      <c r="X206" s="134"/>
      <c r="Y206" s="135" t="str">
        <f>VLOOKUP(J206,[1]TARIKANMYSAP!$H$2:$K$1013,4,FALSE)</f>
        <v>#ERROR!</v>
      </c>
      <c r="Z206" s="136" t="str">
        <f t="shared" si="5"/>
        <v>PE25-204</v>
      </c>
      <c r="AA206" s="137"/>
      <c r="AB206" s="137"/>
    </row>
    <row r="207" ht="12.0" customHeight="1">
      <c r="A207" s="111"/>
      <c r="F207" s="123">
        <f t="shared" si="8"/>
        <v>206</v>
      </c>
      <c r="G207" s="124" t="s">
        <v>2459</v>
      </c>
      <c r="H207" s="125" t="s">
        <v>2378</v>
      </c>
      <c r="I207" s="155">
        <f t="shared" si="19"/>
        <v>205</v>
      </c>
      <c r="J207" s="127" t="str">
        <f t="shared" si="1"/>
        <v>PE25-205</v>
      </c>
      <c r="K207" s="153">
        <v>45890.0</v>
      </c>
      <c r="L207" s="129"/>
      <c r="M207" s="129" t="s">
        <v>634</v>
      </c>
      <c r="N207" s="124" t="s">
        <v>1752</v>
      </c>
      <c r="O207" s="124"/>
      <c r="P207" s="130" t="s">
        <v>823</v>
      </c>
      <c r="Q207" s="131">
        <v>3.0816319E7</v>
      </c>
      <c r="R207" s="132">
        <f t="shared" si="20"/>
        <v>3697958.28</v>
      </c>
      <c r="S207" s="132">
        <f t="shared" si="2"/>
        <v>34514277.28</v>
      </c>
      <c r="T207" s="133">
        <f t="shared" si="3"/>
        <v>3796570.501</v>
      </c>
      <c r="U207" s="132">
        <f t="shared" si="4"/>
        <v>38310847.78</v>
      </c>
      <c r="V207" s="130"/>
      <c r="W207" s="130" t="s">
        <v>1747</v>
      </c>
      <c r="X207" s="134"/>
      <c r="Y207" s="135" t="str">
        <f>VLOOKUP(J207,[1]TARIKANMYSAP!$H$2:$K$1013,4,FALSE)</f>
        <v>#ERROR!</v>
      </c>
      <c r="Z207" s="136" t="str">
        <f t="shared" si="5"/>
        <v>PE25-205</v>
      </c>
      <c r="AA207" s="137"/>
      <c r="AB207" s="137"/>
    </row>
    <row r="208" ht="12.0" customHeight="1">
      <c r="A208" s="111"/>
      <c r="F208" s="123">
        <f t="shared" si="8"/>
        <v>207</v>
      </c>
      <c r="G208" s="124" t="s">
        <v>2459</v>
      </c>
      <c r="H208" s="125" t="s">
        <v>2378</v>
      </c>
      <c r="I208" s="155">
        <f t="shared" si="19"/>
        <v>206</v>
      </c>
      <c r="J208" s="127" t="str">
        <f t="shared" si="1"/>
        <v>PE25-206</v>
      </c>
      <c r="K208" s="153">
        <v>45891.0</v>
      </c>
      <c r="L208" s="129"/>
      <c r="M208" s="129" t="s">
        <v>828</v>
      </c>
      <c r="N208" s="124" t="s">
        <v>1745</v>
      </c>
      <c r="O208" s="124"/>
      <c r="P208" s="130" t="s">
        <v>829</v>
      </c>
      <c r="Q208" s="131">
        <v>2.1434476E7</v>
      </c>
      <c r="R208" s="132">
        <f>Q208*8.5%</f>
        <v>1821930.46</v>
      </c>
      <c r="S208" s="132">
        <f t="shared" si="2"/>
        <v>23256406.46</v>
      </c>
      <c r="T208" s="133">
        <f t="shared" si="3"/>
        <v>2558204.711</v>
      </c>
      <c r="U208" s="132">
        <f t="shared" si="4"/>
        <v>25814611.17</v>
      </c>
      <c r="V208" s="130"/>
      <c r="W208" s="130" t="s">
        <v>1747</v>
      </c>
      <c r="X208" s="134"/>
      <c r="Y208" s="135" t="str">
        <f>VLOOKUP(J208,[1]TARIKANMYSAP!$H$2:$K$1013,4,FALSE)</f>
        <v>#ERROR!</v>
      </c>
      <c r="Z208" s="136" t="str">
        <f t="shared" si="5"/>
        <v>PE25-206</v>
      </c>
      <c r="AA208" s="137"/>
      <c r="AB208" s="137"/>
    </row>
    <row r="209" ht="12.0" customHeight="1">
      <c r="A209" s="111"/>
      <c r="F209" s="123">
        <f t="shared" si="8"/>
        <v>208</v>
      </c>
      <c r="G209" s="124" t="s">
        <v>2459</v>
      </c>
      <c r="H209" s="125" t="s">
        <v>2378</v>
      </c>
      <c r="I209" s="155">
        <f t="shared" si="19"/>
        <v>207</v>
      </c>
      <c r="J209" s="127" t="str">
        <f t="shared" si="1"/>
        <v>PE25-207</v>
      </c>
      <c r="K209" s="153">
        <v>45884.0</v>
      </c>
      <c r="L209" s="129"/>
      <c r="M209" s="129" t="s">
        <v>834</v>
      </c>
      <c r="N209" s="124" t="s">
        <v>1745</v>
      </c>
      <c r="O209" s="124"/>
      <c r="P209" s="130" t="s">
        <v>835</v>
      </c>
      <c r="Q209" s="131">
        <v>3.047232E7</v>
      </c>
      <c r="R209" s="132"/>
      <c r="S209" s="132">
        <f t="shared" si="2"/>
        <v>30472320</v>
      </c>
      <c r="T209" s="133">
        <f t="shared" si="3"/>
        <v>3351955.2</v>
      </c>
      <c r="U209" s="132">
        <f t="shared" si="4"/>
        <v>33824275.2</v>
      </c>
      <c r="V209" s="130"/>
      <c r="W209" s="130" t="s">
        <v>1780</v>
      </c>
      <c r="X209" s="134"/>
      <c r="Y209" s="135" t="str">
        <f>VLOOKUP(J209,[1]TARIKANMYSAP!$H$2:$K$1013,4,FALSE)</f>
        <v>#ERROR!</v>
      </c>
      <c r="Z209" s="136" t="str">
        <f t="shared" si="5"/>
        <v>PE25-207</v>
      </c>
      <c r="AA209" s="137"/>
      <c r="AB209" s="137"/>
    </row>
    <row r="210" ht="12.0" customHeight="1">
      <c r="A210" s="111"/>
      <c r="F210" s="123">
        <f t="shared" si="8"/>
        <v>209</v>
      </c>
      <c r="G210" s="124" t="s">
        <v>2459</v>
      </c>
      <c r="H210" s="125" t="s">
        <v>2378</v>
      </c>
      <c r="I210" s="155">
        <f t="shared" si="19"/>
        <v>208</v>
      </c>
      <c r="J210" s="127" t="str">
        <f t="shared" si="1"/>
        <v>PE25-208</v>
      </c>
      <c r="K210" s="153">
        <v>45896.0</v>
      </c>
      <c r="L210" s="129"/>
      <c r="M210" s="129" t="s">
        <v>840</v>
      </c>
      <c r="N210" s="124" t="s">
        <v>1745</v>
      </c>
      <c r="O210" s="124"/>
      <c r="P210" s="130" t="s">
        <v>841</v>
      </c>
      <c r="Q210" s="131">
        <v>9.8624808E7</v>
      </c>
      <c r="R210" s="132">
        <f>Q210*8.5%</f>
        <v>8383108.68</v>
      </c>
      <c r="S210" s="132">
        <f t="shared" si="2"/>
        <v>107007916.7</v>
      </c>
      <c r="T210" s="133">
        <f t="shared" si="3"/>
        <v>11770870.83</v>
      </c>
      <c r="U210" s="132">
        <f t="shared" si="4"/>
        <v>118778787.5</v>
      </c>
      <c r="V210" s="130"/>
      <c r="W210" s="130" t="s">
        <v>1747</v>
      </c>
      <c r="X210" s="134"/>
      <c r="Y210" s="135" t="str">
        <f>VLOOKUP(J210,[1]TARIKANMYSAP!$H$2:$K$1013,4,FALSE)</f>
        <v>#ERROR!</v>
      </c>
      <c r="Z210" s="136" t="str">
        <f t="shared" si="5"/>
        <v>PE25-208</v>
      </c>
      <c r="AA210" s="137"/>
      <c r="AB210" s="137"/>
    </row>
    <row r="211" ht="12.0" customHeight="1">
      <c r="A211" s="111"/>
      <c r="F211" s="123">
        <f t="shared" si="8"/>
        <v>210</v>
      </c>
      <c r="G211" s="124" t="s">
        <v>2492</v>
      </c>
      <c r="H211" s="125" t="s">
        <v>2378</v>
      </c>
      <c r="I211" s="155">
        <f t="shared" si="19"/>
        <v>209</v>
      </c>
      <c r="J211" s="127" t="str">
        <f t="shared" si="1"/>
        <v>PE25-209</v>
      </c>
      <c r="K211" s="153" t="s">
        <v>2493</v>
      </c>
      <c r="L211" s="129"/>
      <c r="M211" s="129" t="s">
        <v>217</v>
      </c>
      <c r="N211" s="124" t="s">
        <v>1745</v>
      </c>
      <c r="O211" s="124"/>
      <c r="P211" s="130" t="s">
        <v>845</v>
      </c>
      <c r="Q211" s="131">
        <v>4.5E7</v>
      </c>
      <c r="R211" s="132">
        <f>Q211*7.5%</f>
        <v>3375000</v>
      </c>
      <c r="S211" s="132">
        <f t="shared" si="2"/>
        <v>48375000</v>
      </c>
      <c r="T211" s="133">
        <f t="shared" si="3"/>
        <v>5321250</v>
      </c>
      <c r="U211" s="132">
        <f t="shared" si="4"/>
        <v>53696250</v>
      </c>
      <c r="V211" s="124"/>
      <c r="W211" s="130" t="s">
        <v>1747</v>
      </c>
      <c r="X211" s="134"/>
      <c r="Y211" s="135" t="str">
        <f>VLOOKUP(J211,[1]TARIKANMYSAP!$H$2:$K$1013,4,FALSE)</f>
        <v>#ERROR!</v>
      </c>
      <c r="Z211" s="136" t="str">
        <f t="shared" si="5"/>
        <v>PE25-209</v>
      </c>
      <c r="AA211" s="137"/>
      <c r="AB211" s="137"/>
    </row>
    <row r="212" ht="12.0" customHeight="1">
      <c r="A212" s="111"/>
      <c r="F212" s="123">
        <f t="shared" si="8"/>
        <v>211</v>
      </c>
      <c r="G212" s="124" t="s">
        <v>2492</v>
      </c>
      <c r="H212" s="125" t="s">
        <v>2378</v>
      </c>
      <c r="I212" s="155">
        <f t="shared" si="19"/>
        <v>210</v>
      </c>
      <c r="J212" s="127" t="str">
        <f t="shared" si="1"/>
        <v>PE25-210</v>
      </c>
      <c r="K212" s="153" t="s">
        <v>2493</v>
      </c>
      <c r="L212" s="129"/>
      <c r="M212" s="129" t="s">
        <v>94</v>
      </c>
      <c r="N212" s="124" t="s">
        <v>1745</v>
      </c>
      <c r="O212" s="124"/>
      <c r="P212" s="130" t="s">
        <v>849</v>
      </c>
      <c r="Q212" s="131">
        <v>5.086275E7</v>
      </c>
      <c r="R212" s="132"/>
      <c r="S212" s="132">
        <f t="shared" si="2"/>
        <v>50862750</v>
      </c>
      <c r="T212" s="133">
        <f t="shared" si="3"/>
        <v>5594902.5</v>
      </c>
      <c r="U212" s="132">
        <f t="shared" si="4"/>
        <v>56457652.5</v>
      </c>
      <c r="V212" s="130"/>
      <c r="W212" s="130" t="s">
        <v>1747</v>
      </c>
      <c r="X212" s="134"/>
      <c r="Y212" s="135" t="str">
        <f>VLOOKUP(J212,[1]TARIKANMYSAP!$H$2:$K$1013,4,FALSE)</f>
        <v>#ERROR!</v>
      </c>
      <c r="Z212" s="136" t="str">
        <f t="shared" si="5"/>
        <v>PE25-210</v>
      </c>
      <c r="AA212" s="137"/>
      <c r="AB212" s="137"/>
    </row>
    <row r="213" ht="12.0" customHeight="1">
      <c r="A213" s="111"/>
      <c r="F213" s="123">
        <f t="shared" si="8"/>
        <v>212</v>
      </c>
      <c r="G213" s="124" t="s">
        <v>2492</v>
      </c>
      <c r="H213" s="125" t="s">
        <v>2378</v>
      </c>
      <c r="I213" s="155">
        <f t="shared" si="19"/>
        <v>211</v>
      </c>
      <c r="J213" s="127" t="str">
        <f t="shared" si="1"/>
        <v>PE25-211</v>
      </c>
      <c r="K213" s="153" t="s">
        <v>2493</v>
      </c>
      <c r="L213" s="129"/>
      <c r="M213" s="129" t="s">
        <v>543</v>
      </c>
      <c r="N213" s="124" t="s">
        <v>1745</v>
      </c>
      <c r="O213" s="124"/>
      <c r="P213" s="130" t="s">
        <v>851</v>
      </c>
      <c r="Q213" s="131">
        <v>4.84E8</v>
      </c>
      <c r="R213" s="132"/>
      <c r="S213" s="132">
        <f t="shared" si="2"/>
        <v>484000000</v>
      </c>
      <c r="T213" s="133">
        <f t="shared" si="3"/>
        <v>53240000</v>
      </c>
      <c r="U213" s="132">
        <f t="shared" si="4"/>
        <v>537240000</v>
      </c>
      <c r="V213" s="130"/>
      <c r="W213" s="130" t="s">
        <v>1780</v>
      </c>
      <c r="X213" s="134"/>
      <c r="Y213" s="135" t="str">
        <f>VLOOKUP(J213,[1]TARIKANMYSAP!$H$2:$K$1013,4,FALSE)</f>
        <v>#ERROR!</v>
      </c>
      <c r="Z213" s="136" t="str">
        <f t="shared" si="5"/>
        <v>PE25-211</v>
      </c>
      <c r="AA213" s="137"/>
      <c r="AB213" s="137"/>
    </row>
    <row r="214" ht="12.0" customHeight="1">
      <c r="A214" s="111"/>
      <c r="F214" s="123">
        <f t="shared" si="8"/>
        <v>213</v>
      </c>
      <c r="G214" s="124" t="s">
        <v>2492</v>
      </c>
      <c r="H214" s="125" t="s">
        <v>2378</v>
      </c>
      <c r="I214" s="155">
        <f t="shared" si="19"/>
        <v>212</v>
      </c>
      <c r="J214" s="127" t="str">
        <f t="shared" si="1"/>
        <v>PE25-212</v>
      </c>
      <c r="K214" s="153" t="s">
        <v>2493</v>
      </c>
      <c r="L214" s="129"/>
      <c r="M214" s="129" t="s">
        <v>855</v>
      </c>
      <c r="N214" s="124" t="s">
        <v>1745</v>
      </c>
      <c r="O214" s="124" t="s">
        <v>2379</v>
      </c>
      <c r="P214" s="130" t="s">
        <v>856</v>
      </c>
      <c r="Q214" s="131">
        <v>4.48E7</v>
      </c>
      <c r="R214" s="132"/>
      <c r="S214" s="132">
        <f t="shared" si="2"/>
        <v>44800000</v>
      </c>
      <c r="T214" s="133">
        <f t="shared" si="3"/>
        <v>4928000</v>
      </c>
      <c r="U214" s="132">
        <f t="shared" si="4"/>
        <v>49728000</v>
      </c>
      <c r="V214" s="130"/>
      <c r="W214" s="130" t="s">
        <v>1925</v>
      </c>
      <c r="X214" s="134"/>
      <c r="Y214" s="135" t="str">
        <f>VLOOKUP(J214,[1]TARIKANMYSAP!$H$2:$K$1013,4,FALSE)</f>
        <v>#ERROR!</v>
      </c>
      <c r="Z214" s="136" t="str">
        <f t="shared" si="5"/>
        <v>PE25-212</v>
      </c>
      <c r="AA214" s="137"/>
      <c r="AB214" s="137"/>
    </row>
    <row r="215" ht="12.0" customHeight="1">
      <c r="A215" s="111"/>
      <c r="F215" s="123">
        <f t="shared" si="8"/>
        <v>214</v>
      </c>
      <c r="G215" s="124" t="s">
        <v>2492</v>
      </c>
      <c r="H215" s="125" t="s">
        <v>2378</v>
      </c>
      <c r="I215" s="155">
        <f t="shared" si="19"/>
        <v>213</v>
      </c>
      <c r="J215" s="127" t="str">
        <f t="shared" si="1"/>
        <v>PE25-213</v>
      </c>
      <c r="K215" s="153" t="s">
        <v>2493</v>
      </c>
      <c r="L215" s="129"/>
      <c r="M215" s="129" t="s">
        <v>860</v>
      </c>
      <c r="N215" s="124" t="s">
        <v>1745</v>
      </c>
      <c r="O215" s="124" t="s">
        <v>2379</v>
      </c>
      <c r="P215" s="130" t="s">
        <v>861</v>
      </c>
      <c r="Q215" s="131">
        <v>2.9831202E8</v>
      </c>
      <c r="R215" s="132"/>
      <c r="S215" s="132">
        <f t="shared" si="2"/>
        <v>298312020</v>
      </c>
      <c r="T215" s="133">
        <f t="shared" si="3"/>
        <v>32814322.2</v>
      </c>
      <c r="U215" s="132">
        <f t="shared" si="4"/>
        <v>331126342.2</v>
      </c>
      <c r="V215" s="130"/>
      <c r="W215" s="130" t="s">
        <v>1925</v>
      </c>
      <c r="X215" s="134"/>
      <c r="Y215" s="135" t="str">
        <f>VLOOKUP(J215,[1]TARIKANMYSAP!$H$2:$K$1013,4,FALSE)</f>
        <v>#ERROR!</v>
      </c>
      <c r="Z215" s="136" t="str">
        <f t="shared" si="5"/>
        <v>PE25-213</v>
      </c>
      <c r="AA215" s="137"/>
      <c r="AB215" s="137"/>
    </row>
    <row r="216" ht="12.0" customHeight="1">
      <c r="A216" s="111"/>
      <c r="F216" s="123">
        <f t="shared" si="8"/>
        <v>215</v>
      </c>
      <c r="G216" s="124" t="s">
        <v>2492</v>
      </c>
      <c r="H216" s="125" t="s">
        <v>2378</v>
      </c>
      <c r="I216" s="155">
        <f t="shared" si="19"/>
        <v>214</v>
      </c>
      <c r="J216" s="127" t="str">
        <f t="shared" si="1"/>
        <v>PE25-214</v>
      </c>
      <c r="K216" s="153" t="s">
        <v>2493</v>
      </c>
      <c r="L216" s="129"/>
      <c r="M216" s="129" t="s">
        <v>865</v>
      </c>
      <c r="N216" s="124" t="s">
        <v>1745</v>
      </c>
      <c r="O216" s="124" t="s">
        <v>2379</v>
      </c>
      <c r="P216" s="130" t="s">
        <v>866</v>
      </c>
      <c r="Q216" s="131">
        <v>4.928E7</v>
      </c>
      <c r="R216" s="132"/>
      <c r="S216" s="132">
        <f t="shared" si="2"/>
        <v>49280000</v>
      </c>
      <c r="T216" s="133">
        <f t="shared" si="3"/>
        <v>5420800</v>
      </c>
      <c r="U216" s="132">
        <f t="shared" si="4"/>
        <v>54700800</v>
      </c>
      <c r="V216" s="124"/>
      <c r="W216" s="130" t="s">
        <v>1925</v>
      </c>
      <c r="X216" s="134"/>
      <c r="Y216" s="135" t="str">
        <f>VLOOKUP(J216,[1]TARIKANMYSAP!$H$2:$K$1013,4,FALSE)</f>
        <v>#ERROR!</v>
      </c>
      <c r="Z216" s="136" t="str">
        <f t="shared" si="5"/>
        <v>PE25-214</v>
      </c>
      <c r="AA216" s="137"/>
      <c r="AB216" s="137"/>
    </row>
    <row r="217" ht="12.0" customHeight="1">
      <c r="A217" s="111"/>
      <c r="F217" s="123">
        <f t="shared" si="8"/>
        <v>216</v>
      </c>
      <c r="G217" s="124" t="s">
        <v>2492</v>
      </c>
      <c r="H217" s="125" t="s">
        <v>2378</v>
      </c>
      <c r="I217" s="155">
        <f t="shared" si="19"/>
        <v>215</v>
      </c>
      <c r="J217" s="127" t="str">
        <f t="shared" si="1"/>
        <v>PE25-215</v>
      </c>
      <c r="K217" s="153" t="s">
        <v>2493</v>
      </c>
      <c r="L217" s="129"/>
      <c r="M217" s="129" t="s">
        <v>870</v>
      </c>
      <c r="N217" s="124" t="s">
        <v>1745</v>
      </c>
      <c r="O217" s="124" t="s">
        <v>2379</v>
      </c>
      <c r="P217" s="130" t="s">
        <v>871</v>
      </c>
      <c r="Q217" s="131">
        <v>1.725E7</v>
      </c>
      <c r="R217" s="132"/>
      <c r="S217" s="132">
        <f t="shared" si="2"/>
        <v>17250000</v>
      </c>
      <c r="T217" s="133">
        <f t="shared" si="3"/>
        <v>1897500</v>
      </c>
      <c r="U217" s="132">
        <f t="shared" si="4"/>
        <v>19147500</v>
      </c>
      <c r="V217" s="130"/>
      <c r="W217" s="154" t="s">
        <v>1925</v>
      </c>
      <c r="X217" s="134"/>
      <c r="Y217" s="135" t="str">
        <f>VLOOKUP(J217,[1]TARIKANMYSAP!$H$2:$K$1013,4,FALSE)</f>
        <v>#ERROR!</v>
      </c>
      <c r="Z217" s="136" t="str">
        <f t="shared" si="5"/>
        <v>PE25-215</v>
      </c>
      <c r="AA217" s="137"/>
      <c r="AB217" s="137"/>
    </row>
    <row r="218" ht="12.0" customHeight="1">
      <c r="A218" s="111"/>
      <c r="F218" s="123">
        <f t="shared" si="8"/>
        <v>217</v>
      </c>
      <c r="G218" s="124" t="s">
        <v>2492</v>
      </c>
      <c r="H218" s="125" t="s">
        <v>2378</v>
      </c>
      <c r="I218" s="155">
        <f t="shared" si="19"/>
        <v>216</v>
      </c>
      <c r="J218" s="127" t="str">
        <f t="shared" si="1"/>
        <v>PE25-216</v>
      </c>
      <c r="K218" s="153" t="s">
        <v>2493</v>
      </c>
      <c r="L218" s="129"/>
      <c r="M218" s="129" t="s">
        <v>873</v>
      </c>
      <c r="N218" s="124" t="s">
        <v>1745</v>
      </c>
      <c r="O218" s="124" t="s">
        <v>2379</v>
      </c>
      <c r="P218" s="130" t="s">
        <v>874</v>
      </c>
      <c r="Q218" s="131">
        <v>4.7127226E7</v>
      </c>
      <c r="R218" s="132"/>
      <c r="S218" s="132">
        <f t="shared" si="2"/>
        <v>47127226</v>
      </c>
      <c r="T218" s="133">
        <f t="shared" si="3"/>
        <v>5183994.86</v>
      </c>
      <c r="U218" s="132">
        <f t="shared" si="4"/>
        <v>52311220.86</v>
      </c>
      <c r="V218" s="130"/>
      <c r="W218" s="130" t="s">
        <v>1925</v>
      </c>
      <c r="X218" s="134"/>
      <c r="Y218" s="135" t="str">
        <f>VLOOKUP(J218,[1]TARIKANMYSAP!$H$2:$K$1013,4,FALSE)</f>
        <v>#ERROR!</v>
      </c>
      <c r="Z218" s="136" t="str">
        <f t="shared" si="5"/>
        <v>PE25-216</v>
      </c>
      <c r="AA218" s="137"/>
      <c r="AB218" s="137"/>
    </row>
    <row r="219" ht="12.0" customHeight="1">
      <c r="A219" s="111"/>
      <c r="F219" s="123">
        <f t="shared" si="8"/>
        <v>218</v>
      </c>
      <c r="G219" s="124" t="s">
        <v>2492</v>
      </c>
      <c r="H219" s="125" t="s">
        <v>2378</v>
      </c>
      <c r="I219" s="155">
        <f t="shared" si="19"/>
        <v>217</v>
      </c>
      <c r="J219" s="127" t="str">
        <f t="shared" si="1"/>
        <v>PE25-217</v>
      </c>
      <c r="K219" s="153" t="s">
        <v>2493</v>
      </c>
      <c r="L219" s="129"/>
      <c r="M219" s="129" t="s">
        <v>878</v>
      </c>
      <c r="N219" s="124" t="s">
        <v>1745</v>
      </c>
      <c r="O219" s="124" t="s">
        <v>2379</v>
      </c>
      <c r="P219" s="130" t="s">
        <v>2494</v>
      </c>
      <c r="Q219" s="131">
        <v>4.95E7</v>
      </c>
      <c r="R219" s="132"/>
      <c r="S219" s="132">
        <f t="shared" si="2"/>
        <v>49500000</v>
      </c>
      <c r="T219" s="133">
        <f t="shared" si="3"/>
        <v>5445000</v>
      </c>
      <c r="U219" s="132">
        <f t="shared" si="4"/>
        <v>54945000</v>
      </c>
      <c r="V219" s="130"/>
      <c r="W219" s="154" t="s">
        <v>1925</v>
      </c>
      <c r="X219" s="134"/>
      <c r="Y219" s="135" t="str">
        <f>VLOOKUP(J219,[1]TARIKANMYSAP!$H$2:$K$1013,4,FALSE)</f>
        <v>#ERROR!</v>
      </c>
      <c r="Z219" s="136" t="str">
        <f t="shared" si="5"/>
        <v>PE25-217</v>
      </c>
      <c r="AA219" s="137"/>
      <c r="AB219" s="137"/>
    </row>
    <row r="220" ht="12.0" customHeight="1">
      <c r="A220" s="111"/>
      <c r="F220" s="123">
        <f t="shared" si="8"/>
        <v>219</v>
      </c>
      <c r="G220" s="124" t="s">
        <v>2492</v>
      </c>
      <c r="H220" s="125" t="s">
        <v>2378</v>
      </c>
      <c r="I220" s="155">
        <f t="shared" si="19"/>
        <v>218</v>
      </c>
      <c r="J220" s="127" t="str">
        <f t="shared" si="1"/>
        <v>PE25-218</v>
      </c>
      <c r="K220" s="153">
        <v>45902.0</v>
      </c>
      <c r="L220" s="129"/>
      <c r="M220" s="129" t="s">
        <v>2387</v>
      </c>
      <c r="N220" s="124" t="s">
        <v>1745</v>
      </c>
      <c r="O220" s="124"/>
      <c r="P220" s="130" t="s">
        <v>881</v>
      </c>
      <c r="Q220" s="131">
        <v>2.5262819E7</v>
      </c>
      <c r="R220" s="132">
        <f>Q220*6.2%</f>
        <v>1566294.778</v>
      </c>
      <c r="S220" s="132">
        <f t="shared" si="2"/>
        <v>26829113.78</v>
      </c>
      <c r="T220" s="133">
        <f t="shared" si="3"/>
        <v>2951202.516</v>
      </c>
      <c r="U220" s="132">
        <f t="shared" si="4"/>
        <v>29780316.29</v>
      </c>
      <c r="V220" s="130"/>
      <c r="W220" s="130" t="s">
        <v>2388</v>
      </c>
      <c r="X220" s="134"/>
      <c r="Y220" s="135" t="str">
        <f>VLOOKUP(J220,[1]TARIKANMYSAP!$H$2:$K$1013,4,FALSE)</f>
        <v>#ERROR!</v>
      </c>
      <c r="Z220" s="136" t="str">
        <f t="shared" si="5"/>
        <v>PE25-218</v>
      </c>
      <c r="AA220" s="137"/>
      <c r="AB220" s="137"/>
    </row>
    <row r="221" ht="12.0" customHeight="1">
      <c r="A221" s="111"/>
      <c r="F221" s="123">
        <f t="shared" si="8"/>
        <v>220</v>
      </c>
      <c r="G221" s="124" t="s">
        <v>2492</v>
      </c>
      <c r="H221" s="125" t="s">
        <v>2378</v>
      </c>
      <c r="I221" s="155">
        <f t="shared" si="19"/>
        <v>219</v>
      </c>
      <c r="J221" s="127" t="str">
        <f t="shared" si="1"/>
        <v>PE25-219</v>
      </c>
      <c r="K221" s="153">
        <v>45902.0</v>
      </c>
      <c r="L221" s="129"/>
      <c r="M221" s="129" t="s">
        <v>2387</v>
      </c>
      <c r="N221" s="124" t="s">
        <v>1745</v>
      </c>
      <c r="O221" s="124"/>
      <c r="P221" s="130" t="s">
        <v>885</v>
      </c>
      <c r="Q221" s="131">
        <v>1.0884071E7</v>
      </c>
      <c r="R221" s="132">
        <f>Q221*7.5%</f>
        <v>816305.325</v>
      </c>
      <c r="S221" s="132">
        <f t="shared" si="2"/>
        <v>11700376.33</v>
      </c>
      <c r="T221" s="133">
        <f t="shared" si="3"/>
        <v>1287041.396</v>
      </c>
      <c r="U221" s="132">
        <f t="shared" si="4"/>
        <v>12987417.72</v>
      </c>
      <c r="V221" s="130"/>
      <c r="W221" s="130" t="s">
        <v>2388</v>
      </c>
      <c r="X221" s="134"/>
      <c r="Y221" s="135" t="str">
        <f>VLOOKUP(J221,[1]TARIKANMYSAP!$H$2:$K$1013,4,FALSE)</f>
        <v>#ERROR!</v>
      </c>
      <c r="Z221" s="136" t="str">
        <f t="shared" si="5"/>
        <v>PE25-219</v>
      </c>
      <c r="AA221" s="137"/>
      <c r="AB221" s="137"/>
    </row>
    <row r="222" ht="12.0" customHeight="1">
      <c r="A222" s="111"/>
      <c r="F222" s="123">
        <f t="shared" si="8"/>
        <v>221</v>
      </c>
      <c r="G222" s="124" t="s">
        <v>2492</v>
      </c>
      <c r="H222" s="125" t="s">
        <v>2378</v>
      </c>
      <c r="I222" s="155">
        <f t="shared" si="19"/>
        <v>220</v>
      </c>
      <c r="J222" s="127" t="str">
        <f t="shared" si="1"/>
        <v>PE25-220</v>
      </c>
      <c r="K222" s="153">
        <v>45902.0</v>
      </c>
      <c r="L222" s="129"/>
      <c r="M222" s="129" t="s">
        <v>2387</v>
      </c>
      <c r="N222" s="124" t="s">
        <v>1745</v>
      </c>
      <c r="O222" s="124"/>
      <c r="P222" s="130" t="s">
        <v>887</v>
      </c>
      <c r="Q222" s="131">
        <v>8550000.0</v>
      </c>
      <c r="R222" s="132"/>
      <c r="S222" s="132">
        <f t="shared" si="2"/>
        <v>8550000</v>
      </c>
      <c r="T222" s="133">
        <f t="shared" si="3"/>
        <v>940500</v>
      </c>
      <c r="U222" s="132">
        <f t="shared" si="4"/>
        <v>9490500</v>
      </c>
      <c r="V222" s="156"/>
      <c r="W222" s="130" t="s">
        <v>2388</v>
      </c>
      <c r="X222" s="134"/>
      <c r="Y222" s="135" t="str">
        <f>VLOOKUP(J222,[1]TARIKANMYSAP!$H$2:$K$1013,4,FALSE)</f>
        <v>#ERROR!</v>
      </c>
      <c r="Z222" s="136" t="str">
        <f t="shared" si="5"/>
        <v>PE25-220</v>
      </c>
      <c r="AA222" s="137"/>
      <c r="AB222" s="137"/>
    </row>
    <row r="223" ht="12.0" customHeight="1">
      <c r="A223" s="111"/>
      <c r="F223" s="123">
        <f t="shared" si="8"/>
        <v>222</v>
      </c>
      <c r="G223" s="124" t="s">
        <v>2492</v>
      </c>
      <c r="H223" s="125" t="s">
        <v>2378</v>
      </c>
      <c r="I223" s="155">
        <f t="shared" si="19"/>
        <v>221</v>
      </c>
      <c r="J223" s="127" t="str">
        <f t="shared" si="1"/>
        <v>PE25-221</v>
      </c>
      <c r="K223" s="153">
        <v>45902.0</v>
      </c>
      <c r="L223" s="129"/>
      <c r="M223" s="129" t="s">
        <v>2387</v>
      </c>
      <c r="N223" s="124" t="s">
        <v>1745</v>
      </c>
      <c r="O223" s="124"/>
      <c r="P223" s="130" t="s">
        <v>889</v>
      </c>
      <c r="Q223" s="131">
        <v>7392000.0</v>
      </c>
      <c r="R223" s="132"/>
      <c r="S223" s="132">
        <f t="shared" si="2"/>
        <v>7392000</v>
      </c>
      <c r="T223" s="133">
        <f t="shared" si="3"/>
        <v>813120</v>
      </c>
      <c r="U223" s="132">
        <f t="shared" si="4"/>
        <v>8205120</v>
      </c>
      <c r="V223" s="130"/>
      <c r="W223" s="130" t="s">
        <v>2388</v>
      </c>
      <c r="X223" s="134"/>
      <c r="Y223" s="135" t="str">
        <f>VLOOKUP(J223,[1]TARIKANMYSAP!$H$2:$K$1013,4,FALSE)</f>
        <v>#ERROR!</v>
      </c>
      <c r="Z223" s="136" t="str">
        <f t="shared" si="5"/>
        <v>PE25-221</v>
      </c>
      <c r="AA223" s="137"/>
      <c r="AB223" s="137"/>
    </row>
    <row r="224" ht="12.0" customHeight="1">
      <c r="A224" s="111"/>
      <c r="F224" s="123">
        <f t="shared" si="8"/>
        <v>223</v>
      </c>
      <c r="G224" s="124" t="s">
        <v>2492</v>
      </c>
      <c r="H224" s="125" t="s">
        <v>2378</v>
      </c>
      <c r="I224" s="155">
        <f t="shared" si="19"/>
        <v>222</v>
      </c>
      <c r="J224" s="127" t="str">
        <f t="shared" si="1"/>
        <v>PE25-222</v>
      </c>
      <c r="K224" s="153">
        <v>45904.0</v>
      </c>
      <c r="L224" s="129"/>
      <c r="M224" s="129" t="s">
        <v>99</v>
      </c>
      <c r="N224" s="124" t="s">
        <v>1745</v>
      </c>
      <c r="O224" s="124"/>
      <c r="P224" s="130" t="s">
        <v>891</v>
      </c>
      <c r="Q224" s="131">
        <v>2.1300108E7</v>
      </c>
      <c r="R224" s="132">
        <f>Q224*9.5%</f>
        <v>2023510.26</v>
      </c>
      <c r="S224" s="132">
        <f t="shared" si="2"/>
        <v>23323618.26</v>
      </c>
      <c r="T224" s="133">
        <f t="shared" si="3"/>
        <v>2565598.009</v>
      </c>
      <c r="U224" s="132">
        <f t="shared" si="4"/>
        <v>25889216.27</v>
      </c>
      <c r="V224" s="130"/>
      <c r="W224" s="130" t="s">
        <v>2495</v>
      </c>
      <c r="X224" s="134"/>
      <c r="Y224" s="135" t="str">
        <f>VLOOKUP(J224,[1]TARIKANMYSAP!$H$2:$K$1013,4,FALSE)</f>
        <v>#ERROR!</v>
      </c>
      <c r="Z224" s="136" t="str">
        <f t="shared" si="5"/>
        <v>PE25-222</v>
      </c>
      <c r="AA224" s="137"/>
      <c r="AB224" s="137"/>
    </row>
    <row r="225" ht="12.0" customHeight="1">
      <c r="A225" s="111"/>
      <c r="F225" s="123">
        <f t="shared" si="8"/>
        <v>224</v>
      </c>
      <c r="G225" s="124" t="s">
        <v>2492</v>
      </c>
      <c r="H225" s="125" t="s">
        <v>2378</v>
      </c>
      <c r="I225" s="155">
        <f t="shared" si="19"/>
        <v>223</v>
      </c>
      <c r="J225" s="127" t="str">
        <f t="shared" si="1"/>
        <v>PE25-223</v>
      </c>
      <c r="K225" s="153">
        <v>45903.0</v>
      </c>
      <c r="L225" s="129"/>
      <c r="M225" s="129" t="s">
        <v>895</v>
      </c>
      <c r="N225" s="124" t="s">
        <v>1745</v>
      </c>
      <c r="O225" s="124"/>
      <c r="P225" s="130" t="s">
        <v>896</v>
      </c>
      <c r="Q225" s="131">
        <v>1428571.0</v>
      </c>
      <c r="R225" s="132">
        <f t="shared" ref="R225:R226" si="21">Q225*12%</f>
        <v>171428.52</v>
      </c>
      <c r="S225" s="132">
        <f t="shared" si="2"/>
        <v>1599999.52</v>
      </c>
      <c r="T225" s="133">
        <f t="shared" si="3"/>
        <v>175999.9472</v>
      </c>
      <c r="U225" s="132">
        <f t="shared" si="4"/>
        <v>1775999.467</v>
      </c>
      <c r="V225" s="130"/>
      <c r="W225" s="130" t="s">
        <v>1747</v>
      </c>
      <c r="X225" s="134"/>
      <c r="Y225" s="135" t="str">
        <f>VLOOKUP(J225,[1]TARIKANMYSAP!$H$2:$K$1013,4,FALSE)</f>
        <v>#ERROR!</v>
      </c>
      <c r="Z225" s="136" t="str">
        <f t="shared" si="5"/>
        <v>PE25-223</v>
      </c>
      <c r="AA225" s="137"/>
      <c r="AB225" s="137"/>
    </row>
    <row r="226" ht="12.0" customHeight="1">
      <c r="A226" s="111"/>
      <c r="F226" s="123">
        <f t="shared" si="8"/>
        <v>225</v>
      </c>
      <c r="G226" s="124" t="s">
        <v>2492</v>
      </c>
      <c r="H226" s="125" t="s">
        <v>2378</v>
      </c>
      <c r="I226" s="155">
        <f t="shared" si="19"/>
        <v>224</v>
      </c>
      <c r="J226" s="127" t="str">
        <f t="shared" si="1"/>
        <v>PE25-224</v>
      </c>
      <c r="K226" s="153">
        <v>45903.0</v>
      </c>
      <c r="L226" s="129"/>
      <c r="M226" s="129" t="s">
        <v>895</v>
      </c>
      <c r="N226" s="124" t="s">
        <v>1745</v>
      </c>
      <c r="O226" s="124"/>
      <c r="P226" s="130" t="s">
        <v>899</v>
      </c>
      <c r="Q226" s="131">
        <v>2857142.0</v>
      </c>
      <c r="R226" s="132">
        <f t="shared" si="21"/>
        <v>342857.04</v>
      </c>
      <c r="S226" s="132">
        <f t="shared" si="2"/>
        <v>3199999.04</v>
      </c>
      <c r="T226" s="133">
        <f t="shared" si="3"/>
        <v>351999.8944</v>
      </c>
      <c r="U226" s="132">
        <f t="shared" si="4"/>
        <v>3551998.934</v>
      </c>
      <c r="V226" s="130"/>
      <c r="W226" s="130" t="s">
        <v>1747</v>
      </c>
      <c r="X226" s="134"/>
      <c r="Y226" s="135" t="str">
        <f>VLOOKUP(J226,[1]TARIKANMYSAP!$H$2:$K$1013,4,FALSE)</f>
        <v>#ERROR!</v>
      </c>
      <c r="Z226" s="136" t="str">
        <f t="shared" si="5"/>
        <v>PE25-224</v>
      </c>
      <c r="AA226" s="137"/>
      <c r="AB226" s="137"/>
    </row>
    <row r="227" ht="12.0" customHeight="1">
      <c r="A227" s="111"/>
      <c r="F227" s="123">
        <f t="shared" si="8"/>
        <v>226</v>
      </c>
      <c r="G227" s="124" t="s">
        <v>2492</v>
      </c>
      <c r="H227" s="125" t="s">
        <v>2378</v>
      </c>
      <c r="I227" s="155">
        <f t="shared" si="19"/>
        <v>225</v>
      </c>
      <c r="J227" s="127" t="str">
        <f t="shared" si="1"/>
        <v>PE25-225</v>
      </c>
      <c r="K227" s="153">
        <v>45903.0</v>
      </c>
      <c r="L227" s="129"/>
      <c r="M227" s="129" t="s">
        <v>2387</v>
      </c>
      <c r="N227" s="124" t="s">
        <v>1745</v>
      </c>
      <c r="O227" s="124"/>
      <c r="P227" s="130" t="s">
        <v>901</v>
      </c>
      <c r="Q227" s="131">
        <v>1.2395345E7</v>
      </c>
      <c r="R227" s="132"/>
      <c r="S227" s="132">
        <f t="shared" si="2"/>
        <v>12395345</v>
      </c>
      <c r="T227" s="133">
        <f t="shared" si="3"/>
        <v>1363487.95</v>
      </c>
      <c r="U227" s="132">
        <f t="shared" si="4"/>
        <v>13758832.95</v>
      </c>
      <c r="V227" s="130"/>
      <c r="W227" s="130" t="s">
        <v>2395</v>
      </c>
      <c r="X227" s="134"/>
      <c r="Y227" s="135" t="str">
        <f>VLOOKUP(J227,[1]TARIKANMYSAP!$H$2:$K$1013,4,FALSE)</f>
        <v>#ERROR!</v>
      </c>
      <c r="Z227" s="136" t="str">
        <f t="shared" si="5"/>
        <v>PE25-225</v>
      </c>
      <c r="AA227" s="137"/>
      <c r="AB227" s="137"/>
    </row>
    <row r="228" ht="12.0" customHeight="1">
      <c r="A228" s="111"/>
      <c r="F228" s="123">
        <f t="shared" si="8"/>
        <v>227</v>
      </c>
      <c r="G228" s="124" t="s">
        <v>2492</v>
      </c>
      <c r="H228" s="125" t="s">
        <v>2378</v>
      </c>
      <c r="I228" s="155">
        <f t="shared" si="19"/>
        <v>226</v>
      </c>
      <c r="J228" s="127" t="str">
        <f t="shared" si="1"/>
        <v>PE25-226</v>
      </c>
      <c r="K228" s="153">
        <v>45909.0</v>
      </c>
      <c r="L228" s="129"/>
      <c r="M228" s="129" t="s">
        <v>418</v>
      </c>
      <c r="N228" s="124" t="s">
        <v>1745</v>
      </c>
      <c r="O228" s="124"/>
      <c r="P228" s="130" t="s">
        <v>905</v>
      </c>
      <c r="Q228" s="131">
        <v>8.3377134E7</v>
      </c>
      <c r="R228" s="132">
        <f t="shared" ref="R228:R232" si="22">Q228*8.5%</f>
        <v>7087056.39</v>
      </c>
      <c r="S228" s="132">
        <f t="shared" si="2"/>
        <v>90464190.39</v>
      </c>
      <c r="T228" s="133">
        <f t="shared" si="3"/>
        <v>9951060.943</v>
      </c>
      <c r="U228" s="132">
        <f t="shared" si="4"/>
        <v>100415251.3</v>
      </c>
      <c r="V228" s="130"/>
      <c r="W228" s="130" t="s">
        <v>1747</v>
      </c>
      <c r="X228" s="134"/>
      <c r="Y228" s="135" t="str">
        <f>VLOOKUP(J228,[1]TARIKANMYSAP!$H$2:$K$1013,4,FALSE)</f>
        <v>#ERROR!</v>
      </c>
      <c r="Z228" s="136" t="str">
        <f t="shared" si="5"/>
        <v>PE25-226</v>
      </c>
      <c r="AA228" s="137"/>
      <c r="AB228" s="137"/>
    </row>
    <row r="229" ht="12.0" customHeight="1">
      <c r="A229" s="111"/>
      <c r="F229" s="123">
        <f t="shared" si="8"/>
        <v>228</v>
      </c>
      <c r="G229" s="124" t="s">
        <v>2492</v>
      </c>
      <c r="H229" s="125" t="s">
        <v>2378</v>
      </c>
      <c r="I229" s="155">
        <f t="shared" si="19"/>
        <v>227</v>
      </c>
      <c r="J229" s="127" t="str">
        <f t="shared" si="1"/>
        <v>PE25-227</v>
      </c>
      <c r="K229" s="153">
        <v>45909.0</v>
      </c>
      <c r="L229" s="129"/>
      <c r="M229" s="129" t="s">
        <v>418</v>
      </c>
      <c r="N229" s="124" t="s">
        <v>1745</v>
      </c>
      <c r="O229" s="124"/>
      <c r="P229" s="130" t="s">
        <v>909</v>
      </c>
      <c r="Q229" s="131">
        <v>3.6650053E7</v>
      </c>
      <c r="R229" s="132">
        <f t="shared" si="22"/>
        <v>3115254.505</v>
      </c>
      <c r="S229" s="132">
        <f t="shared" si="2"/>
        <v>39765307.51</v>
      </c>
      <c r="T229" s="133">
        <f t="shared" si="3"/>
        <v>4374183.826</v>
      </c>
      <c r="U229" s="132">
        <f t="shared" si="4"/>
        <v>44139491.33</v>
      </c>
      <c r="V229" s="130"/>
      <c r="W229" s="130" t="s">
        <v>1747</v>
      </c>
      <c r="X229" s="134"/>
      <c r="Y229" s="135" t="str">
        <f>VLOOKUP(J229,[1]TARIKANMYSAP!$H$2:$K$1013,4,FALSE)</f>
        <v>#ERROR!</v>
      </c>
      <c r="Z229" s="136" t="str">
        <f t="shared" si="5"/>
        <v>PE25-227</v>
      </c>
      <c r="AA229" s="137"/>
      <c r="AB229" s="137"/>
    </row>
    <row r="230" ht="12.0" customHeight="1">
      <c r="A230" s="111"/>
      <c r="F230" s="123">
        <f t="shared" si="8"/>
        <v>229</v>
      </c>
      <c r="G230" s="124" t="s">
        <v>2492</v>
      </c>
      <c r="H230" s="125" t="s">
        <v>2378</v>
      </c>
      <c r="I230" s="155">
        <f t="shared" si="19"/>
        <v>228</v>
      </c>
      <c r="J230" s="127" t="str">
        <f t="shared" si="1"/>
        <v>PE25-228</v>
      </c>
      <c r="K230" s="153">
        <v>45909.0</v>
      </c>
      <c r="L230" s="129"/>
      <c r="M230" s="129" t="s">
        <v>418</v>
      </c>
      <c r="N230" s="124" t="s">
        <v>1745</v>
      </c>
      <c r="O230" s="124"/>
      <c r="P230" s="130" t="s">
        <v>913</v>
      </c>
      <c r="Q230" s="131">
        <v>5.8307553E7</v>
      </c>
      <c r="R230" s="132">
        <f t="shared" si="22"/>
        <v>4956142.005</v>
      </c>
      <c r="S230" s="132">
        <f t="shared" si="2"/>
        <v>63263695.01</v>
      </c>
      <c r="T230" s="133">
        <f t="shared" si="3"/>
        <v>6959006.451</v>
      </c>
      <c r="U230" s="132">
        <f t="shared" si="4"/>
        <v>70222701.46</v>
      </c>
      <c r="V230" s="130"/>
      <c r="W230" s="130" t="s">
        <v>1747</v>
      </c>
      <c r="X230" s="134"/>
      <c r="Y230" s="135" t="str">
        <f>VLOOKUP(J230,[1]TARIKANMYSAP!$H$2:$K$1013,4,FALSE)</f>
        <v>#ERROR!</v>
      </c>
      <c r="Z230" s="136" t="str">
        <f t="shared" si="5"/>
        <v>PE25-228</v>
      </c>
      <c r="AA230" s="137"/>
      <c r="AB230" s="137"/>
    </row>
    <row r="231" ht="12.0" customHeight="1">
      <c r="A231" s="111"/>
      <c r="F231" s="123">
        <f t="shared" si="8"/>
        <v>230</v>
      </c>
      <c r="G231" s="124" t="s">
        <v>2492</v>
      </c>
      <c r="H231" s="125" t="s">
        <v>2378</v>
      </c>
      <c r="I231" s="155">
        <f t="shared" si="19"/>
        <v>229</v>
      </c>
      <c r="J231" s="127" t="str">
        <f t="shared" si="1"/>
        <v>PE25-229</v>
      </c>
      <c r="K231" s="153">
        <v>45909.0</v>
      </c>
      <c r="L231" s="129"/>
      <c r="M231" s="129" t="s">
        <v>418</v>
      </c>
      <c r="N231" s="124" t="s">
        <v>1745</v>
      </c>
      <c r="O231" s="124"/>
      <c r="P231" s="130" t="s">
        <v>917</v>
      </c>
      <c r="Q231" s="131">
        <v>8.0785245E7</v>
      </c>
      <c r="R231" s="132">
        <f t="shared" si="22"/>
        <v>6866745.825</v>
      </c>
      <c r="S231" s="132">
        <f t="shared" si="2"/>
        <v>87651990.83</v>
      </c>
      <c r="T231" s="133">
        <f t="shared" si="3"/>
        <v>9641718.991</v>
      </c>
      <c r="U231" s="132">
        <f t="shared" si="4"/>
        <v>97293709.82</v>
      </c>
      <c r="V231" s="130"/>
      <c r="W231" s="130" t="s">
        <v>1747</v>
      </c>
      <c r="X231" s="134"/>
      <c r="Y231" s="135" t="str">
        <f>VLOOKUP(J231,[1]TARIKANMYSAP!$H$2:$K$1013,4,FALSE)</f>
        <v>#ERROR!</v>
      </c>
      <c r="Z231" s="136" t="str">
        <f t="shared" si="5"/>
        <v>PE25-229</v>
      </c>
      <c r="AA231" s="137"/>
      <c r="AB231" s="137"/>
    </row>
    <row r="232" ht="12.0" customHeight="1">
      <c r="A232" s="111"/>
      <c r="F232" s="123">
        <f t="shared" si="8"/>
        <v>231</v>
      </c>
      <c r="G232" s="124" t="s">
        <v>2492</v>
      </c>
      <c r="H232" s="125" t="s">
        <v>2378</v>
      </c>
      <c r="I232" s="155">
        <f t="shared" si="19"/>
        <v>230</v>
      </c>
      <c r="J232" s="127" t="str">
        <f t="shared" si="1"/>
        <v>PE25-230</v>
      </c>
      <c r="K232" s="153">
        <v>45909.0</v>
      </c>
      <c r="L232" s="129"/>
      <c r="M232" s="129" t="s">
        <v>418</v>
      </c>
      <c r="N232" s="124" t="s">
        <v>1745</v>
      </c>
      <c r="O232" s="124"/>
      <c r="P232" s="130" t="s">
        <v>921</v>
      </c>
      <c r="Q232" s="131">
        <v>5.1747553E7</v>
      </c>
      <c r="R232" s="132">
        <f t="shared" si="22"/>
        <v>4398542.005</v>
      </c>
      <c r="S232" s="132">
        <f t="shared" si="2"/>
        <v>56146095.01</v>
      </c>
      <c r="T232" s="133">
        <f t="shared" si="3"/>
        <v>6176070.451</v>
      </c>
      <c r="U232" s="132">
        <f t="shared" si="4"/>
        <v>62322165.46</v>
      </c>
      <c r="V232" s="130"/>
      <c r="W232" s="130" t="s">
        <v>1747</v>
      </c>
      <c r="X232" s="134"/>
      <c r="Y232" s="135" t="str">
        <f>VLOOKUP(J232,[1]TARIKANMYSAP!$H$2:$K$1013,4,FALSE)</f>
        <v>#ERROR!</v>
      </c>
      <c r="Z232" s="136" t="str">
        <f t="shared" si="5"/>
        <v>PE25-230</v>
      </c>
      <c r="AA232" s="137"/>
      <c r="AB232" s="137"/>
    </row>
    <row r="233" ht="12.0" customHeight="1">
      <c r="A233" s="111"/>
      <c r="F233" s="123">
        <f t="shared" si="8"/>
        <v>232</v>
      </c>
      <c r="G233" s="124" t="s">
        <v>2492</v>
      </c>
      <c r="H233" s="125" t="s">
        <v>2378</v>
      </c>
      <c r="I233" s="155">
        <f t="shared" si="19"/>
        <v>231</v>
      </c>
      <c r="J233" s="127" t="str">
        <f t="shared" si="1"/>
        <v>PE25-231</v>
      </c>
      <c r="K233" s="153">
        <v>45911.0</v>
      </c>
      <c r="L233" s="129"/>
      <c r="M233" s="129" t="s">
        <v>33</v>
      </c>
      <c r="N233" s="124" t="s">
        <v>1752</v>
      </c>
      <c r="O233" s="124"/>
      <c r="P233" s="130" t="s">
        <v>2496</v>
      </c>
      <c r="Q233" s="131">
        <v>1.6326525E7</v>
      </c>
      <c r="R233" s="132">
        <f t="shared" ref="R233:R236" si="23">Q233*12%</f>
        <v>1959183</v>
      </c>
      <c r="S233" s="132">
        <f t="shared" si="2"/>
        <v>18285708</v>
      </c>
      <c r="T233" s="133">
        <f t="shared" si="3"/>
        <v>2011427.88</v>
      </c>
      <c r="U233" s="132">
        <f t="shared" si="4"/>
        <v>20297135.88</v>
      </c>
      <c r="V233" s="130"/>
      <c r="W233" s="130" t="s">
        <v>1747</v>
      </c>
      <c r="X233" s="134"/>
      <c r="Y233" s="135" t="str">
        <f>VLOOKUP(J233,[1]TARIKANMYSAP!$H$2:$K$1013,4,FALSE)</f>
        <v>#ERROR!</v>
      </c>
      <c r="Z233" s="136" t="str">
        <f t="shared" si="5"/>
        <v>PE25-231</v>
      </c>
      <c r="AA233" s="137"/>
      <c r="AB233" s="137"/>
    </row>
    <row r="234" ht="12.0" customHeight="1">
      <c r="A234" s="111"/>
      <c r="F234" s="123">
        <f t="shared" si="8"/>
        <v>233</v>
      </c>
      <c r="G234" s="124" t="s">
        <v>2492</v>
      </c>
      <c r="H234" s="125" t="s">
        <v>2378</v>
      </c>
      <c r="I234" s="155">
        <f t="shared" si="19"/>
        <v>232</v>
      </c>
      <c r="J234" s="127" t="str">
        <f t="shared" si="1"/>
        <v>PE25-232</v>
      </c>
      <c r="K234" s="153">
        <v>45911.0</v>
      </c>
      <c r="L234" s="129"/>
      <c r="M234" s="129" t="s">
        <v>33</v>
      </c>
      <c r="N234" s="124" t="s">
        <v>1752</v>
      </c>
      <c r="O234" s="124"/>
      <c r="P234" s="130" t="s">
        <v>2497</v>
      </c>
      <c r="Q234" s="131">
        <v>2857142.0</v>
      </c>
      <c r="R234" s="132">
        <f t="shared" si="23"/>
        <v>342857.04</v>
      </c>
      <c r="S234" s="132">
        <f t="shared" si="2"/>
        <v>3199999.04</v>
      </c>
      <c r="T234" s="133">
        <f t="shared" si="3"/>
        <v>351999.8944</v>
      </c>
      <c r="U234" s="132">
        <f t="shared" si="4"/>
        <v>3551998.934</v>
      </c>
      <c r="V234" s="130"/>
      <c r="W234" s="130" t="s">
        <v>1747</v>
      </c>
      <c r="X234" s="134"/>
      <c r="Y234" s="135" t="str">
        <f>VLOOKUP(J234,[1]TARIKANMYSAP!$H$2:$K$1013,4,FALSE)</f>
        <v>#ERROR!</v>
      </c>
      <c r="Z234" s="136" t="str">
        <f t="shared" si="5"/>
        <v>PE25-232</v>
      </c>
      <c r="AA234" s="137"/>
      <c r="AB234" s="137"/>
    </row>
    <row r="235" ht="12.0" customHeight="1">
      <c r="A235" s="111"/>
      <c r="F235" s="123">
        <f t="shared" si="8"/>
        <v>234</v>
      </c>
      <c r="G235" s="124" t="s">
        <v>2492</v>
      </c>
      <c r="H235" s="125" t="s">
        <v>2378</v>
      </c>
      <c r="I235" s="155">
        <f t="shared" si="19"/>
        <v>233</v>
      </c>
      <c r="J235" s="127" t="str">
        <f t="shared" si="1"/>
        <v>PE25-233</v>
      </c>
      <c r="K235" s="153">
        <v>45911.0</v>
      </c>
      <c r="L235" s="129"/>
      <c r="M235" s="129" t="s">
        <v>33</v>
      </c>
      <c r="N235" s="124" t="s">
        <v>1752</v>
      </c>
      <c r="O235" s="124"/>
      <c r="P235" s="130" t="s">
        <v>931</v>
      </c>
      <c r="Q235" s="131">
        <v>7755102.0</v>
      </c>
      <c r="R235" s="132">
        <f t="shared" si="23"/>
        <v>930612.24</v>
      </c>
      <c r="S235" s="132">
        <f t="shared" si="2"/>
        <v>8685714.24</v>
      </c>
      <c r="T235" s="133">
        <f t="shared" si="3"/>
        <v>955428.5664</v>
      </c>
      <c r="U235" s="132">
        <f t="shared" si="4"/>
        <v>9641142.806</v>
      </c>
      <c r="V235" s="130"/>
      <c r="W235" s="130" t="s">
        <v>1747</v>
      </c>
      <c r="X235" s="134"/>
      <c r="Y235" s="135" t="str">
        <f>VLOOKUP(J235,[1]TARIKANMYSAP!$H$2:$K$1013,4,FALSE)</f>
        <v>#ERROR!</v>
      </c>
      <c r="Z235" s="136" t="str">
        <f t="shared" si="5"/>
        <v>PE25-233</v>
      </c>
      <c r="AA235" s="137"/>
      <c r="AB235" s="137"/>
    </row>
    <row r="236" ht="12.0" customHeight="1">
      <c r="A236" s="111"/>
      <c r="F236" s="123">
        <f t="shared" si="8"/>
        <v>235</v>
      </c>
      <c r="G236" s="124" t="s">
        <v>2492</v>
      </c>
      <c r="H236" s="125" t="s">
        <v>2378</v>
      </c>
      <c r="I236" s="155">
        <f t="shared" si="19"/>
        <v>234</v>
      </c>
      <c r="J236" s="127" t="str">
        <f t="shared" si="1"/>
        <v>PE25-234</v>
      </c>
      <c r="K236" s="153">
        <v>45911.0</v>
      </c>
      <c r="L236" s="129"/>
      <c r="M236" s="129" t="s">
        <v>33</v>
      </c>
      <c r="N236" s="124" t="s">
        <v>1752</v>
      </c>
      <c r="O236" s="124"/>
      <c r="P236" s="130" t="s">
        <v>934</v>
      </c>
      <c r="Q236" s="131">
        <v>2857142.0</v>
      </c>
      <c r="R236" s="132">
        <f t="shared" si="23"/>
        <v>342857.04</v>
      </c>
      <c r="S236" s="132">
        <f t="shared" si="2"/>
        <v>3199999.04</v>
      </c>
      <c r="T236" s="133">
        <f t="shared" si="3"/>
        <v>351999.8944</v>
      </c>
      <c r="U236" s="132">
        <f t="shared" si="4"/>
        <v>3551998.934</v>
      </c>
      <c r="V236" s="130"/>
      <c r="W236" s="130" t="s">
        <v>1747</v>
      </c>
      <c r="X236" s="134"/>
      <c r="Y236" s="135" t="str">
        <f>VLOOKUP(J236,[1]TARIKANMYSAP!$H$2:$K$1013,4,FALSE)</f>
        <v>#ERROR!</v>
      </c>
      <c r="Z236" s="136" t="str">
        <f t="shared" si="5"/>
        <v>PE25-234</v>
      </c>
      <c r="AA236" s="137"/>
      <c r="AB236" s="137"/>
    </row>
    <row r="237" ht="12.0" customHeight="1">
      <c r="A237" s="111"/>
      <c r="F237" s="123">
        <f t="shared" si="8"/>
        <v>236</v>
      </c>
      <c r="G237" s="124" t="s">
        <v>2492</v>
      </c>
      <c r="H237" s="125" t="s">
        <v>2378</v>
      </c>
      <c r="I237" s="155">
        <f t="shared" si="19"/>
        <v>235</v>
      </c>
      <c r="J237" s="127" t="str">
        <f t="shared" si="1"/>
        <v>PE25-235</v>
      </c>
      <c r="K237" s="153">
        <v>45912.0</v>
      </c>
      <c r="L237" s="129"/>
      <c r="M237" s="129" t="s">
        <v>936</v>
      </c>
      <c r="N237" s="124" t="s">
        <v>1745</v>
      </c>
      <c r="O237" s="124" t="s">
        <v>2379</v>
      </c>
      <c r="P237" s="130" t="s">
        <v>937</v>
      </c>
      <c r="Q237" s="131">
        <v>1.426E7</v>
      </c>
      <c r="R237" s="132"/>
      <c r="S237" s="132">
        <f t="shared" si="2"/>
        <v>14260000</v>
      </c>
      <c r="T237" s="133">
        <f t="shared" si="3"/>
        <v>1568600</v>
      </c>
      <c r="U237" s="132">
        <f t="shared" si="4"/>
        <v>15828600</v>
      </c>
      <c r="V237" s="130"/>
      <c r="W237" s="130" t="s">
        <v>1925</v>
      </c>
      <c r="X237" s="134"/>
      <c r="Y237" s="135" t="str">
        <f>VLOOKUP(J237,[1]TARIKANMYSAP!$H$2:$K$1013,4,FALSE)</f>
        <v>#ERROR!</v>
      </c>
      <c r="Z237" s="136" t="str">
        <f t="shared" si="5"/>
        <v>PE25-235</v>
      </c>
      <c r="AA237" s="137"/>
      <c r="AB237" s="137"/>
    </row>
    <row r="238" ht="12.0" customHeight="1">
      <c r="A238" s="111"/>
      <c r="F238" s="123">
        <f t="shared" si="8"/>
        <v>237</v>
      </c>
      <c r="G238" s="124" t="s">
        <v>2492</v>
      </c>
      <c r="H238" s="125" t="s">
        <v>2378</v>
      </c>
      <c r="I238" s="155">
        <f t="shared" si="19"/>
        <v>236</v>
      </c>
      <c r="J238" s="127" t="str">
        <f t="shared" si="1"/>
        <v>PE25-236</v>
      </c>
      <c r="K238" s="153">
        <v>45912.0</v>
      </c>
      <c r="L238" s="129"/>
      <c r="M238" s="129" t="s">
        <v>941</v>
      </c>
      <c r="N238" s="124" t="s">
        <v>1745</v>
      </c>
      <c r="O238" s="124" t="s">
        <v>2379</v>
      </c>
      <c r="P238" s="130" t="s">
        <v>942</v>
      </c>
      <c r="Q238" s="131">
        <v>1.7136E7</v>
      </c>
      <c r="R238" s="132"/>
      <c r="S238" s="132">
        <f t="shared" si="2"/>
        <v>17136000</v>
      </c>
      <c r="T238" s="133">
        <f t="shared" si="3"/>
        <v>1884960</v>
      </c>
      <c r="U238" s="132">
        <f t="shared" si="4"/>
        <v>19020960</v>
      </c>
      <c r="V238" s="130"/>
      <c r="W238" s="130" t="s">
        <v>1925</v>
      </c>
      <c r="X238" s="134"/>
      <c r="Y238" s="135" t="str">
        <f>VLOOKUP(J238,[1]TARIKANMYSAP!$H$2:$K$1013,4,FALSE)</f>
        <v>#ERROR!</v>
      </c>
      <c r="Z238" s="136" t="str">
        <f t="shared" si="5"/>
        <v>PE25-236</v>
      </c>
      <c r="AA238" s="137"/>
      <c r="AB238" s="137"/>
    </row>
    <row r="239" ht="12.0" customHeight="1">
      <c r="A239" s="111"/>
      <c r="F239" s="123">
        <f t="shared" si="8"/>
        <v>238</v>
      </c>
      <c r="G239" s="124" t="s">
        <v>2492</v>
      </c>
      <c r="H239" s="125" t="s">
        <v>2378</v>
      </c>
      <c r="I239" s="155">
        <f t="shared" si="19"/>
        <v>237</v>
      </c>
      <c r="J239" s="127" t="str">
        <f t="shared" si="1"/>
        <v>PE25-237</v>
      </c>
      <c r="K239" s="153">
        <v>45912.0</v>
      </c>
      <c r="L239" s="129"/>
      <c r="M239" s="129" t="s">
        <v>946</v>
      </c>
      <c r="N239" s="124" t="s">
        <v>1745</v>
      </c>
      <c r="O239" s="124" t="s">
        <v>2379</v>
      </c>
      <c r="P239" s="130" t="s">
        <v>2498</v>
      </c>
      <c r="Q239" s="131">
        <v>4.48E7</v>
      </c>
      <c r="R239" s="132"/>
      <c r="S239" s="132">
        <f t="shared" si="2"/>
        <v>44800000</v>
      </c>
      <c r="T239" s="133">
        <f t="shared" si="3"/>
        <v>4928000</v>
      </c>
      <c r="U239" s="132">
        <f t="shared" si="4"/>
        <v>49728000</v>
      </c>
      <c r="V239" s="130"/>
      <c r="W239" s="130" t="s">
        <v>1925</v>
      </c>
      <c r="X239" s="134"/>
      <c r="Y239" s="135" t="str">
        <f>VLOOKUP(J239,[1]TARIKANMYSAP!$H$2:$K$1013,4,FALSE)</f>
        <v>#ERROR!</v>
      </c>
      <c r="Z239" s="136" t="str">
        <f t="shared" si="5"/>
        <v>PE25-237</v>
      </c>
      <c r="AA239" s="137"/>
      <c r="AB239" s="137"/>
    </row>
    <row r="240" ht="12.0" customHeight="1">
      <c r="A240" s="111"/>
      <c r="F240" s="123">
        <f t="shared" si="8"/>
        <v>239</v>
      </c>
      <c r="G240" s="124" t="s">
        <v>2492</v>
      </c>
      <c r="H240" s="125" t="s">
        <v>2378</v>
      </c>
      <c r="I240" s="155">
        <f t="shared" si="19"/>
        <v>238</v>
      </c>
      <c r="J240" s="127" t="str">
        <f t="shared" si="1"/>
        <v>PE25-238</v>
      </c>
      <c r="K240" s="153">
        <v>45912.0</v>
      </c>
      <c r="L240" s="129"/>
      <c r="M240" s="129" t="s">
        <v>949</v>
      </c>
      <c r="N240" s="124" t="s">
        <v>1745</v>
      </c>
      <c r="O240" s="124" t="s">
        <v>2379</v>
      </c>
      <c r="P240" s="130" t="s">
        <v>950</v>
      </c>
      <c r="Q240" s="131">
        <v>3.64E7</v>
      </c>
      <c r="R240" s="132"/>
      <c r="S240" s="132">
        <f t="shared" si="2"/>
        <v>36400000</v>
      </c>
      <c r="T240" s="133">
        <f t="shared" si="3"/>
        <v>4004000</v>
      </c>
      <c r="U240" s="132">
        <f t="shared" si="4"/>
        <v>40404000</v>
      </c>
      <c r="V240" s="130"/>
      <c r="W240" s="124" t="s">
        <v>1925</v>
      </c>
      <c r="X240" s="134"/>
      <c r="Y240" s="135" t="str">
        <f>VLOOKUP(J240,[1]TARIKANMYSAP!$H$2:$K$1013,4,FALSE)</f>
        <v>#ERROR!</v>
      </c>
      <c r="Z240" s="136" t="str">
        <f t="shared" si="5"/>
        <v>PE25-238</v>
      </c>
      <c r="AA240" s="137"/>
      <c r="AB240" s="157"/>
    </row>
    <row r="241" ht="12.0" customHeight="1">
      <c r="A241" s="111"/>
      <c r="F241" s="123">
        <f t="shared" si="8"/>
        <v>240</v>
      </c>
      <c r="G241" s="124" t="s">
        <v>2492</v>
      </c>
      <c r="H241" s="125" t="s">
        <v>2378</v>
      </c>
      <c r="I241" s="155">
        <f t="shared" si="19"/>
        <v>239</v>
      </c>
      <c r="J241" s="127" t="str">
        <f t="shared" si="1"/>
        <v>PE25-239</v>
      </c>
      <c r="K241" s="153">
        <v>45912.0</v>
      </c>
      <c r="L241" s="129"/>
      <c r="M241" s="129" t="s">
        <v>954</v>
      </c>
      <c r="N241" s="124" t="s">
        <v>1745</v>
      </c>
      <c r="O241" s="124" t="s">
        <v>2379</v>
      </c>
      <c r="P241" s="130" t="s">
        <v>955</v>
      </c>
      <c r="Q241" s="131">
        <v>1.32199034E8</v>
      </c>
      <c r="R241" s="132"/>
      <c r="S241" s="132">
        <f t="shared" si="2"/>
        <v>132199034</v>
      </c>
      <c r="T241" s="133">
        <f t="shared" si="3"/>
        <v>14541893.74</v>
      </c>
      <c r="U241" s="132">
        <f t="shared" si="4"/>
        <v>146740927.7</v>
      </c>
      <c r="V241" s="130"/>
      <c r="W241" s="130" t="s">
        <v>1925</v>
      </c>
      <c r="X241" s="134"/>
      <c r="Y241" s="135" t="str">
        <f>VLOOKUP(J241,[1]TARIKANMYSAP!$H$2:$K$1013,4,FALSE)</f>
        <v>#ERROR!</v>
      </c>
      <c r="Z241" s="136" t="str">
        <f t="shared" si="5"/>
        <v>PE25-239</v>
      </c>
      <c r="AA241" s="137"/>
      <c r="AB241" s="157"/>
    </row>
    <row r="242" ht="12.0" customHeight="1">
      <c r="A242" s="111"/>
      <c r="F242" s="123">
        <f t="shared" si="8"/>
        <v>241</v>
      </c>
      <c r="G242" s="124" t="s">
        <v>2492</v>
      </c>
      <c r="H242" s="125" t="s">
        <v>2378</v>
      </c>
      <c r="I242" s="155">
        <f t="shared" si="19"/>
        <v>240</v>
      </c>
      <c r="J242" s="127" t="str">
        <f t="shared" si="1"/>
        <v>PE25-240</v>
      </c>
      <c r="K242" s="153">
        <v>45912.0</v>
      </c>
      <c r="L242" s="129"/>
      <c r="M242" s="129" t="s">
        <v>2387</v>
      </c>
      <c r="N242" s="124" t="s">
        <v>1745</v>
      </c>
      <c r="O242" s="124"/>
      <c r="P242" s="130" t="s">
        <v>959</v>
      </c>
      <c r="Q242" s="131">
        <v>8303750.0</v>
      </c>
      <c r="R242" s="132"/>
      <c r="S242" s="132">
        <f t="shared" si="2"/>
        <v>8303750</v>
      </c>
      <c r="T242" s="133">
        <f t="shared" si="3"/>
        <v>913412.5</v>
      </c>
      <c r="U242" s="132">
        <f t="shared" si="4"/>
        <v>9217162.5</v>
      </c>
      <c r="V242" s="130"/>
      <c r="W242" s="130" t="s">
        <v>2395</v>
      </c>
      <c r="X242" s="134"/>
      <c r="Y242" s="135" t="str">
        <f>VLOOKUP(J242,[1]TARIKANMYSAP!$H$2:$K$1013,4,FALSE)</f>
        <v>#ERROR!</v>
      </c>
      <c r="Z242" s="136" t="str">
        <f t="shared" si="5"/>
        <v>PE25-240</v>
      </c>
      <c r="AA242" s="137"/>
      <c r="AB242" s="137"/>
    </row>
    <row r="243" ht="12.0" customHeight="1">
      <c r="A243" s="111"/>
      <c r="F243" s="123">
        <f t="shared" si="8"/>
        <v>242</v>
      </c>
      <c r="G243" s="124" t="s">
        <v>2492</v>
      </c>
      <c r="H243" s="125" t="s">
        <v>2378</v>
      </c>
      <c r="I243" s="155">
        <f t="shared" si="19"/>
        <v>241</v>
      </c>
      <c r="J243" s="127" t="str">
        <f t="shared" si="1"/>
        <v>PE25-241</v>
      </c>
      <c r="K243" s="153">
        <v>45917.0</v>
      </c>
      <c r="L243" s="129"/>
      <c r="M243" s="129" t="s">
        <v>963</v>
      </c>
      <c r="N243" s="124" t="s">
        <v>1745</v>
      </c>
      <c r="O243" s="124"/>
      <c r="P243" s="130" t="s">
        <v>964</v>
      </c>
      <c r="Q243" s="131">
        <v>1.0863429E9</v>
      </c>
      <c r="R243" s="132">
        <f>Q243*10%</f>
        <v>108634290</v>
      </c>
      <c r="S243" s="158">
        <f t="shared" si="2"/>
        <v>1194977190</v>
      </c>
      <c r="T243" s="159">
        <f t="shared" si="3"/>
        <v>131447490.9</v>
      </c>
      <c r="U243" s="158">
        <f t="shared" si="4"/>
        <v>1326424681</v>
      </c>
      <c r="V243" s="78"/>
      <c r="W243" s="130" t="s">
        <v>1764</v>
      </c>
      <c r="X243" s="134"/>
      <c r="Y243" s="135" t="str">
        <f>VLOOKUP(J243,[1]TARIKANMYSAP!$H$2:$K$1013,4,FALSE)</f>
        <v>#ERROR!</v>
      </c>
      <c r="Z243" s="136" t="str">
        <f t="shared" si="5"/>
        <v>PE25-241</v>
      </c>
      <c r="AA243" s="137"/>
      <c r="AB243" s="137"/>
    </row>
    <row r="244" ht="12.0" customHeight="1">
      <c r="A244" s="111"/>
      <c r="F244" s="123">
        <f t="shared" si="8"/>
        <v>243</v>
      </c>
      <c r="G244" s="124" t="s">
        <v>2492</v>
      </c>
      <c r="H244" s="125" t="s">
        <v>2378</v>
      </c>
      <c r="I244" s="155">
        <f t="shared" si="19"/>
        <v>242</v>
      </c>
      <c r="J244" s="127" t="str">
        <f t="shared" si="1"/>
        <v>PE25-242</v>
      </c>
      <c r="K244" s="153">
        <v>45918.0</v>
      </c>
      <c r="L244" s="129"/>
      <c r="M244" s="129" t="s">
        <v>597</v>
      </c>
      <c r="N244" s="124" t="s">
        <v>1745</v>
      </c>
      <c r="O244" s="124"/>
      <c r="P244" s="130" t="s">
        <v>969</v>
      </c>
      <c r="Q244" s="131">
        <v>4.9607E7</v>
      </c>
      <c r="R244" s="132"/>
      <c r="S244" s="158">
        <f t="shared" si="2"/>
        <v>49607000</v>
      </c>
      <c r="T244" s="159">
        <f t="shared" si="3"/>
        <v>5456770</v>
      </c>
      <c r="U244" s="158">
        <f t="shared" si="4"/>
        <v>55063770</v>
      </c>
      <c r="V244" s="130"/>
      <c r="W244" s="130" t="s">
        <v>1780</v>
      </c>
      <c r="X244" s="134"/>
      <c r="Y244" s="135" t="str">
        <f>VLOOKUP(J244,[1]TARIKANMYSAP!$H$2:$K$1013,4,FALSE)</f>
        <v>#ERROR!</v>
      </c>
      <c r="Z244" s="136" t="str">
        <f t="shared" si="5"/>
        <v>PE25-242</v>
      </c>
      <c r="AA244" s="137"/>
      <c r="AB244" s="137"/>
    </row>
    <row r="245" ht="12.0" customHeight="1">
      <c r="A245" s="111"/>
      <c r="F245" s="123">
        <f t="shared" si="8"/>
        <v>244</v>
      </c>
      <c r="G245" s="124" t="s">
        <v>2492</v>
      </c>
      <c r="H245" s="125" t="s">
        <v>2378</v>
      </c>
      <c r="I245" s="155">
        <f t="shared" si="19"/>
        <v>243</v>
      </c>
      <c r="J245" s="127" t="str">
        <f t="shared" si="1"/>
        <v>PE25-243</v>
      </c>
      <c r="K245" s="153">
        <v>45922.0</v>
      </c>
      <c r="L245" s="129"/>
      <c r="M245" s="129" t="s">
        <v>418</v>
      </c>
      <c r="N245" s="124" t="s">
        <v>1745</v>
      </c>
      <c r="O245" s="124"/>
      <c r="P245" s="130" t="s">
        <v>2499</v>
      </c>
      <c r="Q245" s="131">
        <v>1.77650713E8</v>
      </c>
      <c r="R245" s="132">
        <f>Q245*8.5%</f>
        <v>15100310.61</v>
      </c>
      <c r="S245" s="158">
        <f t="shared" si="2"/>
        <v>192751023.6</v>
      </c>
      <c r="T245" s="159">
        <f t="shared" si="3"/>
        <v>21202612.6</v>
      </c>
      <c r="U245" s="158">
        <f t="shared" si="4"/>
        <v>213953636.2</v>
      </c>
      <c r="V245" s="130"/>
      <c r="W245" s="130" t="s">
        <v>1747</v>
      </c>
      <c r="X245" s="134"/>
      <c r="Y245" s="135" t="str">
        <f>VLOOKUP(J245,[1]TARIKANMYSAP!$H$2:$K$1013,4,FALSE)</f>
        <v>#ERROR!</v>
      </c>
      <c r="Z245" s="136" t="str">
        <f t="shared" si="5"/>
        <v>PE25-243</v>
      </c>
      <c r="AA245" s="137"/>
      <c r="AB245" s="137"/>
    </row>
    <row r="246" ht="12.0" customHeight="1">
      <c r="A246" s="111"/>
      <c r="F246" s="123">
        <f t="shared" si="8"/>
        <v>245</v>
      </c>
      <c r="G246" s="124" t="s">
        <v>2492</v>
      </c>
      <c r="H246" s="125" t="s">
        <v>2378</v>
      </c>
      <c r="I246" s="155">
        <f t="shared" si="19"/>
        <v>244</v>
      </c>
      <c r="J246" s="127" t="str">
        <f t="shared" si="1"/>
        <v>PE25-244</v>
      </c>
      <c r="K246" s="153">
        <v>45922.0</v>
      </c>
      <c r="L246" s="129"/>
      <c r="M246" s="129" t="s">
        <v>978</v>
      </c>
      <c r="N246" s="124" t="s">
        <v>1745</v>
      </c>
      <c r="O246" s="124"/>
      <c r="P246" s="130" t="s">
        <v>2500</v>
      </c>
      <c r="Q246" s="131">
        <v>1.82901671E8</v>
      </c>
      <c r="R246" s="132">
        <f>Q246*7%</f>
        <v>12803116.97</v>
      </c>
      <c r="S246" s="132">
        <f t="shared" si="2"/>
        <v>195704788</v>
      </c>
      <c r="T246" s="133">
        <f t="shared" si="3"/>
        <v>21527526.68</v>
      </c>
      <c r="U246" s="132">
        <f t="shared" si="4"/>
        <v>217232314.6</v>
      </c>
      <c r="V246" s="130"/>
      <c r="W246" s="130" t="s">
        <v>1764</v>
      </c>
      <c r="X246" s="134"/>
      <c r="Y246" s="135" t="str">
        <f>VLOOKUP(J246,[1]TARIKANMYSAP!$H$2:$K$1013,4,FALSE)</f>
        <v>#ERROR!</v>
      </c>
      <c r="Z246" s="136" t="str">
        <f t="shared" si="5"/>
        <v>PE25-244</v>
      </c>
      <c r="AA246" s="137"/>
      <c r="AB246" s="137"/>
    </row>
    <row r="247" ht="12.0" customHeight="1">
      <c r="A247" s="111"/>
      <c r="F247" s="123">
        <f t="shared" si="8"/>
        <v>246</v>
      </c>
      <c r="G247" s="124" t="s">
        <v>2492</v>
      </c>
      <c r="H247" s="125" t="s">
        <v>2378</v>
      </c>
      <c r="I247" s="155">
        <f t="shared" si="19"/>
        <v>245</v>
      </c>
      <c r="J247" s="127" t="str">
        <f t="shared" si="1"/>
        <v>PE25-245</v>
      </c>
      <c r="K247" s="153">
        <v>45922.0</v>
      </c>
      <c r="L247" s="129"/>
      <c r="M247" s="129" t="s">
        <v>2387</v>
      </c>
      <c r="N247" s="124" t="s">
        <v>1745</v>
      </c>
      <c r="O247" s="124"/>
      <c r="P247" s="130" t="s">
        <v>983</v>
      </c>
      <c r="Q247" s="131">
        <v>4500000.0</v>
      </c>
      <c r="R247" s="132">
        <f>Q247*7.6%</f>
        <v>342000</v>
      </c>
      <c r="S247" s="132">
        <f t="shared" si="2"/>
        <v>4842000</v>
      </c>
      <c r="T247" s="133">
        <f t="shared" si="3"/>
        <v>532620</v>
      </c>
      <c r="U247" s="132">
        <f t="shared" si="4"/>
        <v>5374620</v>
      </c>
      <c r="V247" s="130"/>
      <c r="W247" s="130" t="s">
        <v>2395</v>
      </c>
      <c r="X247" s="134"/>
      <c r="Y247" s="135" t="str">
        <f>VLOOKUP(J247,[1]TARIKANMYSAP!$H$2:$K$1013,4,FALSE)</f>
        <v>#ERROR!</v>
      </c>
      <c r="Z247" s="136" t="str">
        <f t="shared" si="5"/>
        <v>PE25-245</v>
      </c>
      <c r="AA247" s="137"/>
      <c r="AB247" s="137"/>
    </row>
    <row r="248" ht="12.0" customHeight="1">
      <c r="A248" s="111"/>
      <c r="F248" s="123">
        <f t="shared" si="8"/>
        <v>247</v>
      </c>
      <c r="G248" s="124" t="s">
        <v>2492</v>
      </c>
      <c r="H248" s="125" t="s">
        <v>2378</v>
      </c>
      <c r="I248" s="155">
        <f t="shared" si="19"/>
        <v>246</v>
      </c>
      <c r="J248" s="127" t="str">
        <f t="shared" si="1"/>
        <v>PE25-246</v>
      </c>
      <c r="K248" s="153">
        <v>45925.0</v>
      </c>
      <c r="L248" s="129"/>
      <c r="M248" s="129" t="s">
        <v>184</v>
      </c>
      <c r="N248" s="124" t="s">
        <v>1745</v>
      </c>
      <c r="O248" s="124"/>
      <c r="P248" s="130" t="s">
        <v>987</v>
      </c>
      <c r="Q248" s="131">
        <v>3.562E7</v>
      </c>
      <c r="R248" s="132"/>
      <c r="S248" s="132">
        <f t="shared" si="2"/>
        <v>35620000</v>
      </c>
      <c r="T248" s="133">
        <f t="shared" si="3"/>
        <v>3918200</v>
      </c>
      <c r="U248" s="132">
        <f t="shared" si="4"/>
        <v>39538200</v>
      </c>
      <c r="V248" s="130"/>
      <c r="W248" s="130" t="s">
        <v>1780</v>
      </c>
      <c r="X248" s="134"/>
      <c r="Y248" s="135" t="str">
        <f>VLOOKUP(J248,[1]TARIKANMYSAP!$H$2:$K$1013,4,FALSE)</f>
        <v>#ERROR!</v>
      </c>
      <c r="Z248" s="136" t="str">
        <f t="shared" si="5"/>
        <v>PE25-246</v>
      </c>
      <c r="AA248" s="137"/>
      <c r="AB248" s="137"/>
    </row>
    <row r="249" ht="12.0" customHeight="1">
      <c r="A249" s="111"/>
      <c r="F249" s="123">
        <f t="shared" si="8"/>
        <v>248</v>
      </c>
      <c r="G249" s="124" t="s">
        <v>2492</v>
      </c>
      <c r="H249" s="125" t="s">
        <v>2378</v>
      </c>
      <c r="I249" s="155">
        <f t="shared" si="19"/>
        <v>247</v>
      </c>
      <c r="J249" s="127" t="str">
        <f t="shared" si="1"/>
        <v>PE25-247</v>
      </c>
      <c r="K249" s="153">
        <v>45929.0</v>
      </c>
      <c r="L249" s="129"/>
      <c r="M249" s="129" t="s">
        <v>2387</v>
      </c>
      <c r="N249" s="124" t="s">
        <v>1745</v>
      </c>
      <c r="O249" s="124"/>
      <c r="P249" s="130" t="s">
        <v>992</v>
      </c>
      <c r="Q249" s="131">
        <v>1.0884071E7</v>
      </c>
      <c r="R249" s="132">
        <f>Q249*7.5%</f>
        <v>816305.325</v>
      </c>
      <c r="S249" s="132">
        <f t="shared" si="2"/>
        <v>11700376.33</v>
      </c>
      <c r="T249" s="133">
        <f t="shared" si="3"/>
        <v>1287041.396</v>
      </c>
      <c r="U249" s="132">
        <f t="shared" si="4"/>
        <v>12987417.72</v>
      </c>
      <c r="V249" s="130"/>
      <c r="W249" s="130" t="s">
        <v>2388</v>
      </c>
      <c r="X249" s="134"/>
      <c r="Y249" s="135" t="str">
        <f>VLOOKUP(J249,[1]TARIKANMYSAP!$H$2:$K$1013,4,FALSE)</f>
        <v>#ERROR!</v>
      </c>
      <c r="Z249" s="136" t="str">
        <f t="shared" si="5"/>
        <v>PE25-247</v>
      </c>
      <c r="AA249" s="137"/>
      <c r="AB249" s="137"/>
    </row>
    <row r="250" ht="12.0" customHeight="1">
      <c r="A250" s="111"/>
      <c r="F250" s="123">
        <f t="shared" si="8"/>
        <v>249</v>
      </c>
      <c r="G250" s="124" t="s">
        <v>2492</v>
      </c>
      <c r="H250" s="125" t="s">
        <v>2378</v>
      </c>
      <c r="I250" s="155">
        <f t="shared" si="19"/>
        <v>248</v>
      </c>
      <c r="J250" s="127" t="str">
        <f t="shared" si="1"/>
        <v>PE25-248</v>
      </c>
      <c r="K250" s="153">
        <v>45929.0</v>
      </c>
      <c r="L250" s="129"/>
      <c r="M250" s="129" t="s">
        <v>2387</v>
      </c>
      <c r="N250" s="124" t="s">
        <v>1745</v>
      </c>
      <c r="O250" s="124"/>
      <c r="P250" s="130" t="s">
        <v>994</v>
      </c>
      <c r="Q250" s="131">
        <v>8550000.0</v>
      </c>
      <c r="R250" s="132"/>
      <c r="S250" s="132">
        <f t="shared" si="2"/>
        <v>8550000</v>
      </c>
      <c r="T250" s="133">
        <f t="shared" si="3"/>
        <v>940500</v>
      </c>
      <c r="U250" s="132">
        <f t="shared" si="4"/>
        <v>9490500</v>
      </c>
      <c r="V250" s="156"/>
      <c r="W250" s="130" t="s">
        <v>2388</v>
      </c>
      <c r="X250" s="134"/>
      <c r="Y250" s="135" t="str">
        <f>VLOOKUP(J250,[1]TARIKANMYSAP!$H$2:$K$1013,4,FALSE)</f>
        <v>#ERROR!</v>
      </c>
      <c r="Z250" s="136" t="str">
        <f t="shared" si="5"/>
        <v>PE25-248</v>
      </c>
      <c r="AA250" s="137"/>
      <c r="AB250" s="137"/>
    </row>
    <row r="251" ht="12.0" customHeight="1">
      <c r="A251" s="111"/>
      <c r="F251" s="123">
        <f t="shared" si="8"/>
        <v>250</v>
      </c>
      <c r="G251" s="124" t="s">
        <v>2501</v>
      </c>
      <c r="H251" s="125" t="s">
        <v>2378</v>
      </c>
      <c r="I251" s="155">
        <f t="shared" si="19"/>
        <v>249</v>
      </c>
      <c r="J251" s="127" t="str">
        <f t="shared" si="1"/>
        <v>PE25-249</v>
      </c>
      <c r="K251" s="153">
        <v>45931.0</v>
      </c>
      <c r="L251" s="129"/>
      <c r="M251" s="129" t="s">
        <v>996</v>
      </c>
      <c r="N251" s="124" t="s">
        <v>1752</v>
      </c>
      <c r="O251" s="124"/>
      <c r="P251" s="130" t="s">
        <v>997</v>
      </c>
      <c r="Q251" s="131">
        <v>8163264.0</v>
      </c>
      <c r="R251" s="132">
        <f t="shared" ref="R251:R252" si="24">Q251*12%</f>
        <v>979591.68</v>
      </c>
      <c r="S251" s="132">
        <f t="shared" si="2"/>
        <v>9142855.68</v>
      </c>
      <c r="T251" s="133">
        <f t="shared" si="3"/>
        <v>1005714.125</v>
      </c>
      <c r="U251" s="132">
        <f t="shared" si="4"/>
        <v>10148569.8</v>
      </c>
      <c r="V251" s="130"/>
      <c r="W251" s="154" t="s">
        <v>1747</v>
      </c>
      <c r="X251" s="134"/>
      <c r="Y251" s="135" t="str">
        <f>VLOOKUP(J251,[1]TARIKANMYSAP!$H$2:$K$1013,4,FALSE)</f>
        <v>#ERROR!</v>
      </c>
      <c r="Z251" s="136" t="str">
        <f t="shared" si="5"/>
        <v>PE25-249</v>
      </c>
      <c r="AA251" s="137"/>
      <c r="AB251" s="137"/>
    </row>
    <row r="252" ht="12.0" customHeight="1">
      <c r="A252" s="111"/>
      <c r="F252" s="123">
        <f t="shared" si="8"/>
        <v>251</v>
      </c>
      <c r="G252" s="124" t="s">
        <v>2501</v>
      </c>
      <c r="H252" s="125" t="s">
        <v>2378</v>
      </c>
      <c r="I252" s="155">
        <f t="shared" si="19"/>
        <v>250</v>
      </c>
      <c r="J252" s="127" t="str">
        <f t="shared" si="1"/>
        <v>PE25-250</v>
      </c>
      <c r="K252" s="153">
        <v>45931.0</v>
      </c>
      <c r="L252" s="129"/>
      <c r="M252" s="129" t="s">
        <v>996</v>
      </c>
      <c r="N252" s="124" t="s">
        <v>1752</v>
      </c>
      <c r="O252" s="124"/>
      <c r="P252" s="130" t="s">
        <v>2502</v>
      </c>
      <c r="Q252" s="131">
        <v>3469386.0</v>
      </c>
      <c r="R252" s="132">
        <f t="shared" si="24"/>
        <v>416326.32</v>
      </c>
      <c r="S252" s="132">
        <f t="shared" si="2"/>
        <v>3885712.32</v>
      </c>
      <c r="T252" s="133">
        <f t="shared" si="3"/>
        <v>427428.3552</v>
      </c>
      <c r="U252" s="132">
        <f t="shared" si="4"/>
        <v>4313140.675</v>
      </c>
      <c r="V252" s="130"/>
      <c r="W252" s="130" t="s">
        <v>1747</v>
      </c>
      <c r="X252" s="134"/>
      <c r="Y252" s="135" t="str">
        <f>VLOOKUP(J252,[1]TARIKANMYSAP!$H$2:$K$1013,4,FALSE)</f>
        <v>#ERROR!</v>
      </c>
      <c r="Z252" s="136" t="str">
        <f t="shared" si="5"/>
        <v>PE25-250</v>
      </c>
      <c r="AA252" s="137"/>
      <c r="AB252" s="137"/>
    </row>
    <row r="253" ht="12.0" customHeight="1">
      <c r="A253" s="111"/>
      <c r="F253" s="123">
        <f t="shared" si="8"/>
        <v>252</v>
      </c>
      <c r="G253" s="124" t="s">
        <v>2501</v>
      </c>
      <c r="H253" s="125" t="s">
        <v>2378</v>
      </c>
      <c r="I253" s="155">
        <f t="shared" si="19"/>
        <v>251</v>
      </c>
      <c r="J253" s="127" t="str">
        <f t="shared" si="1"/>
        <v>PE25-251</v>
      </c>
      <c r="K253" s="153">
        <v>45931.0</v>
      </c>
      <c r="L253" s="129"/>
      <c r="M253" s="129" t="s">
        <v>2387</v>
      </c>
      <c r="N253" s="124" t="s">
        <v>1745</v>
      </c>
      <c r="O253" s="124"/>
      <c r="P253" s="130" t="s">
        <v>1004</v>
      </c>
      <c r="Q253" s="131">
        <v>2.3696996E7</v>
      </c>
      <c r="R253" s="132">
        <f>Q253*6.2%</f>
        <v>1469213.752</v>
      </c>
      <c r="S253" s="132">
        <f t="shared" si="2"/>
        <v>25166209.75</v>
      </c>
      <c r="T253" s="133">
        <f t="shared" si="3"/>
        <v>2768283.073</v>
      </c>
      <c r="U253" s="132">
        <f t="shared" si="4"/>
        <v>27934492.82</v>
      </c>
      <c r="V253" s="130"/>
      <c r="W253" s="130" t="s">
        <v>2388</v>
      </c>
      <c r="X253" s="134"/>
      <c r="Y253" s="135" t="str">
        <f>VLOOKUP(J253,[1]TARIKANMYSAP!$H$2:$K$1013,4,FALSE)</f>
        <v>#ERROR!</v>
      </c>
      <c r="Z253" s="136" t="str">
        <f t="shared" si="5"/>
        <v>PE25-251</v>
      </c>
      <c r="AA253" s="137"/>
      <c r="AB253" s="137"/>
    </row>
    <row r="254" ht="12.0" customHeight="1">
      <c r="A254" s="111"/>
      <c r="F254" s="123">
        <f t="shared" si="8"/>
        <v>253</v>
      </c>
      <c r="G254" s="124" t="s">
        <v>2501</v>
      </c>
      <c r="H254" s="125" t="s">
        <v>2378</v>
      </c>
      <c r="I254" s="155">
        <f t="shared" si="19"/>
        <v>252</v>
      </c>
      <c r="J254" s="127" t="str">
        <f t="shared" si="1"/>
        <v>PE25-252</v>
      </c>
      <c r="K254" s="153">
        <v>45931.0</v>
      </c>
      <c r="L254" s="129"/>
      <c r="M254" s="129" t="s">
        <v>217</v>
      </c>
      <c r="N254" s="124" t="s">
        <v>1745</v>
      </c>
      <c r="O254" s="124"/>
      <c r="P254" s="130" t="s">
        <v>1008</v>
      </c>
      <c r="Q254" s="131">
        <v>6.0E7</v>
      </c>
      <c r="R254" s="132">
        <f>Q254*7.5%</f>
        <v>4500000</v>
      </c>
      <c r="S254" s="132">
        <f t="shared" si="2"/>
        <v>64500000</v>
      </c>
      <c r="T254" s="133">
        <f t="shared" si="3"/>
        <v>7095000</v>
      </c>
      <c r="U254" s="132">
        <f t="shared" si="4"/>
        <v>71595000</v>
      </c>
      <c r="V254" s="130"/>
      <c r="W254" s="124" t="s">
        <v>1747</v>
      </c>
      <c r="X254" s="134"/>
      <c r="Y254" s="135" t="str">
        <f>VLOOKUP(J254,[1]TARIKANMYSAP!$H$2:$K$1013,4,FALSE)</f>
        <v>#ERROR!</v>
      </c>
      <c r="Z254" s="136" t="str">
        <f t="shared" si="5"/>
        <v>PE25-252</v>
      </c>
      <c r="AA254" s="137"/>
      <c r="AB254" s="137"/>
    </row>
    <row r="255" ht="12.0" customHeight="1">
      <c r="A255" s="111"/>
      <c r="F255" s="123">
        <f t="shared" si="8"/>
        <v>254</v>
      </c>
      <c r="G255" s="124" t="s">
        <v>2501</v>
      </c>
      <c r="H255" s="125" t="s">
        <v>2378</v>
      </c>
      <c r="I255" s="155">
        <f t="shared" si="19"/>
        <v>253</v>
      </c>
      <c r="J255" s="127" t="str">
        <f t="shared" si="1"/>
        <v>PE25-253</v>
      </c>
      <c r="K255" s="153">
        <v>45931.0</v>
      </c>
      <c r="L255" s="129"/>
      <c r="M255" s="129" t="s">
        <v>1010</v>
      </c>
      <c r="N255" s="124" t="s">
        <v>1745</v>
      </c>
      <c r="O255" s="124"/>
      <c r="P255" s="130" t="s">
        <v>1011</v>
      </c>
      <c r="Q255" s="131">
        <v>2.18296467E8</v>
      </c>
      <c r="R255" s="132">
        <f>Q255*8.5%</f>
        <v>18555199.7</v>
      </c>
      <c r="S255" s="132">
        <f t="shared" si="2"/>
        <v>236851666.7</v>
      </c>
      <c r="T255" s="133">
        <f t="shared" si="3"/>
        <v>26053683.34</v>
      </c>
      <c r="U255" s="132">
        <f t="shared" si="4"/>
        <v>262905350</v>
      </c>
      <c r="V255" s="130"/>
      <c r="W255" s="130" t="s">
        <v>1747</v>
      </c>
      <c r="X255" s="134"/>
      <c r="Y255" s="135" t="str">
        <f>VLOOKUP(J255,[1]TARIKANMYSAP!$H$2:$K$1013,4,FALSE)</f>
        <v>#ERROR!</v>
      </c>
      <c r="Z255" s="136" t="str">
        <f t="shared" si="5"/>
        <v>PE25-253</v>
      </c>
      <c r="AA255" s="137"/>
      <c r="AB255" s="137"/>
    </row>
    <row r="256" ht="12.0" customHeight="1">
      <c r="A256" s="111"/>
      <c r="F256" s="123">
        <f t="shared" si="8"/>
        <v>255</v>
      </c>
      <c r="G256" s="124" t="s">
        <v>2501</v>
      </c>
      <c r="H256" s="125" t="s">
        <v>2378</v>
      </c>
      <c r="I256" s="155">
        <f t="shared" si="19"/>
        <v>254</v>
      </c>
      <c r="J256" s="127" t="str">
        <f t="shared" si="1"/>
        <v>PE25-254</v>
      </c>
      <c r="K256" s="153">
        <v>45932.0</v>
      </c>
      <c r="L256" s="129"/>
      <c r="M256" s="129" t="s">
        <v>2387</v>
      </c>
      <c r="N256" s="124" t="s">
        <v>1745</v>
      </c>
      <c r="O256" s="124"/>
      <c r="P256" s="130" t="s">
        <v>1015</v>
      </c>
      <c r="Q256" s="131">
        <v>8303750.0</v>
      </c>
      <c r="R256" s="132"/>
      <c r="S256" s="132">
        <f t="shared" si="2"/>
        <v>8303750</v>
      </c>
      <c r="T256" s="133">
        <f t="shared" si="3"/>
        <v>913412.5</v>
      </c>
      <c r="U256" s="132">
        <f t="shared" si="4"/>
        <v>9217162.5</v>
      </c>
      <c r="V256" s="130"/>
      <c r="W256" s="130" t="s">
        <v>2395</v>
      </c>
      <c r="X256" s="134"/>
      <c r="Y256" s="135" t="str">
        <f>VLOOKUP(J256,[1]TARIKANMYSAP!$H$2:$K$1013,4,FALSE)</f>
        <v>#ERROR!</v>
      </c>
      <c r="Z256" s="136" t="str">
        <f t="shared" si="5"/>
        <v>PE25-254</v>
      </c>
      <c r="AA256" s="137"/>
      <c r="AB256" s="137"/>
    </row>
    <row r="257" ht="12.0" customHeight="1">
      <c r="A257" s="111"/>
      <c r="F257" s="123">
        <f t="shared" si="8"/>
        <v>256</v>
      </c>
      <c r="G257" s="124" t="s">
        <v>2501</v>
      </c>
      <c r="H257" s="125" t="s">
        <v>2378</v>
      </c>
      <c r="I257" s="155">
        <f t="shared" si="19"/>
        <v>255</v>
      </c>
      <c r="J257" s="127" t="str">
        <f t="shared" si="1"/>
        <v>PE25-255</v>
      </c>
      <c r="K257" s="153">
        <v>45932.0</v>
      </c>
      <c r="L257" s="129"/>
      <c r="M257" s="129" t="s">
        <v>94</v>
      </c>
      <c r="N257" s="124" t="s">
        <v>1745</v>
      </c>
      <c r="O257" s="124"/>
      <c r="P257" s="130" t="s">
        <v>1017</v>
      </c>
      <c r="Q257" s="131">
        <v>4.62E7</v>
      </c>
      <c r="R257" s="132">
        <v>4389000.0</v>
      </c>
      <c r="S257" s="132">
        <f t="shared" si="2"/>
        <v>50589000</v>
      </c>
      <c r="T257" s="133">
        <f t="shared" si="3"/>
        <v>5564790</v>
      </c>
      <c r="U257" s="132">
        <f t="shared" si="4"/>
        <v>56153790</v>
      </c>
      <c r="V257" s="130"/>
      <c r="W257" s="130" t="s">
        <v>1747</v>
      </c>
      <c r="X257" s="134"/>
      <c r="Y257" s="135" t="str">
        <f>VLOOKUP(J257,[1]TARIKANMYSAP!$H$2:$K$1013,4,FALSE)</f>
        <v>#ERROR!</v>
      </c>
      <c r="Z257" s="136" t="str">
        <f t="shared" si="5"/>
        <v>PE25-255</v>
      </c>
      <c r="AA257" s="137"/>
      <c r="AB257" s="137"/>
    </row>
    <row r="258" ht="12.0" customHeight="1">
      <c r="A258" s="111"/>
      <c r="F258" s="123">
        <f t="shared" si="8"/>
        <v>257</v>
      </c>
      <c r="G258" s="124" t="s">
        <v>2501</v>
      </c>
      <c r="H258" s="125" t="s">
        <v>2378</v>
      </c>
      <c r="I258" s="155">
        <f t="shared" si="19"/>
        <v>256</v>
      </c>
      <c r="J258" s="127" t="str">
        <f t="shared" si="1"/>
        <v>PE25-256</v>
      </c>
      <c r="K258" s="153">
        <v>45932.0</v>
      </c>
      <c r="L258" s="129"/>
      <c r="M258" s="129" t="s">
        <v>33</v>
      </c>
      <c r="N258" s="124" t="s">
        <v>1752</v>
      </c>
      <c r="O258" s="124"/>
      <c r="P258" s="130" t="s">
        <v>2503</v>
      </c>
      <c r="Q258" s="131">
        <v>5204079.0</v>
      </c>
      <c r="R258" s="132">
        <f>Q258*12%</f>
        <v>624489.48</v>
      </c>
      <c r="S258" s="132">
        <f t="shared" si="2"/>
        <v>5828568.48</v>
      </c>
      <c r="T258" s="133">
        <f t="shared" si="3"/>
        <v>641142.5328</v>
      </c>
      <c r="U258" s="132">
        <f t="shared" si="4"/>
        <v>6469711.013</v>
      </c>
      <c r="V258" s="130"/>
      <c r="W258" s="154" t="s">
        <v>1747</v>
      </c>
      <c r="X258" s="134"/>
      <c r="Y258" s="135" t="str">
        <f>VLOOKUP(J258,[1]TARIKANMYSAP!$H$2:$K$1013,4,FALSE)</f>
        <v>#ERROR!</v>
      </c>
      <c r="Z258" s="136" t="str">
        <f t="shared" si="5"/>
        <v>PE25-256</v>
      </c>
      <c r="AA258" s="137"/>
      <c r="AB258" s="137"/>
    </row>
    <row r="259" ht="12.0" customHeight="1">
      <c r="A259" s="111"/>
      <c r="F259" s="123">
        <f t="shared" si="8"/>
        <v>258</v>
      </c>
      <c r="G259" s="124" t="s">
        <v>2501</v>
      </c>
      <c r="H259" s="125" t="s">
        <v>2378</v>
      </c>
      <c r="I259" s="155">
        <f t="shared" si="19"/>
        <v>257</v>
      </c>
      <c r="J259" s="127" t="str">
        <f t="shared" si="1"/>
        <v>PE25-257</v>
      </c>
      <c r="K259" s="153">
        <v>45932.0</v>
      </c>
      <c r="L259" s="129"/>
      <c r="M259" s="129" t="s">
        <v>2387</v>
      </c>
      <c r="N259" s="124" t="s">
        <v>1745</v>
      </c>
      <c r="O259" s="124"/>
      <c r="P259" s="130" t="s">
        <v>1024</v>
      </c>
      <c r="Q259" s="131">
        <v>7392000.0</v>
      </c>
      <c r="R259" s="132"/>
      <c r="S259" s="132">
        <f t="shared" si="2"/>
        <v>7392000</v>
      </c>
      <c r="T259" s="133">
        <f t="shared" si="3"/>
        <v>813120</v>
      </c>
      <c r="U259" s="132">
        <f t="shared" si="4"/>
        <v>8205120</v>
      </c>
      <c r="V259" s="130"/>
      <c r="W259" s="130" t="s">
        <v>2388</v>
      </c>
      <c r="X259" s="134"/>
      <c r="Y259" s="135" t="str">
        <f>VLOOKUP(J259,[1]TARIKANMYSAP!$H$2:$K$1013,4,FALSE)</f>
        <v>#ERROR!</v>
      </c>
      <c r="Z259" s="136" t="str">
        <f t="shared" si="5"/>
        <v>PE25-257</v>
      </c>
      <c r="AA259" s="137"/>
      <c r="AB259" s="137"/>
    </row>
    <row r="260" ht="12.0" customHeight="1">
      <c r="A260" s="111"/>
      <c r="F260" s="123">
        <f t="shared" si="8"/>
        <v>259</v>
      </c>
      <c r="G260" s="124" t="s">
        <v>2501</v>
      </c>
      <c r="H260" s="125" t="s">
        <v>2378</v>
      </c>
      <c r="I260" s="155">
        <f t="shared" si="19"/>
        <v>258</v>
      </c>
      <c r="J260" s="127" t="str">
        <f t="shared" si="1"/>
        <v>PE25-258</v>
      </c>
      <c r="K260" s="153">
        <v>45932.0</v>
      </c>
      <c r="L260" s="129"/>
      <c r="M260" s="129" t="s">
        <v>708</v>
      </c>
      <c r="N260" s="124" t="s">
        <v>1745</v>
      </c>
      <c r="O260" s="124"/>
      <c r="P260" s="130" t="s">
        <v>1026</v>
      </c>
      <c r="Q260" s="131">
        <v>4.66854E7</v>
      </c>
      <c r="R260" s="132"/>
      <c r="S260" s="132">
        <f t="shared" si="2"/>
        <v>46685400</v>
      </c>
      <c r="T260" s="133">
        <f t="shared" si="3"/>
        <v>5135394</v>
      </c>
      <c r="U260" s="132">
        <f t="shared" si="4"/>
        <v>51820794</v>
      </c>
      <c r="V260" s="130"/>
      <c r="W260" s="130" t="s">
        <v>1780</v>
      </c>
      <c r="X260" s="134"/>
      <c r="Y260" s="135" t="str">
        <f>VLOOKUP(J260,[1]TARIKANMYSAP!$H$2:$K$1013,4,FALSE)</f>
        <v>#ERROR!</v>
      </c>
      <c r="Z260" s="136" t="str">
        <f t="shared" si="5"/>
        <v>PE25-258</v>
      </c>
      <c r="AA260" s="137"/>
      <c r="AB260" s="137"/>
    </row>
    <row r="261" ht="12.0" customHeight="1">
      <c r="A261" s="111"/>
      <c r="F261" s="123">
        <f t="shared" si="8"/>
        <v>260</v>
      </c>
      <c r="G261" s="124" t="s">
        <v>2501</v>
      </c>
      <c r="H261" s="125" t="s">
        <v>2378</v>
      </c>
      <c r="I261" s="155">
        <f t="shared" si="19"/>
        <v>259</v>
      </c>
      <c r="J261" s="127" t="str">
        <f t="shared" si="1"/>
        <v>PE25-259</v>
      </c>
      <c r="K261" s="153">
        <v>45932.0</v>
      </c>
      <c r="L261" s="129"/>
      <c r="M261" s="129" t="s">
        <v>1030</v>
      </c>
      <c r="N261" s="124" t="s">
        <v>1745</v>
      </c>
      <c r="O261" s="124"/>
      <c r="P261" s="130" t="s">
        <v>2504</v>
      </c>
      <c r="Q261" s="131">
        <v>8.8962159E7</v>
      </c>
      <c r="R261" s="132">
        <f>Q261*8.5%</f>
        <v>7561783.515</v>
      </c>
      <c r="S261" s="132">
        <f t="shared" si="2"/>
        <v>96523942.52</v>
      </c>
      <c r="T261" s="133">
        <f t="shared" si="3"/>
        <v>10617633.68</v>
      </c>
      <c r="U261" s="132">
        <f t="shared" si="4"/>
        <v>107141576.2</v>
      </c>
      <c r="V261" s="130"/>
      <c r="W261" s="130" t="s">
        <v>1747</v>
      </c>
      <c r="X261" s="134"/>
      <c r="Y261" s="135" t="str">
        <f>VLOOKUP(J261,[1]TARIKANMYSAP!$H$2:$K$1013,4,FALSE)</f>
        <v>#ERROR!</v>
      </c>
      <c r="Z261" s="136" t="str">
        <f t="shared" si="5"/>
        <v>PE25-259</v>
      </c>
      <c r="AA261" s="137"/>
      <c r="AB261" s="137"/>
    </row>
    <row r="262" ht="12.0" customHeight="1">
      <c r="A262" s="111"/>
      <c r="F262" s="123">
        <f t="shared" si="8"/>
        <v>261</v>
      </c>
      <c r="G262" s="124" t="s">
        <v>2501</v>
      </c>
      <c r="H262" s="125" t="s">
        <v>2378</v>
      </c>
      <c r="I262" s="155">
        <f t="shared" si="19"/>
        <v>260</v>
      </c>
      <c r="J262" s="127" t="str">
        <f t="shared" si="1"/>
        <v>PE25-260</v>
      </c>
      <c r="K262" s="153">
        <v>45936.0</v>
      </c>
      <c r="L262" s="129"/>
      <c r="M262" s="129" t="s">
        <v>99</v>
      </c>
      <c r="N262" s="124" t="s">
        <v>1745</v>
      </c>
      <c r="O262" s="124"/>
      <c r="P262" s="130" t="s">
        <v>1035</v>
      </c>
      <c r="Q262" s="131">
        <v>9599856.0</v>
      </c>
      <c r="R262" s="132"/>
      <c r="S262" s="132">
        <f t="shared" si="2"/>
        <v>9599856</v>
      </c>
      <c r="T262" s="133">
        <f t="shared" si="3"/>
        <v>1055984.16</v>
      </c>
      <c r="U262" s="132">
        <f t="shared" si="4"/>
        <v>10655840.16</v>
      </c>
      <c r="V262" s="130"/>
      <c r="W262" s="130" t="s">
        <v>2495</v>
      </c>
      <c r="X262" s="134"/>
      <c r="Y262" s="135" t="str">
        <f>VLOOKUP(J262,[1]TARIKANMYSAP!$H$2:$K$1013,4,FALSE)</f>
        <v>#ERROR!</v>
      </c>
      <c r="Z262" s="136" t="str">
        <f t="shared" si="5"/>
        <v>PE25-260</v>
      </c>
      <c r="AA262" s="137"/>
      <c r="AB262" s="137"/>
    </row>
    <row r="263" ht="12.0" customHeight="1">
      <c r="A263" s="111"/>
      <c r="F263" s="123">
        <f t="shared" si="8"/>
        <v>262</v>
      </c>
      <c r="G263" s="124"/>
      <c r="H263" s="125" t="s">
        <v>2378</v>
      </c>
      <c r="I263" s="155">
        <f t="shared" si="19"/>
        <v>261</v>
      </c>
      <c r="J263" s="127" t="str">
        <f t="shared" si="1"/>
        <v>PE25-261</v>
      </c>
      <c r="K263" s="153">
        <v>45937.0</v>
      </c>
      <c r="L263" s="129"/>
      <c r="M263" s="129" t="s">
        <v>614</v>
      </c>
      <c r="N263" s="124" t="s">
        <v>1745</v>
      </c>
      <c r="O263" s="124"/>
      <c r="P263" s="130" t="s">
        <v>1039</v>
      </c>
      <c r="Q263" s="131">
        <v>1.83296037E8</v>
      </c>
      <c r="R263" s="132">
        <f t="shared" ref="R263:R264" si="25">Q263*9%</f>
        <v>16496643.33</v>
      </c>
      <c r="S263" s="132">
        <f t="shared" si="2"/>
        <v>199792680.3</v>
      </c>
      <c r="T263" s="133">
        <f t="shared" si="3"/>
        <v>21977194.84</v>
      </c>
      <c r="U263" s="132">
        <f t="shared" si="4"/>
        <v>221769875.2</v>
      </c>
      <c r="V263" s="130"/>
      <c r="W263" s="130" t="s">
        <v>1764</v>
      </c>
      <c r="X263" s="134"/>
      <c r="Y263" s="135" t="str">
        <f>VLOOKUP(J263,[1]TARIKANMYSAP!$H$2:$K$1013,4,FALSE)</f>
        <v>#ERROR!</v>
      </c>
      <c r="Z263" s="136" t="str">
        <f t="shared" si="5"/>
        <v>PE25-261</v>
      </c>
      <c r="AA263" s="137"/>
      <c r="AB263" s="137"/>
    </row>
    <row r="264" ht="12.0" customHeight="1">
      <c r="A264" s="111"/>
      <c r="F264" s="123">
        <f t="shared" si="8"/>
        <v>263</v>
      </c>
      <c r="G264" s="124" t="s">
        <v>2501</v>
      </c>
      <c r="H264" s="125" t="s">
        <v>2378</v>
      </c>
      <c r="I264" s="155">
        <f t="shared" si="19"/>
        <v>262</v>
      </c>
      <c r="J264" s="127" t="str">
        <f t="shared" si="1"/>
        <v>PE25-262</v>
      </c>
      <c r="K264" s="153">
        <v>45937.0</v>
      </c>
      <c r="L264" s="129"/>
      <c r="M264" s="129" t="s">
        <v>614</v>
      </c>
      <c r="N264" s="124" t="s">
        <v>1745</v>
      </c>
      <c r="O264" s="124"/>
      <c r="P264" s="130" t="s">
        <v>1043</v>
      </c>
      <c r="Q264" s="131">
        <v>9.87328E7</v>
      </c>
      <c r="R264" s="132">
        <f t="shared" si="25"/>
        <v>8885952</v>
      </c>
      <c r="S264" s="132">
        <f t="shared" si="2"/>
        <v>107618752</v>
      </c>
      <c r="T264" s="133">
        <f t="shared" si="3"/>
        <v>11838062.72</v>
      </c>
      <c r="U264" s="132">
        <f t="shared" si="4"/>
        <v>119456814.7</v>
      </c>
      <c r="V264" s="130"/>
      <c r="W264" s="130" t="s">
        <v>1764</v>
      </c>
      <c r="X264" s="134"/>
      <c r="Y264" s="135" t="str">
        <f>VLOOKUP(J264,[1]TARIKANMYSAP!$H$2:$K$1013,4,FALSE)</f>
        <v>#ERROR!</v>
      </c>
      <c r="Z264" s="136" t="str">
        <f t="shared" si="5"/>
        <v>PE25-262</v>
      </c>
      <c r="AA264" s="137"/>
      <c r="AB264" s="137"/>
    </row>
    <row r="265" ht="12.0" customHeight="1">
      <c r="A265" s="111"/>
      <c r="F265" s="123">
        <f t="shared" si="8"/>
        <v>264</v>
      </c>
      <c r="G265" s="124" t="s">
        <v>2501</v>
      </c>
      <c r="H265" s="125" t="s">
        <v>2378</v>
      </c>
      <c r="I265" s="155">
        <f t="shared" si="19"/>
        <v>263</v>
      </c>
      <c r="J265" s="127" t="str">
        <f t="shared" si="1"/>
        <v>PE25-263</v>
      </c>
      <c r="K265" s="153">
        <v>45938.0</v>
      </c>
      <c r="L265" s="129"/>
      <c r="M265" s="129" t="s">
        <v>443</v>
      </c>
      <c r="N265" s="124" t="s">
        <v>1745</v>
      </c>
      <c r="O265" s="124"/>
      <c r="P265" s="130" t="s">
        <v>1047</v>
      </c>
      <c r="Q265" s="131">
        <v>4.995E7</v>
      </c>
      <c r="R265" s="132"/>
      <c r="S265" s="132">
        <f t="shared" si="2"/>
        <v>49950000</v>
      </c>
      <c r="T265" s="133">
        <f t="shared" si="3"/>
        <v>5494500</v>
      </c>
      <c r="U265" s="132">
        <f t="shared" si="4"/>
        <v>55444500</v>
      </c>
      <c r="V265" s="130"/>
      <c r="W265" s="130" t="s">
        <v>1780</v>
      </c>
      <c r="X265" s="134"/>
      <c r="Y265" s="135" t="str">
        <f>VLOOKUP(J265,[1]TARIKANMYSAP!$H$2:$K$1013,4,FALSE)</f>
        <v>#ERROR!</v>
      </c>
      <c r="Z265" s="136" t="str">
        <f t="shared" si="5"/>
        <v>PE25-263</v>
      </c>
      <c r="AA265" s="137"/>
      <c r="AB265" s="137"/>
    </row>
    <row r="266" ht="12.0" customHeight="1">
      <c r="A266" s="111"/>
      <c r="F266" s="123">
        <f t="shared" si="8"/>
        <v>265</v>
      </c>
      <c r="G266" s="124" t="s">
        <v>2501</v>
      </c>
      <c r="H266" s="125" t="s">
        <v>2378</v>
      </c>
      <c r="I266" s="155">
        <f t="shared" si="19"/>
        <v>264</v>
      </c>
      <c r="J266" s="127" t="str">
        <f t="shared" si="1"/>
        <v>PE25-264</v>
      </c>
      <c r="K266" s="153">
        <v>45938.0</v>
      </c>
      <c r="L266" s="129"/>
      <c r="M266" s="129" t="s">
        <v>1051</v>
      </c>
      <c r="N266" s="124" t="s">
        <v>1745</v>
      </c>
      <c r="O266" s="124"/>
      <c r="P266" s="130" t="s">
        <v>1052</v>
      </c>
      <c r="Q266" s="131">
        <v>4086145.0</v>
      </c>
      <c r="R266" s="132"/>
      <c r="S266" s="132">
        <f t="shared" si="2"/>
        <v>4086145</v>
      </c>
      <c r="T266" s="133">
        <v>0.0</v>
      </c>
      <c r="U266" s="132">
        <f t="shared" si="4"/>
        <v>4086145</v>
      </c>
      <c r="V266" s="130"/>
      <c r="W266" s="130" t="s">
        <v>2495</v>
      </c>
      <c r="X266" s="134"/>
      <c r="Y266" s="135" t="str">
        <f>VLOOKUP(J266,[1]TARIKANMYSAP!$H$2:$K$1013,4,FALSE)</f>
        <v>#ERROR!</v>
      </c>
      <c r="Z266" s="136"/>
      <c r="AA266" s="137"/>
      <c r="AB266" s="137"/>
    </row>
    <row r="267" ht="12.0" customHeight="1">
      <c r="A267" s="111"/>
      <c r="F267" s="123">
        <f t="shared" si="8"/>
        <v>266</v>
      </c>
      <c r="G267" s="124" t="s">
        <v>2501</v>
      </c>
      <c r="H267" s="125" t="s">
        <v>2378</v>
      </c>
      <c r="I267" s="155">
        <f t="shared" si="19"/>
        <v>265</v>
      </c>
      <c r="J267" s="127" t="str">
        <f t="shared" si="1"/>
        <v>PE25-265</v>
      </c>
      <c r="K267" s="153">
        <v>45938.0</v>
      </c>
      <c r="L267" s="129"/>
      <c r="M267" s="129" t="s">
        <v>1051</v>
      </c>
      <c r="N267" s="124" t="s">
        <v>1745</v>
      </c>
      <c r="O267" s="124"/>
      <c r="P267" s="130" t="s">
        <v>1056</v>
      </c>
      <c r="Q267" s="131">
        <v>388184.0</v>
      </c>
      <c r="R267" s="132"/>
      <c r="S267" s="132">
        <f t="shared" si="2"/>
        <v>388184</v>
      </c>
      <c r="T267" s="133">
        <v>0.0</v>
      </c>
      <c r="U267" s="132">
        <f t="shared" si="4"/>
        <v>388184</v>
      </c>
      <c r="V267" s="130"/>
      <c r="W267" s="124" t="s">
        <v>2495</v>
      </c>
      <c r="X267" s="134"/>
      <c r="Y267" s="135" t="str">
        <f>VLOOKUP(J267,[1]TARIKANMYSAP!$H$2:$K$1013,4,FALSE)</f>
        <v>#ERROR!</v>
      </c>
      <c r="Z267" s="136"/>
      <c r="AA267" s="137"/>
      <c r="AB267" s="157"/>
    </row>
    <row r="268" ht="12.0" customHeight="1">
      <c r="A268" s="111"/>
      <c r="F268" s="123">
        <f t="shared" si="8"/>
        <v>267</v>
      </c>
      <c r="G268" s="124"/>
      <c r="H268" s="125" t="s">
        <v>2378</v>
      </c>
      <c r="I268" s="155">
        <f t="shared" si="19"/>
        <v>266</v>
      </c>
      <c r="J268" s="127" t="str">
        <f t="shared" si="1"/>
        <v>PE25-266</v>
      </c>
      <c r="K268" s="153">
        <v>45947.0</v>
      </c>
      <c r="L268" s="129"/>
      <c r="M268" s="129" t="s">
        <v>1059</v>
      </c>
      <c r="N268" s="124" t="s">
        <v>1745</v>
      </c>
      <c r="O268" s="124"/>
      <c r="P268" s="130" t="s">
        <v>2505</v>
      </c>
      <c r="Q268" s="131">
        <v>9.302776E7</v>
      </c>
      <c r="R268" s="132"/>
      <c r="S268" s="132">
        <f t="shared" si="2"/>
        <v>93027760</v>
      </c>
      <c r="T268" s="133">
        <f t="shared" ref="T268:T302" si="26">S268*11%</f>
        <v>10233053.6</v>
      </c>
      <c r="U268" s="132">
        <f t="shared" si="4"/>
        <v>103260813.6</v>
      </c>
      <c r="V268" s="130"/>
      <c r="W268" s="130" t="s">
        <v>1925</v>
      </c>
      <c r="X268" s="134"/>
      <c r="Y268" s="135" t="str">
        <f>VLOOKUP(J268,[1]TARIKANMYSAP!$H$2:$K$1013,4,FALSE)</f>
        <v>#ERROR!</v>
      </c>
      <c r="Z268" s="136"/>
      <c r="AA268" s="137"/>
      <c r="AB268" s="137"/>
    </row>
    <row r="269" ht="12.0" customHeight="1">
      <c r="A269" s="111"/>
      <c r="F269" s="123">
        <f t="shared" si="8"/>
        <v>268</v>
      </c>
      <c r="G269" s="124"/>
      <c r="H269" s="125" t="s">
        <v>2378</v>
      </c>
      <c r="I269" s="155">
        <f t="shared" si="19"/>
        <v>267</v>
      </c>
      <c r="J269" s="127" t="str">
        <f t="shared" si="1"/>
        <v>PE25-267</v>
      </c>
      <c r="K269" s="153">
        <v>45951.0</v>
      </c>
      <c r="L269" s="129"/>
      <c r="M269" s="129" t="s">
        <v>99</v>
      </c>
      <c r="N269" s="124" t="s">
        <v>1745</v>
      </c>
      <c r="O269" s="124"/>
      <c r="P269" s="130" t="s">
        <v>1066</v>
      </c>
      <c r="Q269" s="131">
        <v>7383200.0</v>
      </c>
      <c r="R269" s="132"/>
      <c r="S269" s="132">
        <f t="shared" si="2"/>
        <v>7383200</v>
      </c>
      <c r="T269" s="133">
        <f t="shared" si="26"/>
        <v>812152</v>
      </c>
      <c r="U269" s="132">
        <f t="shared" si="4"/>
        <v>8195352</v>
      </c>
      <c r="V269" s="130"/>
      <c r="W269" s="130" t="s">
        <v>2395</v>
      </c>
      <c r="X269" s="134"/>
      <c r="Y269" s="135" t="str">
        <f>VLOOKUP(J269,[1]TARIKANMYSAP!$H$2:$K$1013,4,FALSE)</f>
        <v>#ERROR!</v>
      </c>
      <c r="Z269" s="136"/>
      <c r="AA269" s="137"/>
      <c r="AB269" s="137"/>
    </row>
    <row r="270" ht="12.0" customHeight="1">
      <c r="A270" s="111"/>
      <c r="F270" s="123">
        <f t="shared" si="8"/>
        <v>269</v>
      </c>
      <c r="G270" s="124"/>
      <c r="H270" s="125" t="s">
        <v>2378</v>
      </c>
      <c r="I270" s="155">
        <f t="shared" si="19"/>
        <v>268</v>
      </c>
      <c r="J270" s="127" t="str">
        <f t="shared" si="1"/>
        <v>PE25-268</v>
      </c>
      <c r="K270" s="153">
        <v>45951.0</v>
      </c>
      <c r="L270" s="129"/>
      <c r="M270" s="129" t="s">
        <v>1070</v>
      </c>
      <c r="N270" s="124" t="s">
        <v>1745</v>
      </c>
      <c r="O270" s="124"/>
      <c r="P270" s="130" t="s">
        <v>1071</v>
      </c>
      <c r="Q270" s="131">
        <v>1.1031445E7</v>
      </c>
      <c r="R270" s="132">
        <f>Q270*11%</f>
        <v>1213458.95</v>
      </c>
      <c r="S270" s="132">
        <f t="shared" si="2"/>
        <v>12244903.95</v>
      </c>
      <c r="T270" s="133">
        <f t="shared" si="26"/>
        <v>1346939.435</v>
      </c>
      <c r="U270" s="132">
        <f t="shared" si="4"/>
        <v>13591843.38</v>
      </c>
      <c r="V270" s="130"/>
      <c r="W270" s="130" t="s">
        <v>1764</v>
      </c>
      <c r="X270" s="134"/>
      <c r="Y270" s="135" t="str">
        <f>VLOOKUP(J270,[1]TARIKANMYSAP!$H$2:$K$1013,4,FALSE)</f>
        <v>#ERROR!</v>
      </c>
      <c r="Z270" s="136"/>
      <c r="AA270" s="137"/>
      <c r="AB270" s="137"/>
    </row>
    <row r="271" ht="12.0" customHeight="1">
      <c r="A271" s="111"/>
      <c r="F271" s="123">
        <f t="shared" si="8"/>
        <v>270</v>
      </c>
      <c r="G271" s="124"/>
      <c r="H271" s="125" t="s">
        <v>2378</v>
      </c>
      <c r="I271" s="155">
        <f t="shared" si="19"/>
        <v>269</v>
      </c>
      <c r="J271" s="127" t="str">
        <f t="shared" si="1"/>
        <v>PE25-269</v>
      </c>
      <c r="K271" s="153">
        <v>45933.0</v>
      </c>
      <c r="L271" s="129"/>
      <c r="M271" s="129" t="s">
        <v>757</v>
      </c>
      <c r="N271" s="124" t="s">
        <v>1745</v>
      </c>
      <c r="O271" s="124"/>
      <c r="P271" s="130" t="s">
        <v>1076</v>
      </c>
      <c r="Q271" s="131">
        <v>4.95E7</v>
      </c>
      <c r="R271" s="132"/>
      <c r="S271" s="132">
        <f t="shared" si="2"/>
        <v>49500000</v>
      </c>
      <c r="T271" s="133">
        <f t="shared" si="26"/>
        <v>5445000</v>
      </c>
      <c r="U271" s="132">
        <f t="shared" si="4"/>
        <v>54945000</v>
      </c>
      <c r="V271" s="130"/>
      <c r="W271" s="130" t="s">
        <v>1780</v>
      </c>
      <c r="X271" s="134"/>
      <c r="Y271" s="135" t="str">
        <f>VLOOKUP(J271,[1]TARIKANMYSAP!$H$2:$K$1013,4,FALSE)</f>
        <v>#ERROR!</v>
      </c>
      <c r="Z271" s="136"/>
      <c r="AA271" s="137"/>
      <c r="AB271" s="137"/>
    </row>
    <row r="272" ht="12.0" customHeight="1">
      <c r="A272" s="111"/>
      <c r="F272" s="123">
        <f t="shared" si="8"/>
        <v>271</v>
      </c>
      <c r="G272" s="124"/>
      <c r="H272" s="125" t="s">
        <v>2378</v>
      </c>
      <c r="I272" s="155">
        <f t="shared" si="19"/>
        <v>270</v>
      </c>
      <c r="J272" s="127" t="str">
        <f t="shared" si="1"/>
        <v>PE25-270</v>
      </c>
      <c r="K272" s="153">
        <v>45953.0</v>
      </c>
      <c r="L272" s="129"/>
      <c r="M272" s="129" t="s">
        <v>978</v>
      </c>
      <c r="N272" s="124" t="s">
        <v>1745</v>
      </c>
      <c r="O272" s="124"/>
      <c r="P272" s="130" t="s">
        <v>1080</v>
      </c>
      <c r="Q272" s="131">
        <v>3.0529825E8</v>
      </c>
      <c r="R272" s="132">
        <f>Q272*7%</f>
        <v>21370877.5</v>
      </c>
      <c r="S272" s="132">
        <f t="shared" si="2"/>
        <v>326669127.5</v>
      </c>
      <c r="T272" s="133">
        <f t="shared" si="26"/>
        <v>35933604.03</v>
      </c>
      <c r="U272" s="132">
        <f t="shared" si="4"/>
        <v>362602731.5</v>
      </c>
      <c r="V272" s="130"/>
      <c r="W272" s="130" t="s">
        <v>2388</v>
      </c>
      <c r="X272" s="134"/>
      <c r="Y272" s="135" t="str">
        <f>VLOOKUP(J272,[1]TARIKANMYSAP!$H$2:$K$1013,4,FALSE)</f>
        <v>#ERROR!</v>
      </c>
      <c r="Z272" s="136"/>
      <c r="AA272" s="137"/>
      <c r="AB272" s="137"/>
    </row>
    <row r="273" ht="12.0" customHeight="1">
      <c r="A273" s="111"/>
      <c r="F273" s="123">
        <f t="shared" si="8"/>
        <v>272</v>
      </c>
      <c r="G273" s="124"/>
      <c r="H273" s="125" t="s">
        <v>2378</v>
      </c>
      <c r="I273" s="155">
        <f t="shared" si="19"/>
        <v>271</v>
      </c>
      <c r="J273" s="127" t="str">
        <f t="shared" si="1"/>
        <v>PE25-271</v>
      </c>
      <c r="K273" s="153">
        <v>45954.0</v>
      </c>
      <c r="L273" s="129"/>
      <c r="M273" s="129"/>
      <c r="N273" s="124" t="s">
        <v>1745</v>
      </c>
      <c r="O273" s="124"/>
      <c r="P273" s="130" t="s">
        <v>1086</v>
      </c>
      <c r="Q273" s="131">
        <v>1.278E7</v>
      </c>
      <c r="R273" s="132">
        <f>Q273*7.6%</f>
        <v>971280</v>
      </c>
      <c r="S273" s="132">
        <f t="shared" si="2"/>
        <v>13751280</v>
      </c>
      <c r="T273" s="133">
        <f t="shared" si="26"/>
        <v>1512640.8</v>
      </c>
      <c r="U273" s="132">
        <f t="shared" si="4"/>
        <v>15263920.8</v>
      </c>
      <c r="V273" s="130"/>
      <c r="W273" s="130" t="s">
        <v>2395</v>
      </c>
      <c r="X273" s="134"/>
      <c r="Y273" s="135" t="str">
        <f>VLOOKUP(J273,[1]TARIKANMYSAP!$H$2:$K$1013,4,FALSE)</f>
        <v>#ERROR!</v>
      </c>
      <c r="Z273" s="136"/>
      <c r="AA273" s="137"/>
      <c r="AB273" s="137"/>
    </row>
    <row r="274" ht="12.0" customHeight="1">
      <c r="A274" s="111"/>
      <c r="F274" s="123">
        <f t="shared" si="8"/>
        <v>273</v>
      </c>
      <c r="G274" s="124"/>
      <c r="H274" s="125" t="s">
        <v>2378</v>
      </c>
      <c r="I274" s="155">
        <f t="shared" si="19"/>
        <v>272</v>
      </c>
      <c r="J274" s="127" t="str">
        <f t="shared" si="1"/>
        <v>PE25-272</v>
      </c>
      <c r="K274" s="153">
        <v>45956.0</v>
      </c>
      <c r="L274" s="129"/>
      <c r="M274" s="129" t="s">
        <v>1092</v>
      </c>
      <c r="N274" s="124" t="s">
        <v>1745</v>
      </c>
      <c r="O274" s="124"/>
      <c r="P274" s="130" t="s">
        <v>1093</v>
      </c>
      <c r="Q274" s="131">
        <v>1.1655E8</v>
      </c>
      <c r="R274" s="132"/>
      <c r="S274" s="132">
        <f t="shared" si="2"/>
        <v>116550000</v>
      </c>
      <c r="T274" s="133">
        <f t="shared" si="26"/>
        <v>12820500</v>
      </c>
      <c r="U274" s="132">
        <f t="shared" si="4"/>
        <v>129370500</v>
      </c>
      <c r="V274" s="130"/>
      <c r="W274" s="130" t="s">
        <v>1780</v>
      </c>
      <c r="X274" s="134"/>
      <c r="Y274" s="135"/>
      <c r="Z274" s="136"/>
      <c r="AA274" s="137"/>
      <c r="AB274" s="137"/>
    </row>
    <row r="275" ht="12.0" customHeight="1">
      <c r="A275" s="111"/>
      <c r="F275" s="123">
        <f t="shared" si="8"/>
        <v>274</v>
      </c>
      <c r="G275" s="124"/>
      <c r="H275" s="125" t="s">
        <v>2378</v>
      </c>
      <c r="I275" s="155">
        <f t="shared" si="19"/>
        <v>273</v>
      </c>
      <c r="J275" s="127" t="str">
        <f t="shared" si="1"/>
        <v>PE25-273</v>
      </c>
      <c r="K275" s="153">
        <v>45957.0</v>
      </c>
      <c r="L275" s="129"/>
      <c r="M275" s="129" t="s">
        <v>1099</v>
      </c>
      <c r="N275" s="124" t="s">
        <v>1745</v>
      </c>
      <c r="O275" s="124"/>
      <c r="P275" s="130" t="s">
        <v>2506</v>
      </c>
      <c r="Q275" s="131">
        <v>4.035E7</v>
      </c>
      <c r="R275" s="132">
        <f>Q275*8.5%</f>
        <v>3429750</v>
      </c>
      <c r="S275" s="132">
        <f t="shared" si="2"/>
        <v>43779750</v>
      </c>
      <c r="T275" s="133">
        <f t="shared" si="26"/>
        <v>4815772.5</v>
      </c>
      <c r="U275" s="132">
        <f t="shared" si="4"/>
        <v>48595522.5</v>
      </c>
      <c r="V275" s="130"/>
      <c r="W275" s="130" t="s">
        <v>1747</v>
      </c>
      <c r="X275" s="134"/>
      <c r="Y275" s="135"/>
      <c r="Z275" s="136"/>
      <c r="AA275" s="137"/>
      <c r="AB275" s="137"/>
    </row>
    <row r="276" ht="12.0" customHeight="1">
      <c r="A276" s="111"/>
      <c r="F276" s="123">
        <f t="shared" si="8"/>
        <v>275</v>
      </c>
      <c r="G276" s="124"/>
      <c r="H276" s="125" t="s">
        <v>2378</v>
      </c>
      <c r="I276" s="155">
        <f t="shared" si="19"/>
        <v>274</v>
      </c>
      <c r="J276" s="127" t="str">
        <f t="shared" si="1"/>
        <v>PE25-274</v>
      </c>
      <c r="K276" s="153">
        <v>45958.0</v>
      </c>
      <c r="L276" s="129"/>
      <c r="M276" s="129" t="s">
        <v>1106</v>
      </c>
      <c r="N276" s="124" t="s">
        <v>1745</v>
      </c>
      <c r="O276" s="124"/>
      <c r="P276" s="130" t="s">
        <v>1107</v>
      </c>
      <c r="Q276" s="131">
        <v>3.2144E7</v>
      </c>
      <c r="R276" s="132"/>
      <c r="S276" s="132">
        <f t="shared" si="2"/>
        <v>32144000</v>
      </c>
      <c r="T276" s="133">
        <f t="shared" si="26"/>
        <v>3535840</v>
      </c>
      <c r="U276" s="132">
        <f t="shared" si="4"/>
        <v>35679840</v>
      </c>
      <c r="V276" s="130"/>
      <c r="W276" s="130" t="s">
        <v>1925</v>
      </c>
      <c r="X276" s="134"/>
      <c r="Y276" s="135"/>
      <c r="Z276" s="136"/>
      <c r="AA276" s="137"/>
      <c r="AB276" s="137"/>
    </row>
    <row r="277" ht="12.0" customHeight="1">
      <c r="A277" s="111"/>
      <c r="F277" s="123">
        <f t="shared" si="8"/>
        <v>276</v>
      </c>
      <c r="G277" s="124"/>
      <c r="H277" s="125" t="s">
        <v>2378</v>
      </c>
      <c r="I277" s="155">
        <v>275.0</v>
      </c>
      <c r="J277" s="127" t="str">
        <f t="shared" si="1"/>
        <v>PE25-275</v>
      </c>
      <c r="K277" s="153">
        <v>45958.0</v>
      </c>
      <c r="L277" s="160"/>
      <c r="M277" s="161" t="s">
        <v>1112</v>
      </c>
      <c r="N277" s="137" t="s">
        <v>1745</v>
      </c>
      <c r="O277" s="137"/>
      <c r="P277" s="154" t="s">
        <v>783</v>
      </c>
      <c r="Q277" s="131">
        <v>8.3804896E7</v>
      </c>
      <c r="R277" s="132"/>
      <c r="S277" s="132">
        <f t="shared" si="2"/>
        <v>83804896</v>
      </c>
      <c r="T277" s="133">
        <f t="shared" si="26"/>
        <v>9218538.56</v>
      </c>
      <c r="U277" s="132">
        <f t="shared" si="4"/>
        <v>93023434.56</v>
      </c>
      <c r="V277" s="130"/>
      <c r="W277" s="130" t="s">
        <v>1925</v>
      </c>
      <c r="X277" s="134"/>
      <c r="Y277" s="135"/>
      <c r="Z277" s="136"/>
      <c r="AA277" s="137"/>
      <c r="AB277" s="137"/>
    </row>
    <row r="278" ht="12.0" customHeight="1">
      <c r="A278" s="111"/>
      <c r="F278" s="123">
        <f t="shared" si="8"/>
        <v>277</v>
      </c>
      <c r="G278" s="124"/>
      <c r="H278" s="125" t="s">
        <v>2378</v>
      </c>
      <c r="I278" s="155">
        <f t="shared" ref="I278:I516" si="27">I277+1</f>
        <v>276</v>
      </c>
      <c r="J278" s="127" t="str">
        <f t="shared" si="1"/>
        <v>PE25-276</v>
      </c>
      <c r="K278" s="153">
        <v>45958.0</v>
      </c>
      <c r="L278" s="160"/>
      <c r="M278" s="161" t="s">
        <v>1117</v>
      </c>
      <c r="N278" s="137" t="s">
        <v>1745</v>
      </c>
      <c r="O278" s="137"/>
      <c r="P278" s="154" t="s">
        <v>1118</v>
      </c>
      <c r="Q278" s="131">
        <v>1.725E7</v>
      </c>
      <c r="R278" s="132"/>
      <c r="S278" s="132">
        <f t="shared" si="2"/>
        <v>17250000</v>
      </c>
      <c r="T278" s="133">
        <f t="shared" si="26"/>
        <v>1897500</v>
      </c>
      <c r="U278" s="132">
        <f t="shared" si="4"/>
        <v>19147500</v>
      </c>
      <c r="V278" s="130"/>
      <c r="W278" s="130" t="s">
        <v>1925</v>
      </c>
      <c r="X278" s="134"/>
      <c r="Y278" s="135"/>
      <c r="Z278" s="136"/>
      <c r="AA278" s="137"/>
      <c r="AB278" s="137"/>
    </row>
    <row r="279" ht="12.0" customHeight="1">
      <c r="A279" s="111"/>
      <c r="F279" s="123">
        <f t="shared" si="8"/>
        <v>278</v>
      </c>
      <c r="G279" s="124"/>
      <c r="H279" s="125" t="s">
        <v>2378</v>
      </c>
      <c r="I279" s="155">
        <f t="shared" si="27"/>
        <v>277</v>
      </c>
      <c r="J279" s="127" t="str">
        <f t="shared" si="1"/>
        <v>PE25-277</v>
      </c>
      <c r="K279" s="153">
        <v>45958.0</v>
      </c>
      <c r="L279" s="129"/>
      <c r="M279" s="129" t="s">
        <v>2387</v>
      </c>
      <c r="N279" s="137" t="s">
        <v>1745</v>
      </c>
      <c r="O279" s="124"/>
      <c r="P279" s="130" t="s">
        <v>1122</v>
      </c>
      <c r="Q279" s="131">
        <v>9599856.0</v>
      </c>
      <c r="R279" s="132"/>
      <c r="S279" s="132">
        <f t="shared" si="2"/>
        <v>9599856</v>
      </c>
      <c r="T279" s="133">
        <f t="shared" si="26"/>
        <v>1055984.16</v>
      </c>
      <c r="U279" s="132">
        <f t="shared" si="4"/>
        <v>10655840.16</v>
      </c>
      <c r="V279" s="130"/>
      <c r="W279" s="130" t="s">
        <v>2495</v>
      </c>
      <c r="X279" s="134"/>
      <c r="Y279" s="135"/>
      <c r="Z279" s="136"/>
      <c r="AA279" s="137"/>
      <c r="AB279" s="137"/>
    </row>
    <row r="280" ht="12.0" customHeight="1">
      <c r="A280" s="111"/>
      <c r="F280" s="123">
        <f t="shared" si="8"/>
        <v>279</v>
      </c>
      <c r="G280" s="124"/>
      <c r="H280" s="125" t="s">
        <v>2378</v>
      </c>
      <c r="I280" s="155">
        <f t="shared" si="27"/>
        <v>278</v>
      </c>
      <c r="J280" s="127" t="str">
        <f t="shared" si="1"/>
        <v>PE25-278</v>
      </c>
      <c r="K280" s="153">
        <v>45959.0</v>
      </c>
      <c r="L280" s="129"/>
      <c r="M280" s="129" t="s">
        <v>2387</v>
      </c>
      <c r="N280" s="137" t="s">
        <v>1745</v>
      </c>
      <c r="O280" s="124"/>
      <c r="P280" s="130" t="s">
        <v>1126</v>
      </c>
      <c r="Q280" s="131">
        <v>4.5387129E7</v>
      </c>
      <c r="R280" s="132"/>
      <c r="S280" s="132">
        <f t="shared" si="2"/>
        <v>45387129</v>
      </c>
      <c r="T280" s="133">
        <f t="shared" si="26"/>
        <v>4992584.19</v>
      </c>
      <c r="U280" s="132">
        <f t="shared" si="4"/>
        <v>50379713.19</v>
      </c>
      <c r="V280" s="130"/>
      <c r="W280" s="130" t="s">
        <v>2495</v>
      </c>
      <c r="X280" s="134"/>
      <c r="Y280" s="135"/>
      <c r="Z280" s="136"/>
      <c r="AA280" s="137"/>
      <c r="AB280" s="137"/>
    </row>
    <row r="281" ht="12.0" customHeight="1">
      <c r="A281" s="111"/>
      <c r="F281" s="123">
        <f t="shared" si="8"/>
        <v>280</v>
      </c>
      <c r="G281" s="124"/>
      <c r="H281" s="125" t="s">
        <v>2378</v>
      </c>
      <c r="I281" s="155">
        <f t="shared" si="27"/>
        <v>279</v>
      </c>
      <c r="J281" s="127" t="str">
        <f t="shared" si="1"/>
        <v>PE25-279</v>
      </c>
      <c r="K281" s="153">
        <v>45960.0</v>
      </c>
      <c r="L281" s="129"/>
      <c r="M281" s="129" t="s">
        <v>614</v>
      </c>
      <c r="N281" s="137" t="s">
        <v>1745</v>
      </c>
      <c r="O281" s="124"/>
      <c r="P281" s="130" t="s">
        <v>1132</v>
      </c>
      <c r="Q281" s="131">
        <v>9.99464E7</v>
      </c>
      <c r="R281" s="132">
        <f>Q281*9%</f>
        <v>8995176</v>
      </c>
      <c r="S281" s="132">
        <f t="shared" si="2"/>
        <v>108941576</v>
      </c>
      <c r="T281" s="133">
        <f t="shared" si="26"/>
        <v>11983573.36</v>
      </c>
      <c r="U281" s="132">
        <f t="shared" si="4"/>
        <v>120925149.4</v>
      </c>
      <c r="V281" s="130"/>
      <c r="W281" s="130" t="s">
        <v>1764</v>
      </c>
      <c r="X281" s="134"/>
      <c r="Y281" s="135"/>
      <c r="Z281" s="136"/>
      <c r="AA281" s="137"/>
      <c r="AB281" s="137"/>
    </row>
    <row r="282" ht="12.0" customHeight="1">
      <c r="A282" s="111"/>
      <c r="F282" s="123">
        <f t="shared" si="8"/>
        <v>281</v>
      </c>
      <c r="G282" s="124"/>
      <c r="H282" s="125" t="s">
        <v>2378</v>
      </c>
      <c r="I282" s="155">
        <f t="shared" si="27"/>
        <v>280</v>
      </c>
      <c r="J282" s="127" t="str">
        <f t="shared" si="1"/>
        <v>PE25-280</v>
      </c>
      <c r="K282" s="153">
        <v>45961.0</v>
      </c>
      <c r="L282" s="129"/>
      <c r="M282" s="129"/>
      <c r="N282" s="124" t="s">
        <v>1745</v>
      </c>
      <c r="O282" s="124" t="s">
        <v>2379</v>
      </c>
      <c r="P282" s="130" t="s">
        <v>1139</v>
      </c>
      <c r="Q282" s="131">
        <v>7.7504E7</v>
      </c>
      <c r="R282" s="132"/>
      <c r="S282" s="132">
        <f t="shared" si="2"/>
        <v>77504000</v>
      </c>
      <c r="T282" s="133">
        <f t="shared" si="26"/>
        <v>8525440</v>
      </c>
      <c r="U282" s="132">
        <f t="shared" si="4"/>
        <v>86029440</v>
      </c>
      <c r="V282" s="130"/>
      <c r="W282" s="130" t="s">
        <v>1925</v>
      </c>
      <c r="X282" s="134"/>
      <c r="Y282" s="135"/>
      <c r="Z282" s="136"/>
      <c r="AA282" s="137"/>
      <c r="AB282" s="137"/>
    </row>
    <row r="283" ht="12.0" customHeight="1">
      <c r="A283" s="111"/>
      <c r="F283" s="123">
        <f t="shared" si="8"/>
        <v>282</v>
      </c>
      <c r="G283" s="124"/>
      <c r="H283" s="125" t="s">
        <v>2378</v>
      </c>
      <c r="I283" s="155">
        <f t="shared" si="27"/>
        <v>281</v>
      </c>
      <c r="J283" s="127" t="str">
        <f t="shared" si="1"/>
        <v>PE25-281</v>
      </c>
      <c r="K283" s="153"/>
      <c r="L283" s="129"/>
      <c r="M283" s="129"/>
      <c r="N283" s="124"/>
      <c r="O283" s="124"/>
      <c r="P283" s="130"/>
      <c r="Q283" s="131"/>
      <c r="R283" s="132"/>
      <c r="S283" s="132">
        <f t="shared" si="2"/>
        <v>0</v>
      </c>
      <c r="T283" s="133">
        <f t="shared" si="26"/>
        <v>0</v>
      </c>
      <c r="U283" s="132">
        <f t="shared" si="4"/>
        <v>0</v>
      </c>
      <c r="V283" s="130"/>
      <c r="W283" s="130"/>
      <c r="X283" s="134"/>
      <c r="Y283" s="135"/>
      <c r="Z283" s="136"/>
      <c r="AA283" s="137"/>
      <c r="AB283" s="137"/>
    </row>
    <row r="284" ht="12.0" customHeight="1">
      <c r="A284" s="111"/>
      <c r="F284" s="123">
        <f t="shared" si="8"/>
        <v>283</v>
      </c>
      <c r="G284" s="124"/>
      <c r="H284" s="125" t="s">
        <v>2378</v>
      </c>
      <c r="I284" s="155">
        <f t="shared" si="27"/>
        <v>282</v>
      </c>
      <c r="J284" s="127" t="str">
        <f t="shared" si="1"/>
        <v>PE25-282</v>
      </c>
      <c r="K284" s="153"/>
      <c r="L284" s="129"/>
      <c r="M284" s="129"/>
      <c r="N284" s="124"/>
      <c r="O284" s="124"/>
      <c r="P284" s="130"/>
      <c r="Q284" s="131"/>
      <c r="R284" s="132"/>
      <c r="S284" s="132">
        <f t="shared" si="2"/>
        <v>0</v>
      </c>
      <c r="T284" s="133">
        <f t="shared" si="26"/>
        <v>0</v>
      </c>
      <c r="U284" s="132">
        <f t="shared" si="4"/>
        <v>0</v>
      </c>
      <c r="V284" s="130"/>
      <c r="W284" s="130"/>
      <c r="X284" s="134"/>
      <c r="Y284" s="135"/>
      <c r="Z284" s="136"/>
      <c r="AA284" s="137"/>
      <c r="AB284" s="137"/>
    </row>
    <row r="285" ht="12.0" customHeight="1">
      <c r="A285" s="111"/>
      <c r="F285" s="123">
        <f t="shared" si="8"/>
        <v>284</v>
      </c>
      <c r="G285" s="124"/>
      <c r="H285" s="125" t="s">
        <v>2378</v>
      </c>
      <c r="I285" s="155">
        <f t="shared" si="27"/>
        <v>283</v>
      </c>
      <c r="J285" s="127" t="str">
        <f t="shared" si="1"/>
        <v>PE25-283</v>
      </c>
      <c r="K285" s="153"/>
      <c r="L285" s="129"/>
      <c r="M285" s="129"/>
      <c r="N285" s="124"/>
      <c r="O285" s="124"/>
      <c r="P285" s="130"/>
      <c r="Q285" s="131"/>
      <c r="R285" s="132"/>
      <c r="S285" s="132">
        <f t="shared" si="2"/>
        <v>0</v>
      </c>
      <c r="T285" s="133">
        <f t="shared" si="26"/>
        <v>0</v>
      </c>
      <c r="U285" s="132">
        <f t="shared" si="4"/>
        <v>0</v>
      </c>
      <c r="V285" s="130"/>
      <c r="W285" s="130"/>
      <c r="X285" s="134"/>
      <c r="Y285" s="135"/>
      <c r="Z285" s="136"/>
      <c r="AA285" s="137"/>
      <c r="AB285" s="137"/>
    </row>
    <row r="286" ht="12.0" customHeight="1">
      <c r="A286" s="111"/>
      <c r="F286" s="123">
        <f t="shared" si="8"/>
        <v>285</v>
      </c>
      <c r="G286" s="124"/>
      <c r="H286" s="125" t="s">
        <v>2378</v>
      </c>
      <c r="I286" s="155">
        <f t="shared" si="27"/>
        <v>284</v>
      </c>
      <c r="J286" s="127" t="str">
        <f t="shared" si="1"/>
        <v>PE25-284</v>
      </c>
      <c r="K286" s="153"/>
      <c r="L286" s="129"/>
      <c r="M286" s="129"/>
      <c r="N286" s="124"/>
      <c r="O286" s="124"/>
      <c r="P286" s="130"/>
      <c r="Q286" s="131"/>
      <c r="R286" s="132"/>
      <c r="S286" s="132">
        <f t="shared" si="2"/>
        <v>0</v>
      </c>
      <c r="T286" s="133">
        <f t="shared" si="26"/>
        <v>0</v>
      </c>
      <c r="U286" s="132">
        <f t="shared" si="4"/>
        <v>0</v>
      </c>
      <c r="V286" s="130"/>
      <c r="W286" s="130"/>
      <c r="X286" s="134"/>
      <c r="Y286" s="135"/>
      <c r="Z286" s="136"/>
      <c r="AA286" s="137"/>
      <c r="AB286" s="137"/>
    </row>
    <row r="287" ht="12.0" customHeight="1">
      <c r="A287" s="111"/>
      <c r="F287" s="123">
        <f t="shared" si="8"/>
        <v>286</v>
      </c>
      <c r="G287" s="124"/>
      <c r="H287" s="125" t="s">
        <v>2378</v>
      </c>
      <c r="I287" s="155">
        <f t="shared" si="27"/>
        <v>285</v>
      </c>
      <c r="J287" s="127" t="str">
        <f t="shared" si="1"/>
        <v>PE25-285</v>
      </c>
      <c r="K287" s="153"/>
      <c r="L287" s="129"/>
      <c r="M287" s="129"/>
      <c r="N287" s="124"/>
      <c r="O287" s="124"/>
      <c r="P287" s="130"/>
      <c r="Q287" s="131"/>
      <c r="R287" s="132"/>
      <c r="S287" s="132">
        <f t="shared" si="2"/>
        <v>0</v>
      </c>
      <c r="T287" s="133">
        <f t="shared" si="26"/>
        <v>0</v>
      </c>
      <c r="U287" s="132">
        <f t="shared" si="4"/>
        <v>0</v>
      </c>
      <c r="V287" s="130"/>
      <c r="W287" s="130"/>
      <c r="X287" s="134"/>
      <c r="Y287" s="135"/>
      <c r="Z287" s="136"/>
      <c r="AA287" s="137"/>
      <c r="AB287" s="137"/>
    </row>
    <row r="288" ht="12.0" customHeight="1">
      <c r="A288" s="111"/>
      <c r="F288" s="123">
        <f t="shared" si="8"/>
        <v>287</v>
      </c>
      <c r="G288" s="124"/>
      <c r="H288" s="125" t="s">
        <v>2378</v>
      </c>
      <c r="I288" s="155">
        <f t="shared" si="27"/>
        <v>286</v>
      </c>
      <c r="J288" s="127" t="str">
        <f t="shared" si="1"/>
        <v>PE25-286</v>
      </c>
      <c r="K288" s="153"/>
      <c r="L288" s="129"/>
      <c r="M288" s="129"/>
      <c r="N288" s="124"/>
      <c r="O288" s="124"/>
      <c r="P288" s="130"/>
      <c r="Q288" s="131"/>
      <c r="R288" s="132"/>
      <c r="S288" s="132">
        <f t="shared" si="2"/>
        <v>0</v>
      </c>
      <c r="T288" s="133">
        <f t="shared" si="26"/>
        <v>0</v>
      </c>
      <c r="U288" s="132">
        <f t="shared" si="4"/>
        <v>0</v>
      </c>
      <c r="V288" s="130"/>
      <c r="W288" s="154"/>
      <c r="X288" s="134"/>
      <c r="Y288" s="135"/>
      <c r="Z288" s="136"/>
      <c r="AA288" s="137"/>
      <c r="AB288" s="137"/>
    </row>
    <row r="289" ht="12.0" customHeight="1">
      <c r="A289" s="111"/>
      <c r="F289" s="123">
        <f t="shared" si="8"/>
        <v>288</v>
      </c>
      <c r="G289" s="124"/>
      <c r="H289" s="125" t="s">
        <v>2378</v>
      </c>
      <c r="I289" s="155">
        <f t="shared" si="27"/>
        <v>287</v>
      </c>
      <c r="J289" s="127" t="str">
        <f t="shared" si="1"/>
        <v>PE25-287</v>
      </c>
      <c r="K289" s="153"/>
      <c r="L289" s="129"/>
      <c r="M289" s="129"/>
      <c r="N289" s="124"/>
      <c r="O289" s="124"/>
      <c r="P289" s="130"/>
      <c r="Q289" s="131"/>
      <c r="R289" s="132"/>
      <c r="S289" s="132">
        <f t="shared" si="2"/>
        <v>0</v>
      </c>
      <c r="T289" s="133">
        <f t="shared" si="26"/>
        <v>0</v>
      </c>
      <c r="U289" s="132">
        <f t="shared" si="4"/>
        <v>0</v>
      </c>
      <c r="V289" s="130"/>
      <c r="W289" s="130"/>
      <c r="X289" s="134"/>
      <c r="Y289" s="135"/>
      <c r="Z289" s="136"/>
      <c r="AA289" s="137"/>
      <c r="AB289" s="137"/>
    </row>
    <row r="290" ht="12.0" customHeight="1">
      <c r="A290" s="111"/>
      <c r="F290" s="123">
        <f t="shared" si="8"/>
        <v>289</v>
      </c>
      <c r="G290" s="124"/>
      <c r="H290" s="125" t="s">
        <v>2378</v>
      </c>
      <c r="I290" s="155">
        <f t="shared" si="27"/>
        <v>288</v>
      </c>
      <c r="J290" s="127" t="str">
        <f t="shared" si="1"/>
        <v>PE25-288</v>
      </c>
      <c r="K290" s="153"/>
      <c r="L290" s="129"/>
      <c r="M290" s="129"/>
      <c r="N290" s="124"/>
      <c r="O290" s="124"/>
      <c r="P290" s="130"/>
      <c r="Q290" s="131"/>
      <c r="R290" s="132"/>
      <c r="S290" s="132">
        <f t="shared" si="2"/>
        <v>0</v>
      </c>
      <c r="T290" s="133">
        <f t="shared" si="26"/>
        <v>0</v>
      </c>
      <c r="U290" s="132">
        <f t="shared" si="4"/>
        <v>0</v>
      </c>
      <c r="V290" s="130"/>
      <c r="W290" s="130"/>
      <c r="X290" s="134"/>
      <c r="Y290" s="135"/>
      <c r="Z290" s="136"/>
      <c r="AA290" s="137"/>
      <c r="AB290" s="137"/>
    </row>
    <row r="291" ht="12.0" customHeight="1">
      <c r="A291" s="111"/>
      <c r="F291" s="123">
        <f t="shared" si="8"/>
        <v>290</v>
      </c>
      <c r="G291" s="124"/>
      <c r="H291" s="125" t="s">
        <v>2378</v>
      </c>
      <c r="I291" s="155">
        <f t="shared" si="27"/>
        <v>289</v>
      </c>
      <c r="J291" s="127" t="str">
        <f t="shared" si="1"/>
        <v>PE25-289</v>
      </c>
      <c r="K291" s="153"/>
      <c r="L291" s="129"/>
      <c r="M291" s="129"/>
      <c r="N291" s="124"/>
      <c r="O291" s="124"/>
      <c r="P291" s="130"/>
      <c r="Q291" s="131"/>
      <c r="R291" s="132"/>
      <c r="S291" s="132">
        <f t="shared" si="2"/>
        <v>0</v>
      </c>
      <c r="T291" s="133">
        <f t="shared" si="26"/>
        <v>0</v>
      </c>
      <c r="U291" s="132">
        <f t="shared" si="4"/>
        <v>0</v>
      </c>
      <c r="V291" s="130"/>
      <c r="W291" s="130"/>
      <c r="X291" s="134"/>
      <c r="Y291" s="135"/>
      <c r="Z291" s="136"/>
      <c r="AA291" s="137"/>
      <c r="AB291" s="137"/>
    </row>
    <row r="292" ht="12.0" customHeight="1">
      <c r="A292" s="111"/>
      <c r="F292" s="123">
        <f t="shared" si="8"/>
        <v>291</v>
      </c>
      <c r="G292" s="124"/>
      <c r="H292" s="125" t="s">
        <v>2378</v>
      </c>
      <c r="I292" s="155">
        <f t="shared" si="27"/>
        <v>290</v>
      </c>
      <c r="J292" s="127" t="str">
        <f t="shared" si="1"/>
        <v>PE25-290</v>
      </c>
      <c r="K292" s="153"/>
      <c r="L292" s="129"/>
      <c r="M292" s="129"/>
      <c r="N292" s="124"/>
      <c r="O292" s="124"/>
      <c r="P292" s="130"/>
      <c r="Q292" s="131"/>
      <c r="R292" s="132"/>
      <c r="S292" s="132">
        <f t="shared" si="2"/>
        <v>0</v>
      </c>
      <c r="T292" s="133">
        <f t="shared" si="26"/>
        <v>0</v>
      </c>
      <c r="U292" s="132">
        <f t="shared" si="4"/>
        <v>0</v>
      </c>
      <c r="V292" s="130"/>
      <c r="W292" s="130"/>
      <c r="X292" s="134"/>
      <c r="Y292" s="135"/>
      <c r="Z292" s="136"/>
      <c r="AA292" s="137"/>
      <c r="AB292" s="137"/>
    </row>
    <row r="293" ht="12.0" customHeight="1">
      <c r="A293" s="111"/>
      <c r="F293" s="123">
        <f t="shared" si="8"/>
        <v>292</v>
      </c>
      <c r="G293" s="124"/>
      <c r="H293" s="125" t="s">
        <v>2378</v>
      </c>
      <c r="I293" s="155">
        <f t="shared" si="27"/>
        <v>291</v>
      </c>
      <c r="J293" s="127" t="str">
        <f t="shared" si="1"/>
        <v>PE25-291</v>
      </c>
      <c r="K293" s="153"/>
      <c r="L293" s="129"/>
      <c r="M293" s="129"/>
      <c r="N293" s="124"/>
      <c r="O293" s="124"/>
      <c r="P293" s="130"/>
      <c r="Q293" s="131"/>
      <c r="R293" s="132"/>
      <c r="S293" s="132">
        <f t="shared" si="2"/>
        <v>0</v>
      </c>
      <c r="T293" s="133">
        <f t="shared" si="26"/>
        <v>0</v>
      </c>
      <c r="U293" s="132">
        <f t="shared" si="4"/>
        <v>0</v>
      </c>
      <c r="V293" s="130"/>
      <c r="W293" s="130"/>
      <c r="X293" s="134"/>
      <c r="Y293" s="135"/>
      <c r="Z293" s="136"/>
      <c r="AA293" s="137"/>
      <c r="AB293" s="137"/>
    </row>
    <row r="294" ht="12.0" customHeight="1">
      <c r="A294" s="111"/>
      <c r="F294" s="123">
        <f t="shared" si="8"/>
        <v>293</v>
      </c>
      <c r="G294" s="124"/>
      <c r="H294" s="125" t="s">
        <v>2378</v>
      </c>
      <c r="I294" s="155">
        <f t="shared" si="27"/>
        <v>292</v>
      </c>
      <c r="J294" s="127" t="str">
        <f t="shared" si="1"/>
        <v>PE25-292</v>
      </c>
      <c r="K294" s="153"/>
      <c r="L294" s="129"/>
      <c r="M294" s="129"/>
      <c r="N294" s="124"/>
      <c r="O294" s="124"/>
      <c r="P294" s="130"/>
      <c r="Q294" s="131"/>
      <c r="R294" s="132"/>
      <c r="S294" s="132">
        <f t="shared" si="2"/>
        <v>0</v>
      </c>
      <c r="T294" s="133">
        <f t="shared" si="26"/>
        <v>0</v>
      </c>
      <c r="U294" s="132">
        <f t="shared" si="4"/>
        <v>0</v>
      </c>
      <c r="V294" s="130"/>
      <c r="W294" s="130"/>
      <c r="X294" s="134"/>
      <c r="Y294" s="135"/>
      <c r="Z294" s="136"/>
      <c r="AA294" s="137"/>
      <c r="AB294" s="137"/>
    </row>
    <row r="295" ht="12.0" customHeight="1">
      <c r="A295" s="111"/>
      <c r="F295" s="123">
        <f t="shared" si="8"/>
        <v>294</v>
      </c>
      <c r="G295" s="124"/>
      <c r="H295" s="125" t="s">
        <v>2378</v>
      </c>
      <c r="I295" s="155">
        <f t="shared" si="27"/>
        <v>293</v>
      </c>
      <c r="J295" s="127" t="str">
        <f t="shared" si="1"/>
        <v>PE25-293</v>
      </c>
      <c r="K295" s="153"/>
      <c r="L295" s="129"/>
      <c r="M295" s="129"/>
      <c r="N295" s="124"/>
      <c r="O295" s="124"/>
      <c r="P295" s="130"/>
      <c r="Q295" s="131"/>
      <c r="R295" s="132"/>
      <c r="S295" s="132">
        <f t="shared" si="2"/>
        <v>0</v>
      </c>
      <c r="T295" s="133">
        <f t="shared" si="26"/>
        <v>0</v>
      </c>
      <c r="U295" s="132">
        <f t="shared" si="4"/>
        <v>0</v>
      </c>
      <c r="V295" s="130"/>
      <c r="W295" s="130"/>
      <c r="X295" s="134"/>
      <c r="Y295" s="135"/>
      <c r="Z295" s="136"/>
      <c r="AA295" s="137"/>
      <c r="AB295" s="137"/>
    </row>
    <row r="296" ht="12.0" customHeight="1">
      <c r="A296" s="111"/>
      <c r="F296" s="123">
        <f t="shared" si="8"/>
        <v>295</v>
      </c>
      <c r="G296" s="124"/>
      <c r="H296" s="125" t="s">
        <v>2378</v>
      </c>
      <c r="I296" s="155">
        <f t="shared" si="27"/>
        <v>294</v>
      </c>
      <c r="J296" s="127" t="str">
        <f t="shared" si="1"/>
        <v>PE25-294</v>
      </c>
      <c r="K296" s="153"/>
      <c r="L296" s="129"/>
      <c r="M296" s="129"/>
      <c r="N296" s="124"/>
      <c r="O296" s="124"/>
      <c r="P296" s="130"/>
      <c r="Q296" s="131"/>
      <c r="R296" s="132"/>
      <c r="S296" s="132">
        <f t="shared" si="2"/>
        <v>0</v>
      </c>
      <c r="T296" s="133">
        <f t="shared" si="26"/>
        <v>0</v>
      </c>
      <c r="U296" s="132">
        <f t="shared" si="4"/>
        <v>0</v>
      </c>
      <c r="V296" s="130"/>
      <c r="W296" s="130"/>
      <c r="X296" s="134"/>
      <c r="Y296" s="135"/>
      <c r="Z296" s="136"/>
      <c r="AA296" s="137"/>
      <c r="AB296" s="137"/>
    </row>
    <row r="297" ht="12.0" customHeight="1">
      <c r="A297" s="111"/>
      <c r="F297" s="123">
        <f t="shared" si="8"/>
        <v>296</v>
      </c>
      <c r="G297" s="124"/>
      <c r="H297" s="125" t="s">
        <v>2378</v>
      </c>
      <c r="I297" s="155">
        <f t="shared" si="27"/>
        <v>295</v>
      </c>
      <c r="J297" s="127" t="str">
        <f t="shared" si="1"/>
        <v>PE25-295</v>
      </c>
      <c r="K297" s="153"/>
      <c r="L297" s="129"/>
      <c r="M297" s="129"/>
      <c r="N297" s="124"/>
      <c r="O297" s="124"/>
      <c r="P297" s="130"/>
      <c r="Q297" s="131"/>
      <c r="R297" s="132"/>
      <c r="S297" s="132">
        <f t="shared" si="2"/>
        <v>0</v>
      </c>
      <c r="T297" s="133">
        <f t="shared" si="26"/>
        <v>0</v>
      </c>
      <c r="U297" s="132">
        <f t="shared" si="4"/>
        <v>0</v>
      </c>
      <c r="V297" s="130"/>
      <c r="W297" s="130"/>
      <c r="X297" s="134"/>
      <c r="Y297" s="135"/>
      <c r="Z297" s="136"/>
      <c r="AA297" s="137"/>
      <c r="AB297" s="137"/>
    </row>
    <row r="298" ht="12.0" customHeight="1">
      <c r="A298" s="111"/>
      <c r="F298" s="123">
        <f t="shared" si="8"/>
        <v>297</v>
      </c>
      <c r="G298" s="124"/>
      <c r="H298" s="125" t="s">
        <v>2378</v>
      </c>
      <c r="I298" s="155">
        <f t="shared" si="27"/>
        <v>296</v>
      </c>
      <c r="J298" s="127" t="str">
        <f t="shared" si="1"/>
        <v>PE25-296</v>
      </c>
      <c r="K298" s="153"/>
      <c r="L298" s="129"/>
      <c r="M298" s="129"/>
      <c r="N298" s="124"/>
      <c r="O298" s="124"/>
      <c r="P298" s="130"/>
      <c r="Q298" s="131"/>
      <c r="R298" s="132"/>
      <c r="S298" s="132">
        <f t="shared" si="2"/>
        <v>0</v>
      </c>
      <c r="T298" s="133">
        <f t="shared" si="26"/>
        <v>0</v>
      </c>
      <c r="U298" s="132">
        <f t="shared" si="4"/>
        <v>0</v>
      </c>
      <c r="V298" s="130"/>
      <c r="W298" s="130"/>
      <c r="X298" s="134"/>
      <c r="Y298" s="135"/>
      <c r="Z298" s="136"/>
      <c r="AA298" s="137"/>
      <c r="AB298" s="137"/>
    </row>
    <row r="299" ht="12.0" customHeight="1">
      <c r="A299" s="111"/>
      <c r="F299" s="123">
        <f t="shared" si="8"/>
        <v>298</v>
      </c>
      <c r="G299" s="124"/>
      <c r="H299" s="125" t="s">
        <v>2378</v>
      </c>
      <c r="I299" s="155">
        <f t="shared" si="27"/>
        <v>297</v>
      </c>
      <c r="J299" s="127" t="str">
        <f t="shared" si="1"/>
        <v>PE25-297</v>
      </c>
      <c r="K299" s="153"/>
      <c r="L299" s="129"/>
      <c r="M299" s="129"/>
      <c r="N299" s="124"/>
      <c r="O299" s="124"/>
      <c r="P299" s="130"/>
      <c r="Q299" s="131"/>
      <c r="R299" s="132"/>
      <c r="S299" s="132">
        <f t="shared" si="2"/>
        <v>0</v>
      </c>
      <c r="T299" s="133">
        <f t="shared" si="26"/>
        <v>0</v>
      </c>
      <c r="U299" s="132">
        <f t="shared" si="4"/>
        <v>0</v>
      </c>
      <c r="V299" s="130"/>
      <c r="W299" s="130"/>
      <c r="X299" s="134"/>
      <c r="Y299" s="135"/>
      <c r="Z299" s="136"/>
      <c r="AA299" s="137"/>
      <c r="AB299" s="137"/>
    </row>
    <row r="300" ht="12.0" customHeight="1">
      <c r="A300" s="111"/>
      <c r="F300" s="123">
        <f t="shared" si="8"/>
        <v>299</v>
      </c>
      <c r="G300" s="124"/>
      <c r="H300" s="125" t="s">
        <v>2378</v>
      </c>
      <c r="I300" s="155">
        <f t="shared" si="27"/>
        <v>298</v>
      </c>
      <c r="J300" s="127" t="str">
        <f t="shared" si="1"/>
        <v>PE25-298</v>
      </c>
      <c r="K300" s="153"/>
      <c r="L300" s="129"/>
      <c r="M300" s="129"/>
      <c r="N300" s="124"/>
      <c r="O300" s="124"/>
      <c r="P300" s="130"/>
      <c r="Q300" s="131"/>
      <c r="R300" s="132"/>
      <c r="S300" s="132">
        <f t="shared" si="2"/>
        <v>0</v>
      </c>
      <c r="T300" s="133">
        <f t="shared" si="26"/>
        <v>0</v>
      </c>
      <c r="U300" s="132">
        <f t="shared" si="4"/>
        <v>0</v>
      </c>
      <c r="V300" s="130"/>
      <c r="W300" s="130"/>
      <c r="X300" s="134"/>
      <c r="Y300" s="135"/>
      <c r="Z300" s="136"/>
      <c r="AA300" s="137"/>
      <c r="AB300" s="137"/>
    </row>
    <row r="301" ht="12.0" customHeight="1">
      <c r="A301" s="111"/>
      <c r="F301" s="123">
        <f t="shared" si="8"/>
        <v>300</v>
      </c>
      <c r="G301" s="124"/>
      <c r="H301" s="125" t="s">
        <v>2378</v>
      </c>
      <c r="I301" s="155">
        <f t="shared" si="27"/>
        <v>299</v>
      </c>
      <c r="J301" s="127" t="str">
        <f t="shared" si="1"/>
        <v>PE25-299</v>
      </c>
      <c r="K301" s="153"/>
      <c r="L301" s="129"/>
      <c r="M301" s="129"/>
      <c r="N301" s="124"/>
      <c r="O301" s="124"/>
      <c r="P301" s="130"/>
      <c r="Q301" s="131"/>
      <c r="R301" s="132"/>
      <c r="S301" s="132">
        <f t="shared" si="2"/>
        <v>0</v>
      </c>
      <c r="T301" s="133">
        <f t="shared" si="26"/>
        <v>0</v>
      </c>
      <c r="U301" s="132">
        <f t="shared" si="4"/>
        <v>0</v>
      </c>
      <c r="V301" s="130"/>
      <c r="W301" s="130"/>
      <c r="X301" s="134"/>
      <c r="Y301" s="135"/>
      <c r="Z301" s="136"/>
      <c r="AA301" s="137"/>
      <c r="AB301" s="137"/>
    </row>
    <row r="302" ht="12.0" customHeight="1">
      <c r="A302" s="111"/>
      <c r="F302" s="123">
        <f t="shared" si="8"/>
        <v>301</v>
      </c>
      <c r="G302" s="124"/>
      <c r="H302" s="125" t="s">
        <v>2378</v>
      </c>
      <c r="I302" s="155">
        <f t="shared" si="27"/>
        <v>300</v>
      </c>
      <c r="J302" s="127" t="str">
        <f t="shared" si="1"/>
        <v>PE25-300</v>
      </c>
      <c r="K302" s="153"/>
      <c r="L302" s="129"/>
      <c r="M302" s="129"/>
      <c r="N302" s="124"/>
      <c r="O302" s="124"/>
      <c r="P302" s="130"/>
      <c r="Q302" s="131"/>
      <c r="R302" s="132"/>
      <c r="S302" s="132">
        <f t="shared" si="2"/>
        <v>0</v>
      </c>
      <c r="T302" s="133">
        <f t="shared" si="26"/>
        <v>0</v>
      </c>
      <c r="U302" s="132">
        <f t="shared" si="4"/>
        <v>0</v>
      </c>
      <c r="V302" s="130"/>
      <c r="W302" s="130"/>
      <c r="X302" s="134"/>
      <c r="Y302" s="135"/>
      <c r="Z302" s="136"/>
      <c r="AA302" s="137"/>
      <c r="AB302" s="137"/>
    </row>
    <row r="303" ht="12.0" customHeight="1">
      <c r="A303" s="111"/>
      <c r="F303" s="123">
        <f t="shared" si="8"/>
        <v>302</v>
      </c>
      <c r="G303" s="124"/>
      <c r="H303" s="125" t="s">
        <v>2378</v>
      </c>
      <c r="I303" s="155">
        <f t="shared" si="27"/>
        <v>301</v>
      </c>
      <c r="J303" s="127" t="str">
        <f t="shared" si="1"/>
        <v>PE25-301</v>
      </c>
      <c r="K303" s="153"/>
      <c r="L303" s="129"/>
      <c r="M303" s="129"/>
      <c r="N303" s="124"/>
      <c r="O303" s="124"/>
      <c r="P303" s="130"/>
      <c r="Q303" s="131"/>
      <c r="R303" s="132"/>
      <c r="S303" s="132"/>
      <c r="T303" s="133"/>
      <c r="U303" s="132"/>
      <c r="V303" s="130"/>
      <c r="W303" s="130"/>
      <c r="X303" s="134"/>
      <c r="Y303" s="135"/>
      <c r="Z303" s="136"/>
      <c r="AA303" s="137"/>
      <c r="AB303" s="137"/>
    </row>
    <row r="304" ht="12.0" customHeight="1">
      <c r="A304" s="111"/>
      <c r="F304" s="123">
        <f t="shared" si="8"/>
        <v>303</v>
      </c>
      <c r="G304" s="124"/>
      <c r="H304" s="125" t="s">
        <v>2378</v>
      </c>
      <c r="I304" s="155">
        <f t="shared" si="27"/>
        <v>302</v>
      </c>
      <c r="J304" s="127" t="str">
        <f t="shared" si="1"/>
        <v>PE25-302</v>
      </c>
      <c r="K304" s="153"/>
      <c r="L304" s="129"/>
      <c r="M304" s="129"/>
      <c r="N304" s="124"/>
      <c r="O304" s="124"/>
      <c r="P304" s="130"/>
      <c r="Q304" s="131"/>
      <c r="R304" s="132"/>
      <c r="S304" s="132"/>
      <c r="T304" s="133"/>
      <c r="U304" s="132"/>
      <c r="V304" s="130"/>
      <c r="W304" s="154"/>
      <c r="X304" s="134"/>
      <c r="Y304" s="135"/>
      <c r="Z304" s="136"/>
      <c r="AA304" s="137"/>
      <c r="AB304" s="137"/>
    </row>
    <row r="305" ht="12.0" customHeight="1">
      <c r="A305" s="111"/>
      <c r="F305" s="123">
        <f t="shared" si="8"/>
        <v>304</v>
      </c>
      <c r="G305" s="124"/>
      <c r="H305" s="125" t="s">
        <v>2378</v>
      </c>
      <c r="I305" s="155">
        <f t="shared" si="27"/>
        <v>303</v>
      </c>
      <c r="J305" s="127" t="str">
        <f t="shared" si="1"/>
        <v>PE25-303</v>
      </c>
      <c r="K305" s="153"/>
      <c r="L305" s="129"/>
      <c r="M305" s="129"/>
      <c r="N305" s="124"/>
      <c r="O305" s="124"/>
      <c r="P305" s="130"/>
      <c r="Q305" s="131"/>
      <c r="R305" s="132"/>
      <c r="S305" s="132"/>
      <c r="T305" s="133"/>
      <c r="U305" s="132"/>
      <c r="V305" s="130"/>
      <c r="W305" s="130"/>
      <c r="X305" s="134"/>
      <c r="Y305" s="135"/>
      <c r="Z305" s="136"/>
      <c r="AA305" s="137"/>
      <c r="AB305" s="137"/>
    </row>
    <row r="306" ht="12.0" customHeight="1">
      <c r="A306" s="111"/>
      <c r="F306" s="123">
        <f t="shared" si="8"/>
        <v>305</v>
      </c>
      <c r="G306" s="124"/>
      <c r="H306" s="125" t="s">
        <v>2378</v>
      </c>
      <c r="I306" s="155">
        <f t="shared" si="27"/>
        <v>304</v>
      </c>
      <c r="J306" s="127" t="str">
        <f t="shared" si="1"/>
        <v>PE25-304</v>
      </c>
      <c r="K306" s="153"/>
      <c r="L306" s="129"/>
      <c r="M306" s="129"/>
      <c r="N306" s="124"/>
      <c r="O306" s="124"/>
      <c r="P306" s="130"/>
      <c r="Q306" s="131"/>
      <c r="R306" s="132"/>
      <c r="S306" s="132"/>
      <c r="T306" s="133"/>
      <c r="U306" s="132"/>
      <c r="V306" s="130"/>
      <c r="W306" s="130"/>
      <c r="X306" s="134"/>
      <c r="Y306" s="135"/>
      <c r="Z306" s="136"/>
      <c r="AA306" s="137"/>
      <c r="AB306" s="137"/>
    </row>
    <row r="307" ht="12.0" customHeight="1">
      <c r="A307" s="111"/>
      <c r="F307" s="123">
        <f t="shared" si="8"/>
        <v>306</v>
      </c>
      <c r="G307" s="124"/>
      <c r="H307" s="125" t="s">
        <v>2378</v>
      </c>
      <c r="I307" s="155">
        <f t="shared" si="27"/>
        <v>305</v>
      </c>
      <c r="J307" s="127" t="str">
        <f t="shared" si="1"/>
        <v>PE25-305</v>
      </c>
      <c r="K307" s="153"/>
      <c r="L307" s="129"/>
      <c r="M307" s="129"/>
      <c r="N307" s="124"/>
      <c r="O307" s="124"/>
      <c r="P307" s="130"/>
      <c r="Q307" s="131"/>
      <c r="R307" s="132"/>
      <c r="S307" s="132"/>
      <c r="T307" s="133"/>
      <c r="U307" s="132"/>
      <c r="V307" s="130"/>
      <c r="W307" s="130"/>
      <c r="X307" s="134"/>
      <c r="Y307" s="135"/>
      <c r="Z307" s="136"/>
      <c r="AA307" s="137"/>
      <c r="AB307" s="137"/>
    </row>
    <row r="308" ht="12.0" customHeight="1">
      <c r="A308" s="111"/>
      <c r="F308" s="123">
        <f t="shared" si="8"/>
        <v>307</v>
      </c>
      <c r="G308" s="124"/>
      <c r="H308" s="125" t="s">
        <v>2378</v>
      </c>
      <c r="I308" s="155">
        <f t="shared" si="27"/>
        <v>306</v>
      </c>
      <c r="J308" s="127" t="str">
        <f t="shared" si="1"/>
        <v>PE25-306</v>
      </c>
      <c r="K308" s="153"/>
      <c r="L308" s="129"/>
      <c r="M308" s="129"/>
      <c r="N308" s="124"/>
      <c r="O308" s="124"/>
      <c r="P308" s="130"/>
      <c r="Q308" s="131"/>
      <c r="R308" s="132"/>
      <c r="S308" s="132"/>
      <c r="T308" s="133"/>
      <c r="U308" s="132"/>
      <c r="V308" s="130"/>
      <c r="W308" s="130"/>
      <c r="X308" s="134"/>
      <c r="Y308" s="135"/>
      <c r="Z308" s="136"/>
      <c r="AA308" s="137"/>
      <c r="AB308" s="137"/>
    </row>
    <row r="309" ht="12.0" customHeight="1">
      <c r="A309" s="111"/>
      <c r="F309" s="123">
        <f t="shared" si="8"/>
        <v>308</v>
      </c>
      <c r="G309" s="124"/>
      <c r="H309" s="125" t="s">
        <v>2378</v>
      </c>
      <c r="I309" s="155">
        <f t="shared" si="27"/>
        <v>307</v>
      </c>
      <c r="J309" s="127" t="str">
        <f t="shared" si="1"/>
        <v>PE25-307</v>
      </c>
      <c r="K309" s="153"/>
      <c r="L309" s="129"/>
      <c r="M309" s="129"/>
      <c r="N309" s="124"/>
      <c r="O309" s="124"/>
      <c r="P309" s="130"/>
      <c r="Q309" s="131"/>
      <c r="R309" s="132"/>
      <c r="S309" s="132"/>
      <c r="T309" s="133"/>
      <c r="U309" s="132"/>
      <c r="V309" s="130"/>
      <c r="W309" s="124"/>
      <c r="X309" s="134"/>
      <c r="Y309" s="135"/>
      <c r="Z309" s="136"/>
      <c r="AA309" s="137"/>
      <c r="AB309" s="137"/>
    </row>
    <row r="310" ht="12.0" customHeight="1">
      <c r="A310" s="111"/>
      <c r="F310" s="123">
        <f t="shared" si="8"/>
        <v>309</v>
      </c>
      <c r="G310" s="124"/>
      <c r="H310" s="125" t="s">
        <v>2378</v>
      </c>
      <c r="I310" s="155">
        <f t="shared" si="27"/>
        <v>308</v>
      </c>
      <c r="J310" s="127" t="str">
        <f t="shared" si="1"/>
        <v>PE25-308</v>
      </c>
      <c r="K310" s="153"/>
      <c r="L310" s="129"/>
      <c r="M310" s="129"/>
      <c r="N310" s="124"/>
      <c r="O310" s="124"/>
      <c r="P310" s="130"/>
      <c r="Q310" s="131"/>
      <c r="R310" s="132"/>
      <c r="S310" s="132"/>
      <c r="T310" s="133"/>
      <c r="U310" s="132"/>
      <c r="V310" s="130"/>
      <c r="W310" s="130"/>
      <c r="X310" s="134"/>
      <c r="Y310" s="135"/>
      <c r="Z310" s="136"/>
      <c r="AA310" s="137"/>
      <c r="AB310" s="137"/>
    </row>
    <row r="311" ht="12.0" customHeight="1">
      <c r="A311" s="111"/>
      <c r="F311" s="123">
        <f t="shared" si="8"/>
        <v>310</v>
      </c>
      <c r="G311" s="124"/>
      <c r="H311" s="125" t="s">
        <v>2378</v>
      </c>
      <c r="I311" s="155">
        <f t="shared" si="27"/>
        <v>309</v>
      </c>
      <c r="J311" s="127" t="str">
        <f t="shared" si="1"/>
        <v>PE25-309</v>
      </c>
      <c r="K311" s="153"/>
      <c r="L311" s="129"/>
      <c r="M311" s="129"/>
      <c r="N311" s="124"/>
      <c r="O311" s="124"/>
      <c r="P311" s="130"/>
      <c r="Q311" s="131"/>
      <c r="R311" s="132"/>
      <c r="S311" s="132"/>
      <c r="T311" s="133"/>
      <c r="U311" s="132"/>
      <c r="V311" s="130"/>
      <c r="W311" s="130"/>
      <c r="X311" s="134"/>
      <c r="Y311" s="135"/>
      <c r="Z311" s="136"/>
      <c r="AA311" s="137"/>
      <c r="AB311" s="137"/>
    </row>
    <row r="312" ht="12.0" customHeight="1">
      <c r="A312" s="111"/>
      <c r="F312" s="123">
        <f t="shared" si="8"/>
        <v>311</v>
      </c>
      <c r="G312" s="124"/>
      <c r="H312" s="125" t="s">
        <v>2378</v>
      </c>
      <c r="I312" s="155">
        <f t="shared" si="27"/>
        <v>310</v>
      </c>
      <c r="J312" s="127" t="str">
        <f t="shared" si="1"/>
        <v>PE25-310</v>
      </c>
      <c r="K312" s="153"/>
      <c r="L312" s="129"/>
      <c r="M312" s="129"/>
      <c r="N312" s="124"/>
      <c r="O312" s="124"/>
      <c r="P312" s="130"/>
      <c r="Q312" s="131"/>
      <c r="R312" s="132"/>
      <c r="S312" s="132"/>
      <c r="T312" s="133"/>
      <c r="U312" s="132"/>
      <c r="V312" s="130"/>
      <c r="W312" s="130"/>
      <c r="X312" s="134"/>
      <c r="Y312" s="135"/>
      <c r="Z312" s="136"/>
      <c r="AA312" s="137"/>
      <c r="AB312" s="137"/>
    </row>
    <row r="313" ht="12.0" customHeight="1">
      <c r="A313" s="111"/>
      <c r="F313" s="123">
        <f t="shared" si="8"/>
        <v>312</v>
      </c>
      <c r="G313" s="124"/>
      <c r="H313" s="125" t="s">
        <v>2378</v>
      </c>
      <c r="I313" s="155">
        <f t="shared" si="27"/>
        <v>311</v>
      </c>
      <c r="J313" s="127" t="str">
        <f t="shared" si="1"/>
        <v>PE25-311</v>
      </c>
      <c r="K313" s="153"/>
      <c r="L313" s="129"/>
      <c r="M313" s="129"/>
      <c r="N313" s="124"/>
      <c r="O313" s="124"/>
      <c r="P313" s="130"/>
      <c r="Q313" s="131"/>
      <c r="R313" s="132"/>
      <c r="S313" s="132"/>
      <c r="T313" s="133"/>
      <c r="U313" s="132"/>
      <c r="V313" s="130"/>
      <c r="W313" s="130"/>
      <c r="X313" s="134"/>
      <c r="Y313" s="135"/>
      <c r="Z313" s="136"/>
      <c r="AA313" s="137"/>
      <c r="AB313" s="137"/>
    </row>
    <row r="314" ht="12.0" customHeight="1">
      <c r="A314" s="111"/>
      <c r="F314" s="123">
        <f t="shared" si="8"/>
        <v>313</v>
      </c>
      <c r="G314" s="124"/>
      <c r="H314" s="125" t="s">
        <v>2378</v>
      </c>
      <c r="I314" s="155">
        <f t="shared" si="27"/>
        <v>312</v>
      </c>
      <c r="J314" s="127" t="str">
        <f t="shared" si="1"/>
        <v>PE25-312</v>
      </c>
      <c r="K314" s="153"/>
      <c r="L314" s="129"/>
      <c r="M314" s="129"/>
      <c r="N314" s="124"/>
      <c r="O314" s="124"/>
      <c r="P314" s="130"/>
      <c r="Q314" s="131"/>
      <c r="R314" s="132"/>
      <c r="S314" s="132"/>
      <c r="T314" s="133"/>
      <c r="U314" s="132"/>
      <c r="V314" s="130"/>
      <c r="W314" s="130"/>
      <c r="X314" s="134"/>
      <c r="Y314" s="135"/>
      <c r="Z314" s="136"/>
      <c r="AA314" s="137"/>
      <c r="AB314" s="137"/>
    </row>
    <row r="315" ht="12.0" customHeight="1">
      <c r="A315" s="111"/>
      <c r="F315" s="123">
        <f t="shared" si="8"/>
        <v>314</v>
      </c>
      <c r="G315" s="124"/>
      <c r="H315" s="125" t="s">
        <v>2378</v>
      </c>
      <c r="I315" s="155">
        <f t="shared" si="27"/>
        <v>313</v>
      </c>
      <c r="J315" s="127" t="str">
        <f t="shared" si="1"/>
        <v>PE25-313</v>
      </c>
      <c r="K315" s="153"/>
      <c r="L315" s="129"/>
      <c r="M315" s="129"/>
      <c r="N315" s="124"/>
      <c r="O315" s="124"/>
      <c r="P315" s="130"/>
      <c r="Q315" s="131"/>
      <c r="R315" s="132"/>
      <c r="S315" s="132"/>
      <c r="T315" s="133"/>
      <c r="U315" s="132"/>
      <c r="V315" s="130"/>
      <c r="W315" s="130"/>
      <c r="X315" s="134"/>
      <c r="Y315" s="135"/>
      <c r="Z315" s="136"/>
      <c r="AA315" s="137"/>
      <c r="AB315" s="137"/>
    </row>
    <row r="316" ht="12.0" customHeight="1">
      <c r="A316" s="111"/>
      <c r="F316" s="123">
        <f t="shared" si="8"/>
        <v>315</v>
      </c>
      <c r="G316" s="124"/>
      <c r="H316" s="125" t="s">
        <v>2378</v>
      </c>
      <c r="I316" s="155">
        <f t="shared" si="27"/>
        <v>314</v>
      </c>
      <c r="J316" s="127" t="str">
        <f t="shared" si="1"/>
        <v>PE25-314</v>
      </c>
      <c r="K316" s="153"/>
      <c r="L316" s="129"/>
      <c r="M316" s="129"/>
      <c r="N316" s="124"/>
      <c r="O316" s="124"/>
      <c r="P316" s="130"/>
      <c r="Q316" s="131"/>
      <c r="R316" s="132"/>
      <c r="S316" s="132"/>
      <c r="T316" s="133"/>
      <c r="U316" s="132"/>
      <c r="V316" s="130"/>
      <c r="W316" s="130"/>
      <c r="X316" s="134"/>
      <c r="Y316" s="135"/>
      <c r="Z316" s="136"/>
      <c r="AA316" s="137"/>
      <c r="AB316" s="137"/>
    </row>
    <row r="317" ht="12.0" customHeight="1">
      <c r="A317" s="111"/>
      <c r="F317" s="123">
        <f t="shared" si="8"/>
        <v>316</v>
      </c>
      <c r="G317" s="124"/>
      <c r="H317" s="125" t="s">
        <v>2378</v>
      </c>
      <c r="I317" s="155">
        <f t="shared" si="27"/>
        <v>315</v>
      </c>
      <c r="J317" s="127" t="str">
        <f t="shared" si="1"/>
        <v>PE25-315</v>
      </c>
      <c r="K317" s="153"/>
      <c r="L317" s="129"/>
      <c r="M317" s="129"/>
      <c r="N317" s="124"/>
      <c r="O317" s="124"/>
      <c r="P317" s="130"/>
      <c r="Q317" s="131"/>
      <c r="R317" s="132"/>
      <c r="S317" s="132"/>
      <c r="T317" s="133"/>
      <c r="U317" s="132"/>
      <c r="V317" s="130"/>
      <c r="W317" s="124"/>
      <c r="X317" s="134"/>
      <c r="Y317" s="135"/>
      <c r="Z317" s="136"/>
      <c r="AA317" s="137"/>
      <c r="AB317" s="137"/>
    </row>
    <row r="318" ht="12.0" customHeight="1">
      <c r="A318" s="111"/>
      <c r="F318" s="123">
        <f t="shared" si="8"/>
        <v>317</v>
      </c>
      <c r="G318" s="124"/>
      <c r="H318" s="125" t="s">
        <v>2378</v>
      </c>
      <c r="I318" s="155">
        <f t="shared" si="27"/>
        <v>316</v>
      </c>
      <c r="J318" s="127" t="str">
        <f t="shared" si="1"/>
        <v>PE25-316</v>
      </c>
      <c r="K318" s="153"/>
      <c r="L318" s="129"/>
      <c r="M318" s="129"/>
      <c r="N318" s="124"/>
      <c r="O318" s="124"/>
      <c r="P318" s="130"/>
      <c r="Q318" s="131"/>
      <c r="R318" s="132"/>
      <c r="S318" s="132"/>
      <c r="T318" s="133"/>
      <c r="U318" s="132"/>
      <c r="V318" s="130"/>
      <c r="W318" s="124"/>
      <c r="X318" s="134"/>
      <c r="Y318" s="135"/>
      <c r="Z318" s="136"/>
      <c r="AA318" s="137"/>
      <c r="AB318" s="137"/>
    </row>
    <row r="319" ht="12.0" customHeight="1">
      <c r="A319" s="111"/>
      <c r="F319" s="123">
        <f t="shared" si="8"/>
        <v>318</v>
      </c>
      <c r="G319" s="124"/>
      <c r="H319" s="125" t="s">
        <v>2378</v>
      </c>
      <c r="I319" s="155">
        <f t="shared" si="27"/>
        <v>317</v>
      </c>
      <c r="J319" s="127" t="str">
        <f t="shared" si="1"/>
        <v>PE25-317</v>
      </c>
      <c r="K319" s="153"/>
      <c r="L319" s="129"/>
      <c r="M319" s="129"/>
      <c r="N319" s="124"/>
      <c r="O319" s="124"/>
      <c r="P319" s="130"/>
      <c r="Q319" s="131"/>
      <c r="R319" s="132"/>
      <c r="S319" s="132"/>
      <c r="T319" s="133"/>
      <c r="U319" s="132"/>
      <c r="V319" s="130"/>
      <c r="W319" s="124"/>
      <c r="X319" s="134"/>
      <c r="Y319" s="135"/>
      <c r="Z319" s="136"/>
      <c r="AA319" s="137"/>
      <c r="AB319" s="137"/>
    </row>
    <row r="320" ht="12.0" customHeight="1">
      <c r="A320" s="111"/>
      <c r="F320" s="123">
        <f t="shared" si="8"/>
        <v>319</v>
      </c>
      <c r="G320" s="124"/>
      <c r="H320" s="125" t="s">
        <v>2378</v>
      </c>
      <c r="I320" s="155">
        <f t="shared" si="27"/>
        <v>318</v>
      </c>
      <c r="J320" s="127" t="str">
        <f t="shared" si="1"/>
        <v>PE25-318</v>
      </c>
      <c r="K320" s="153"/>
      <c r="L320" s="129"/>
      <c r="M320" s="129"/>
      <c r="N320" s="124"/>
      <c r="O320" s="124"/>
      <c r="P320" s="130"/>
      <c r="Q320" s="131"/>
      <c r="R320" s="132"/>
      <c r="S320" s="132"/>
      <c r="T320" s="133"/>
      <c r="U320" s="132"/>
      <c r="V320" s="130"/>
      <c r="W320" s="130"/>
      <c r="X320" s="134"/>
      <c r="Y320" s="135"/>
      <c r="Z320" s="136"/>
      <c r="AA320" s="137"/>
      <c r="AB320" s="137"/>
    </row>
    <row r="321" ht="12.0" customHeight="1">
      <c r="A321" s="111"/>
      <c r="F321" s="123">
        <f t="shared" si="8"/>
        <v>320</v>
      </c>
      <c r="G321" s="124"/>
      <c r="H321" s="125" t="s">
        <v>2378</v>
      </c>
      <c r="I321" s="155">
        <f t="shared" si="27"/>
        <v>319</v>
      </c>
      <c r="J321" s="127" t="str">
        <f t="shared" si="1"/>
        <v>PE25-319</v>
      </c>
      <c r="K321" s="153"/>
      <c r="L321" s="129"/>
      <c r="M321" s="129"/>
      <c r="N321" s="124"/>
      <c r="O321" s="124"/>
      <c r="P321" s="130"/>
      <c r="Q321" s="131"/>
      <c r="R321" s="132"/>
      <c r="S321" s="132"/>
      <c r="T321" s="133"/>
      <c r="U321" s="132"/>
      <c r="V321" s="130"/>
      <c r="W321" s="130"/>
      <c r="X321" s="134"/>
      <c r="Y321" s="135"/>
      <c r="Z321" s="136"/>
      <c r="AA321" s="137"/>
      <c r="AB321" s="137"/>
    </row>
    <row r="322" ht="12.0" customHeight="1">
      <c r="A322" s="111"/>
      <c r="F322" s="123">
        <f t="shared" si="8"/>
        <v>321</v>
      </c>
      <c r="G322" s="124"/>
      <c r="H322" s="125" t="s">
        <v>2378</v>
      </c>
      <c r="I322" s="155">
        <f t="shared" si="27"/>
        <v>320</v>
      </c>
      <c r="J322" s="127" t="str">
        <f t="shared" si="1"/>
        <v>PE25-320</v>
      </c>
      <c r="K322" s="153"/>
      <c r="L322" s="129"/>
      <c r="M322" s="129"/>
      <c r="N322" s="124"/>
      <c r="O322" s="124"/>
      <c r="P322" s="130"/>
      <c r="Q322" s="131"/>
      <c r="R322" s="132"/>
      <c r="S322" s="132"/>
      <c r="T322" s="133"/>
      <c r="U322" s="132"/>
      <c r="V322" s="130"/>
      <c r="W322" s="130"/>
      <c r="X322" s="134"/>
      <c r="Y322" s="135"/>
      <c r="Z322" s="136"/>
      <c r="AA322" s="137"/>
      <c r="AB322" s="137"/>
    </row>
    <row r="323" ht="12.0" customHeight="1">
      <c r="A323" s="111"/>
      <c r="F323" s="123">
        <f t="shared" si="8"/>
        <v>322</v>
      </c>
      <c r="G323" s="124"/>
      <c r="H323" s="125" t="s">
        <v>2378</v>
      </c>
      <c r="I323" s="155">
        <f t="shared" si="27"/>
        <v>321</v>
      </c>
      <c r="J323" s="127" t="str">
        <f t="shared" si="1"/>
        <v>PE25-321</v>
      </c>
      <c r="K323" s="153"/>
      <c r="L323" s="129"/>
      <c r="M323" s="129"/>
      <c r="N323" s="124"/>
      <c r="O323" s="124"/>
      <c r="P323" s="130"/>
      <c r="Q323" s="131"/>
      <c r="R323" s="132"/>
      <c r="S323" s="132"/>
      <c r="T323" s="133"/>
      <c r="U323" s="132"/>
      <c r="V323" s="130"/>
      <c r="W323" s="162"/>
      <c r="X323" s="134"/>
      <c r="Y323" s="135"/>
      <c r="Z323" s="136"/>
      <c r="AA323" s="137"/>
      <c r="AB323" s="137"/>
    </row>
    <row r="324" ht="12.0" customHeight="1">
      <c r="A324" s="111"/>
      <c r="F324" s="123">
        <f t="shared" si="8"/>
        <v>323</v>
      </c>
      <c r="G324" s="124"/>
      <c r="H324" s="125" t="s">
        <v>2378</v>
      </c>
      <c r="I324" s="155">
        <f t="shared" si="27"/>
        <v>322</v>
      </c>
      <c r="J324" s="127" t="str">
        <f t="shared" si="1"/>
        <v>PE25-322</v>
      </c>
      <c r="K324" s="153"/>
      <c r="L324" s="129"/>
      <c r="M324" s="129"/>
      <c r="N324" s="124"/>
      <c r="O324" s="124"/>
      <c r="P324" s="130"/>
      <c r="Q324" s="131"/>
      <c r="R324" s="132"/>
      <c r="S324" s="132"/>
      <c r="T324" s="133"/>
      <c r="U324" s="132"/>
      <c r="V324" s="130"/>
      <c r="W324" s="162"/>
      <c r="X324" s="134"/>
      <c r="Y324" s="135"/>
      <c r="Z324" s="136"/>
      <c r="AA324" s="137"/>
      <c r="AB324" s="137"/>
    </row>
    <row r="325" ht="12.0" customHeight="1">
      <c r="A325" s="111"/>
      <c r="F325" s="123">
        <f t="shared" si="8"/>
        <v>324</v>
      </c>
      <c r="G325" s="124"/>
      <c r="H325" s="125" t="s">
        <v>2378</v>
      </c>
      <c r="I325" s="155">
        <f t="shared" si="27"/>
        <v>323</v>
      </c>
      <c r="J325" s="127" t="str">
        <f t="shared" si="1"/>
        <v>PE25-323</v>
      </c>
      <c r="K325" s="153"/>
      <c r="L325" s="129"/>
      <c r="M325" s="129"/>
      <c r="N325" s="124"/>
      <c r="O325" s="124"/>
      <c r="P325" s="130"/>
      <c r="Q325" s="131"/>
      <c r="R325" s="132"/>
      <c r="S325" s="132"/>
      <c r="T325" s="133"/>
      <c r="U325" s="132"/>
      <c r="V325" s="130"/>
      <c r="W325" s="162"/>
      <c r="X325" s="134"/>
      <c r="Y325" s="135"/>
      <c r="Z325" s="136"/>
      <c r="AA325" s="137"/>
      <c r="AB325" s="137"/>
    </row>
    <row r="326" ht="12.0" customHeight="1">
      <c r="A326" s="111"/>
      <c r="F326" s="123">
        <f t="shared" si="8"/>
        <v>325</v>
      </c>
      <c r="G326" s="124"/>
      <c r="H326" s="125" t="s">
        <v>2378</v>
      </c>
      <c r="I326" s="155">
        <f t="shared" si="27"/>
        <v>324</v>
      </c>
      <c r="J326" s="127" t="str">
        <f t="shared" si="1"/>
        <v>PE25-324</v>
      </c>
      <c r="K326" s="163"/>
      <c r="L326" s="164"/>
      <c r="M326" s="164"/>
      <c r="N326" s="165"/>
      <c r="O326" s="165"/>
      <c r="P326" s="130"/>
      <c r="Q326" s="166"/>
      <c r="R326" s="167"/>
      <c r="S326" s="166"/>
      <c r="T326" s="168"/>
      <c r="U326" s="166"/>
      <c r="V326" s="165"/>
      <c r="W326" s="162"/>
      <c r="X326" s="134"/>
      <c r="Y326" s="135"/>
      <c r="Z326" s="136"/>
      <c r="AA326" s="137"/>
      <c r="AB326" s="137"/>
    </row>
    <row r="327" ht="12.0" customHeight="1">
      <c r="A327" s="111"/>
      <c r="F327" s="123">
        <f t="shared" si="8"/>
        <v>326</v>
      </c>
      <c r="G327" s="124"/>
      <c r="H327" s="125" t="s">
        <v>2378</v>
      </c>
      <c r="I327" s="155">
        <f t="shared" si="27"/>
        <v>325</v>
      </c>
      <c r="J327" s="127" t="str">
        <f t="shared" si="1"/>
        <v>PE25-325</v>
      </c>
      <c r="K327" s="163"/>
      <c r="L327" s="164"/>
      <c r="M327" s="164"/>
      <c r="N327" s="165"/>
      <c r="O327" s="165"/>
      <c r="P327" s="130"/>
      <c r="Q327" s="166"/>
      <c r="R327" s="167"/>
      <c r="S327" s="166"/>
      <c r="T327" s="168"/>
      <c r="U327" s="166"/>
      <c r="V327" s="165"/>
      <c r="W327" s="162"/>
      <c r="X327" s="134"/>
      <c r="Y327" s="135"/>
      <c r="Z327" s="136"/>
      <c r="AA327" s="137"/>
      <c r="AB327" s="137"/>
    </row>
    <row r="328" ht="12.0" customHeight="1">
      <c r="A328" s="111"/>
      <c r="F328" s="123">
        <f t="shared" si="8"/>
        <v>327</v>
      </c>
      <c r="G328" s="124"/>
      <c r="H328" s="125" t="s">
        <v>2378</v>
      </c>
      <c r="I328" s="155">
        <f t="shared" si="27"/>
        <v>326</v>
      </c>
      <c r="J328" s="127" t="str">
        <f t="shared" si="1"/>
        <v>PE25-326</v>
      </c>
      <c r="K328" s="163"/>
      <c r="L328" s="164"/>
      <c r="M328" s="164"/>
      <c r="N328" s="165"/>
      <c r="O328" s="165"/>
      <c r="P328" s="130"/>
      <c r="Q328" s="166"/>
      <c r="R328" s="167"/>
      <c r="S328" s="166"/>
      <c r="T328" s="168"/>
      <c r="U328" s="166"/>
      <c r="V328" s="165"/>
      <c r="W328" s="162"/>
      <c r="X328" s="134"/>
      <c r="Y328" s="135"/>
      <c r="Z328" s="136"/>
      <c r="AA328" s="137"/>
      <c r="AB328" s="137"/>
    </row>
    <row r="329" ht="12.0" customHeight="1">
      <c r="A329" s="111"/>
      <c r="F329" s="123">
        <f t="shared" si="8"/>
        <v>328</v>
      </c>
      <c r="G329" s="124"/>
      <c r="H329" s="125" t="s">
        <v>2378</v>
      </c>
      <c r="I329" s="155">
        <f t="shared" si="27"/>
        <v>327</v>
      </c>
      <c r="J329" s="127" t="str">
        <f t="shared" si="1"/>
        <v>PE25-327</v>
      </c>
      <c r="K329" s="163"/>
      <c r="L329" s="164"/>
      <c r="M329" s="164"/>
      <c r="N329" s="165"/>
      <c r="O329" s="165"/>
      <c r="P329" s="130"/>
      <c r="Q329" s="166"/>
      <c r="R329" s="167"/>
      <c r="S329" s="166"/>
      <c r="T329" s="168"/>
      <c r="U329" s="166"/>
      <c r="V329" s="165"/>
      <c r="W329" s="162"/>
      <c r="X329" s="134"/>
      <c r="Y329" s="135"/>
      <c r="Z329" s="136"/>
      <c r="AA329" s="137"/>
      <c r="AB329" s="137"/>
    </row>
    <row r="330" ht="12.0" customHeight="1">
      <c r="A330" s="111"/>
      <c r="F330" s="123">
        <f t="shared" si="8"/>
        <v>329</v>
      </c>
      <c r="G330" s="124"/>
      <c r="H330" s="125" t="s">
        <v>2378</v>
      </c>
      <c r="I330" s="155">
        <f t="shared" si="27"/>
        <v>328</v>
      </c>
      <c r="J330" s="127" t="str">
        <f t="shared" si="1"/>
        <v>PE25-328</v>
      </c>
      <c r="K330" s="163"/>
      <c r="L330" s="164"/>
      <c r="M330" s="164"/>
      <c r="N330" s="165"/>
      <c r="O330" s="165"/>
      <c r="P330" s="130"/>
      <c r="Q330" s="166"/>
      <c r="R330" s="167"/>
      <c r="S330" s="166"/>
      <c r="T330" s="168"/>
      <c r="U330" s="166"/>
      <c r="V330" s="165"/>
      <c r="W330" s="162"/>
      <c r="X330" s="134"/>
      <c r="Y330" s="135"/>
      <c r="Z330" s="136"/>
      <c r="AA330" s="137"/>
      <c r="AB330" s="137"/>
    </row>
    <row r="331" ht="12.0" customHeight="1">
      <c r="A331" s="111"/>
      <c r="F331" s="123">
        <f t="shared" si="8"/>
        <v>330</v>
      </c>
      <c r="G331" s="124"/>
      <c r="H331" s="125" t="s">
        <v>2378</v>
      </c>
      <c r="I331" s="155">
        <f t="shared" si="27"/>
        <v>329</v>
      </c>
      <c r="J331" s="127" t="str">
        <f t="shared" si="1"/>
        <v>PE25-329</v>
      </c>
      <c r="K331" s="163"/>
      <c r="L331" s="164"/>
      <c r="M331" s="164"/>
      <c r="N331" s="165"/>
      <c r="O331" s="165"/>
      <c r="P331" s="130"/>
      <c r="Q331" s="166"/>
      <c r="R331" s="167"/>
      <c r="S331" s="166"/>
      <c r="T331" s="168"/>
      <c r="U331" s="166"/>
      <c r="V331" s="169"/>
      <c r="W331" s="124"/>
      <c r="X331" s="134"/>
      <c r="Y331" s="135"/>
      <c r="Z331" s="136"/>
      <c r="AA331" s="137"/>
      <c r="AB331" s="137"/>
    </row>
    <row r="332" ht="12.0" customHeight="1">
      <c r="A332" s="111"/>
      <c r="F332" s="123">
        <f t="shared" si="8"/>
        <v>331</v>
      </c>
      <c r="G332" s="124"/>
      <c r="H332" s="125" t="s">
        <v>2378</v>
      </c>
      <c r="I332" s="155">
        <f t="shared" si="27"/>
        <v>330</v>
      </c>
      <c r="J332" s="127" t="str">
        <f t="shared" si="1"/>
        <v>PE25-330</v>
      </c>
      <c r="K332" s="163"/>
      <c r="L332" s="164"/>
      <c r="M332" s="164"/>
      <c r="N332" s="165"/>
      <c r="O332" s="165"/>
      <c r="P332" s="130"/>
      <c r="Q332" s="166"/>
      <c r="R332" s="167"/>
      <c r="S332" s="166"/>
      <c r="T332" s="168"/>
      <c r="U332" s="166"/>
      <c r="V332" s="165"/>
      <c r="W332" s="124"/>
      <c r="X332" s="134"/>
      <c r="Y332" s="135"/>
      <c r="Z332" s="136"/>
      <c r="AA332" s="137"/>
      <c r="AB332" s="137"/>
    </row>
    <row r="333" ht="12.0" customHeight="1">
      <c r="A333" s="111"/>
      <c r="F333" s="123">
        <f t="shared" si="8"/>
        <v>332</v>
      </c>
      <c r="G333" s="124"/>
      <c r="H333" s="125" t="s">
        <v>2378</v>
      </c>
      <c r="I333" s="155">
        <f t="shared" si="27"/>
        <v>331</v>
      </c>
      <c r="J333" s="127" t="str">
        <f t="shared" si="1"/>
        <v>PE25-331</v>
      </c>
      <c r="K333" s="163"/>
      <c r="L333" s="164"/>
      <c r="M333" s="164"/>
      <c r="N333" s="165"/>
      <c r="O333" s="165"/>
      <c r="P333" s="130"/>
      <c r="Q333" s="166"/>
      <c r="R333" s="167"/>
      <c r="S333" s="166"/>
      <c r="T333" s="168"/>
      <c r="U333" s="166"/>
      <c r="V333" s="165"/>
      <c r="W333" s="162"/>
      <c r="X333" s="134"/>
      <c r="Y333" s="135"/>
      <c r="Z333" s="136"/>
      <c r="AA333" s="137"/>
      <c r="AB333" s="137"/>
    </row>
    <row r="334" ht="12.0" customHeight="1">
      <c r="A334" s="111"/>
      <c r="F334" s="123">
        <f t="shared" si="8"/>
        <v>333</v>
      </c>
      <c r="G334" s="124"/>
      <c r="H334" s="125" t="s">
        <v>2378</v>
      </c>
      <c r="I334" s="155">
        <f t="shared" si="27"/>
        <v>332</v>
      </c>
      <c r="J334" s="127" t="str">
        <f t="shared" si="1"/>
        <v>PE25-332</v>
      </c>
      <c r="K334" s="163"/>
      <c r="L334" s="164"/>
      <c r="M334" s="164"/>
      <c r="N334" s="165"/>
      <c r="O334" s="165"/>
      <c r="P334" s="130"/>
      <c r="Q334" s="166"/>
      <c r="R334" s="167"/>
      <c r="S334" s="166"/>
      <c r="T334" s="168"/>
      <c r="U334" s="166"/>
      <c r="V334" s="169"/>
      <c r="W334" s="162"/>
      <c r="X334" s="134"/>
      <c r="Y334" s="135"/>
      <c r="Z334" s="136"/>
      <c r="AA334" s="137"/>
      <c r="AB334" s="137"/>
    </row>
    <row r="335" ht="12.0" customHeight="1">
      <c r="A335" s="111"/>
      <c r="F335" s="123">
        <f t="shared" si="8"/>
        <v>334</v>
      </c>
      <c r="G335" s="124"/>
      <c r="H335" s="125" t="s">
        <v>2378</v>
      </c>
      <c r="I335" s="155">
        <f t="shared" si="27"/>
        <v>333</v>
      </c>
      <c r="J335" s="127" t="str">
        <f t="shared" si="1"/>
        <v>PE25-333</v>
      </c>
      <c r="K335" s="170"/>
      <c r="L335" s="164"/>
      <c r="M335" s="164"/>
      <c r="N335" s="165"/>
      <c r="O335" s="165"/>
      <c r="P335" s="130"/>
      <c r="Q335" s="166"/>
      <c r="R335" s="167"/>
      <c r="S335" s="166"/>
      <c r="T335" s="168"/>
      <c r="U335" s="166"/>
      <c r="V335" s="165"/>
      <c r="W335" s="165"/>
      <c r="X335" s="134"/>
      <c r="Y335" s="135"/>
      <c r="Z335" s="136"/>
      <c r="AA335" s="137"/>
      <c r="AB335" s="137"/>
    </row>
    <row r="336" ht="12.0" customHeight="1">
      <c r="A336" s="111"/>
      <c r="F336" s="123">
        <f t="shared" si="8"/>
        <v>335</v>
      </c>
      <c r="G336" s="124"/>
      <c r="H336" s="125" t="s">
        <v>2378</v>
      </c>
      <c r="I336" s="155">
        <f t="shared" si="27"/>
        <v>334</v>
      </c>
      <c r="J336" s="127" t="str">
        <f t="shared" si="1"/>
        <v>PE25-334</v>
      </c>
      <c r="K336" s="163"/>
      <c r="L336" s="164"/>
      <c r="M336" s="164"/>
      <c r="N336" s="165"/>
      <c r="O336" s="165"/>
      <c r="P336" s="130"/>
      <c r="Q336" s="166"/>
      <c r="R336" s="167"/>
      <c r="S336" s="166"/>
      <c r="T336" s="168"/>
      <c r="U336" s="166"/>
      <c r="V336" s="169"/>
      <c r="W336" s="154"/>
      <c r="X336" s="134"/>
      <c r="Y336" s="135"/>
      <c r="Z336" s="136"/>
      <c r="AA336" s="137"/>
      <c r="AB336" s="137"/>
    </row>
    <row r="337" ht="12.0" customHeight="1">
      <c r="A337" s="111"/>
      <c r="F337" s="123">
        <f t="shared" si="8"/>
        <v>336</v>
      </c>
      <c r="G337" s="124"/>
      <c r="H337" s="125" t="s">
        <v>2378</v>
      </c>
      <c r="I337" s="155">
        <f t="shared" si="27"/>
        <v>335</v>
      </c>
      <c r="J337" s="127" t="str">
        <f t="shared" si="1"/>
        <v>PE25-335</v>
      </c>
      <c r="K337" s="163"/>
      <c r="L337" s="164"/>
      <c r="M337" s="164"/>
      <c r="N337" s="165"/>
      <c r="O337" s="165"/>
      <c r="P337" s="130"/>
      <c r="Q337" s="166"/>
      <c r="R337" s="167"/>
      <c r="S337" s="166"/>
      <c r="T337" s="168"/>
      <c r="U337" s="166"/>
      <c r="V337" s="171"/>
      <c r="W337" s="154"/>
      <c r="X337" s="134"/>
      <c r="Y337" s="135"/>
      <c r="Z337" s="136"/>
      <c r="AA337" s="137"/>
      <c r="AB337" s="137"/>
    </row>
    <row r="338" ht="12.0" customHeight="1">
      <c r="A338" s="111"/>
      <c r="F338" s="123">
        <f t="shared" si="8"/>
        <v>337</v>
      </c>
      <c r="G338" s="124"/>
      <c r="H338" s="125" t="s">
        <v>2378</v>
      </c>
      <c r="I338" s="155">
        <f t="shared" si="27"/>
        <v>336</v>
      </c>
      <c r="J338" s="127" t="str">
        <f t="shared" si="1"/>
        <v>PE25-336</v>
      </c>
      <c r="K338" s="163"/>
      <c r="L338" s="164"/>
      <c r="M338" s="164"/>
      <c r="N338" s="165"/>
      <c r="O338" s="165"/>
      <c r="P338" s="130"/>
      <c r="Q338" s="166"/>
      <c r="R338" s="167"/>
      <c r="S338" s="166"/>
      <c r="T338" s="168"/>
      <c r="U338" s="166"/>
      <c r="V338" s="169"/>
      <c r="W338" s="162"/>
      <c r="X338" s="134"/>
      <c r="Y338" s="135"/>
      <c r="Z338" s="136"/>
      <c r="AA338" s="137"/>
      <c r="AB338" s="137"/>
    </row>
    <row r="339" ht="12.0" customHeight="1">
      <c r="A339" s="111"/>
      <c r="F339" s="123">
        <f t="shared" si="8"/>
        <v>338</v>
      </c>
      <c r="G339" s="124"/>
      <c r="H339" s="125" t="s">
        <v>2378</v>
      </c>
      <c r="I339" s="155">
        <f t="shared" si="27"/>
        <v>337</v>
      </c>
      <c r="J339" s="127" t="str">
        <f t="shared" si="1"/>
        <v>PE25-337</v>
      </c>
      <c r="K339" s="163"/>
      <c r="L339" s="164"/>
      <c r="M339" s="164"/>
      <c r="N339" s="165"/>
      <c r="O339" s="165"/>
      <c r="P339" s="130"/>
      <c r="Q339" s="166"/>
      <c r="R339" s="167"/>
      <c r="S339" s="166"/>
      <c r="T339" s="168"/>
      <c r="U339" s="166"/>
      <c r="V339" s="165"/>
      <c r="W339" s="162"/>
      <c r="X339" s="134"/>
      <c r="Y339" s="135"/>
      <c r="Z339" s="136"/>
      <c r="AA339" s="137"/>
      <c r="AB339" s="137"/>
    </row>
    <row r="340" ht="12.0" customHeight="1">
      <c r="A340" s="111"/>
      <c r="F340" s="123">
        <f t="shared" si="8"/>
        <v>339</v>
      </c>
      <c r="G340" s="124"/>
      <c r="H340" s="125" t="s">
        <v>2378</v>
      </c>
      <c r="I340" s="155">
        <f t="shared" si="27"/>
        <v>338</v>
      </c>
      <c r="J340" s="127" t="str">
        <f t="shared" si="1"/>
        <v>PE25-338</v>
      </c>
      <c r="K340" s="163"/>
      <c r="L340" s="164"/>
      <c r="M340" s="164"/>
      <c r="N340" s="165"/>
      <c r="O340" s="165"/>
      <c r="P340" s="130"/>
      <c r="Q340" s="166"/>
      <c r="R340" s="167"/>
      <c r="S340" s="166"/>
      <c r="T340" s="168"/>
      <c r="U340" s="166"/>
      <c r="V340" s="169"/>
      <c r="W340" s="162"/>
      <c r="X340" s="134"/>
      <c r="Y340" s="135"/>
      <c r="Z340" s="136"/>
      <c r="AA340" s="137"/>
      <c r="AB340" s="137"/>
    </row>
    <row r="341" ht="12.0" customHeight="1">
      <c r="A341" s="111"/>
      <c r="F341" s="123">
        <f t="shared" si="8"/>
        <v>340</v>
      </c>
      <c r="G341" s="124"/>
      <c r="H341" s="125" t="s">
        <v>2378</v>
      </c>
      <c r="I341" s="155">
        <f t="shared" si="27"/>
        <v>339</v>
      </c>
      <c r="J341" s="127" t="str">
        <f t="shared" si="1"/>
        <v>PE25-339</v>
      </c>
      <c r="K341" s="163"/>
      <c r="L341" s="164"/>
      <c r="M341" s="164"/>
      <c r="N341" s="165"/>
      <c r="O341" s="165"/>
      <c r="P341" s="130"/>
      <c r="Q341" s="166"/>
      <c r="R341" s="167"/>
      <c r="S341" s="166"/>
      <c r="T341" s="168"/>
      <c r="U341" s="166"/>
      <c r="V341" s="165"/>
      <c r="W341" s="154"/>
      <c r="X341" s="134"/>
      <c r="Y341" s="135"/>
      <c r="Z341" s="136"/>
      <c r="AA341" s="137"/>
      <c r="AB341" s="137"/>
    </row>
    <row r="342" ht="12.0" customHeight="1">
      <c r="A342" s="111"/>
      <c r="F342" s="123">
        <f t="shared" si="8"/>
        <v>341</v>
      </c>
      <c r="G342" s="172"/>
      <c r="H342" s="125" t="s">
        <v>2378</v>
      </c>
      <c r="I342" s="155">
        <f t="shared" si="27"/>
        <v>340</v>
      </c>
      <c r="J342" s="127" t="str">
        <f t="shared" si="1"/>
        <v>PE25-340</v>
      </c>
      <c r="K342" s="163"/>
      <c r="L342" s="164"/>
      <c r="M342" s="164"/>
      <c r="N342" s="165"/>
      <c r="O342" s="165"/>
      <c r="P342" s="130"/>
      <c r="Q342" s="166"/>
      <c r="R342" s="167"/>
      <c r="S342" s="166"/>
      <c r="T342" s="168"/>
      <c r="U342" s="166"/>
      <c r="V342" s="171"/>
      <c r="W342" s="162"/>
      <c r="X342" s="134"/>
      <c r="Y342" s="135"/>
      <c r="Z342" s="136"/>
      <c r="AA342" s="137"/>
      <c r="AB342" s="137"/>
    </row>
    <row r="343" ht="12.0" customHeight="1">
      <c r="A343" s="111"/>
      <c r="F343" s="123">
        <f t="shared" si="8"/>
        <v>342</v>
      </c>
      <c r="G343" s="172"/>
      <c r="H343" s="125" t="s">
        <v>2378</v>
      </c>
      <c r="I343" s="155">
        <f t="shared" si="27"/>
        <v>341</v>
      </c>
      <c r="J343" s="127" t="str">
        <f t="shared" si="1"/>
        <v>PE25-341</v>
      </c>
      <c r="K343" s="163"/>
      <c r="L343" s="164"/>
      <c r="M343" s="164"/>
      <c r="N343" s="165"/>
      <c r="O343" s="165"/>
      <c r="P343" s="130"/>
      <c r="Q343" s="166"/>
      <c r="R343" s="167"/>
      <c r="S343" s="166"/>
      <c r="T343" s="168"/>
      <c r="U343" s="166"/>
      <c r="V343" s="169"/>
      <c r="W343" s="162"/>
      <c r="X343" s="134"/>
      <c r="Y343" s="135"/>
      <c r="Z343" s="136"/>
      <c r="AA343" s="137"/>
      <c r="AB343" s="137"/>
    </row>
    <row r="344" ht="12.0" customHeight="1">
      <c r="A344" s="111"/>
      <c r="F344" s="123">
        <f t="shared" si="8"/>
        <v>343</v>
      </c>
      <c r="G344" s="172"/>
      <c r="H344" s="125" t="s">
        <v>2378</v>
      </c>
      <c r="I344" s="155">
        <f t="shared" si="27"/>
        <v>342</v>
      </c>
      <c r="J344" s="127" t="str">
        <f t="shared" si="1"/>
        <v>PE25-342</v>
      </c>
      <c r="K344" s="163"/>
      <c r="L344" s="164"/>
      <c r="M344" s="164"/>
      <c r="N344" s="165"/>
      <c r="O344" s="165"/>
      <c r="P344" s="130"/>
      <c r="Q344" s="166"/>
      <c r="R344" s="167"/>
      <c r="S344" s="166"/>
      <c r="T344" s="168"/>
      <c r="U344" s="166"/>
      <c r="V344" s="165"/>
      <c r="W344" s="162"/>
      <c r="X344" s="134"/>
      <c r="Y344" s="135"/>
      <c r="Z344" s="136"/>
      <c r="AA344" s="137"/>
      <c r="AB344" s="137"/>
    </row>
    <row r="345" ht="12.0" customHeight="1">
      <c r="A345" s="111"/>
      <c r="F345" s="123">
        <f t="shared" si="8"/>
        <v>344</v>
      </c>
      <c r="G345" s="172"/>
      <c r="H345" s="125" t="s">
        <v>2378</v>
      </c>
      <c r="I345" s="155">
        <f t="shared" si="27"/>
        <v>343</v>
      </c>
      <c r="J345" s="127" t="str">
        <f t="shared" si="1"/>
        <v>PE25-343</v>
      </c>
      <c r="K345" s="163"/>
      <c r="L345" s="164"/>
      <c r="M345" s="164"/>
      <c r="N345" s="165"/>
      <c r="O345" s="165"/>
      <c r="P345" s="130"/>
      <c r="Q345" s="166"/>
      <c r="R345" s="167"/>
      <c r="S345" s="166"/>
      <c r="T345" s="168"/>
      <c r="U345" s="166"/>
      <c r="V345" s="169"/>
      <c r="W345" s="162"/>
      <c r="X345" s="134"/>
      <c r="Y345" s="135"/>
      <c r="Z345" s="136"/>
      <c r="AA345" s="137"/>
      <c r="AB345" s="137"/>
    </row>
    <row r="346" ht="12.0" customHeight="1">
      <c r="A346" s="111"/>
      <c r="F346" s="123">
        <f t="shared" si="8"/>
        <v>345</v>
      </c>
      <c r="G346" s="172"/>
      <c r="H346" s="125" t="s">
        <v>2378</v>
      </c>
      <c r="I346" s="155">
        <f t="shared" si="27"/>
        <v>344</v>
      </c>
      <c r="J346" s="127" t="str">
        <f t="shared" si="1"/>
        <v>PE25-344</v>
      </c>
      <c r="K346" s="163"/>
      <c r="L346" s="164"/>
      <c r="M346" s="164"/>
      <c r="N346" s="165"/>
      <c r="O346" s="165"/>
      <c r="P346" s="130"/>
      <c r="Q346" s="166"/>
      <c r="R346" s="167"/>
      <c r="S346" s="166"/>
      <c r="T346" s="168"/>
      <c r="U346" s="166"/>
      <c r="V346" s="165"/>
      <c r="W346" s="165"/>
      <c r="X346" s="134"/>
      <c r="Y346" s="135"/>
      <c r="Z346" s="136"/>
      <c r="AA346" s="137"/>
      <c r="AB346" s="137"/>
    </row>
    <row r="347" ht="12.0" customHeight="1">
      <c r="A347" s="111"/>
      <c r="F347" s="123">
        <f t="shared" si="8"/>
        <v>346</v>
      </c>
      <c r="G347" s="172"/>
      <c r="H347" s="125" t="s">
        <v>2378</v>
      </c>
      <c r="I347" s="155">
        <f t="shared" si="27"/>
        <v>345</v>
      </c>
      <c r="J347" s="127" t="str">
        <f t="shared" si="1"/>
        <v>PE25-345</v>
      </c>
      <c r="K347" s="163"/>
      <c r="L347" s="164"/>
      <c r="M347" s="164"/>
      <c r="N347" s="165"/>
      <c r="O347" s="165"/>
      <c r="P347" s="130"/>
      <c r="Q347" s="166"/>
      <c r="R347" s="167"/>
      <c r="S347" s="166"/>
      <c r="T347" s="168"/>
      <c r="U347" s="166"/>
      <c r="V347" s="165"/>
      <c r="W347" s="162"/>
      <c r="X347" s="134"/>
      <c r="Y347" s="135"/>
      <c r="Z347" s="136"/>
      <c r="AA347" s="137"/>
      <c r="AB347" s="137"/>
    </row>
    <row r="348" ht="12.0" customHeight="1">
      <c r="A348" s="111"/>
      <c r="F348" s="123">
        <f t="shared" si="8"/>
        <v>347</v>
      </c>
      <c r="G348" s="172"/>
      <c r="H348" s="125" t="s">
        <v>2378</v>
      </c>
      <c r="I348" s="155">
        <f t="shared" si="27"/>
        <v>346</v>
      </c>
      <c r="J348" s="127" t="str">
        <f t="shared" si="1"/>
        <v>PE25-346</v>
      </c>
      <c r="K348" s="163"/>
      <c r="L348" s="164"/>
      <c r="M348" s="164"/>
      <c r="N348" s="165"/>
      <c r="O348" s="165"/>
      <c r="P348" s="130"/>
      <c r="Q348" s="166"/>
      <c r="R348" s="167"/>
      <c r="S348" s="166"/>
      <c r="T348" s="168"/>
      <c r="U348" s="166"/>
      <c r="V348" s="165"/>
      <c r="W348" s="162"/>
      <c r="X348" s="134"/>
      <c r="Y348" s="135"/>
      <c r="Z348" s="136"/>
      <c r="AA348" s="137"/>
      <c r="AB348" s="137"/>
    </row>
    <row r="349" ht="12.0" customHeight="1">
      <c r="A349" s="111"/>
      <c r="F349" s="123">
        <f t="shared" si="8"/>
        <v>348</v>
      </c>
      <c r="G349" s="172"/>
      <c r="H349" s="125" t="s">
        <v>2378</v>
      </c>
      <c r="I349" s="155">
        <f t="shared" si="27"/>
        <v>347</v>
      </c>
      <c r="J349" s="127" t="str">
        <f t="shared" si="1"/>
        <v>PE25-347</v>
      </c>
      <c r="K349" s="163"/>
      <c r="L349" s="164"/>
      <c r="M349" s="164"/>
      <c r="N349" s="165"/>
      <c r="O349" s="165"/>
      <c r="P349" s="130"/>
      <c r="Q349" s="166"/>
      <c r="R349" s="167"/>
      <c r="S349" s="166"/>
      <c r="T349" s="168"/>
      <c r="U349" s="166"/>
      <c r="V349" s="169"/>
      <c r="W349" s="162"/>
      <c r="X349" s="134"/>
      <c r="Y349" s="135"/>
      <c r="Z349" s="136"/>
      <c r="AA349" s="137"/>
      <c r="AB349" s="137"/>
    </row>
    <row r="350" ht="12.0" customHeight="1">
      <c r="A350" s="111"/>
      <c r="F350" s="123">
        <f t="shared" si="8"/>
        <v>349</v>
      </c>
      <c r="G350" s="172"/>
      <c r="H350" s="125" t="s">
        <v>2378</v>
      </c>
      <c r="I350" s="155">
        <f t="shared" si="27"/>
        <v>348</v>
      </c>
      <c r="J350" s="127" t="str">
        <f t="shared" si="1"/>
        <v>PE25-348</v>
      </c>
      <c r="K350" s="163"/>
      <c r="L350" s="164"/>
      <c r="M350" s="164"/>
      <c r="N350" s="165"/>
      <c r="O350" s="165"/>
      <c r="P350" s="130"/>
      <c r="Q350" s="166"/>
      <c r="R350" s="167"/>
      <c r="S350" s="166"/>
      <c r="T350" s="168"/>
      <c r="U350" s="166"/>
      <c r="V350" s="165"/>
      <c r="W350" s="162"/>
      <c r="X350" s="134"/>
      <c r="Y350" s="135"/>
      <c r="Z350" s="136"/>
      <c r="AA350" s="137"/>
      <c r="AB350" s="137"/>
    </row>
    <row r="351" ht="12.0" customHeight="1">
      <c r="A351" s="111"/>
      <c r="F351" s="123">
        <f t="shared" si="8"/>
        <v>350</v>
      </c>
      <c r="G351" s="172"/>
      <c r="H351" s="125" t="s">
        <v>2378</v>
      </c>
      <c r="I351" s="155">
        <f t="shared" si="27"/>
        <v>349</v>
      </c>
      <c r="J351" s="127" t="str">
        <f t="shared" si="1"/>
        <v>PE25-349</v>
      </c>
      <c r="K351" s="163"/>
      <c r="L351" s="164"/>
      <c r="M351" s="164"/>
      <c r="N351" s="165"/>
      <c r="O351" s="165"/>
      <c r="P351" s="130"/>
      <c r="Q351" s="166"/>
      <c r="R351" s="167"/>
      <c r="S351" s="166"/>
      <c r="T351" s="168"/>
      <c r="U351" s="166"/>
      <c r="V351" s="165"/>
      <c r="W351" s="162"/>
      <c r="X351" s="134"/>
      <c r="Y351" s="135"/>
      <c r="Z351" s="136"/>
      <c r="AA351" s="157"/>
      <c r="AB351" s="157"/>
    </row>
    <row r="352" ht="12.0" customHeight="1">
      <c r="A352" s="111"/>
      <c r="F352" s="123">
        <f t="shared" si="8"/>
        <v>351</v>
      </c>
      <c r="G352" s="172"/>
      <c r="H352" s="125" t="s">
        <v>2378</v>
      </c>
      <c r="I352" s="155">
        <f t="shared" si="27"/>
        <v>350</v>
      </c>
      <c r="J352" s="127" t="str">
        <f t="shared" si="1"/>
        <v>PE25-350</v>
      </c>
      <c r="K352" s="163"/>
      <c r="L352" s="164"/>
      <c r="M352" s="164"/>
      <c r="N352" s="165"/>
      <c r="O352" s="165"/>
      <c r="P352" s="130"/>
      <c r="Q352" s="166"/>
      <c r="R352" s="167"/>
      <c r="S352" s="166"/>
      <c r="T352" s="168"/>
      <c r="U352" s="166"/>
      <c r="V352" s="165"/>
      <c r="W352" s="162"/>
      <c r="X352" s="134"/>
      <c r="Y352" s="135"/>
      <c r="Z352" s="136"/>
      <c r="AA352" s="157"/>
      <c r="AB352" s="157"/>
    </row>
    <row r="353" ht="12.0" customHeight="1">
      <c r="A353" s="111"/>
      <c r="F353" s="123">
        <f t="shared" si="8"/>
        <v>352</v>
      </c>
      <c r="G353" s="172"/>
      <c r="H353" s="125" t="s">
        <v>2378</v>
      </c>
      <c r="I353" s="155">
        <f t="shared" si="27"/>
        <v>351</v>
      </c>
      <c r="J353" s="127" t="str">
        <f t="shared" si="1"/>
        <v>PE25-351</v>
      </c>
      <c r="K353" s="163"/>
      <c r="L353" s="164"/>
      <c r="M353" s="164"/>
      <c r="N353" s="165"/>
      <c r="O353" s="165"/>
      <c r="P353" s="130"/>
      <c r="Q353" s="166"/>
      <c r="R353" s="167"/>
      <c r="S353" s="166"/>
      <c r="T353" s="168"/>
      <c r="U353" s="166"/>
      <c r="V353" s="165"/>
      <c r="W353" s="162"/>
      <c r="X353" s="134"/>
      <c r="Y353" s="135"/>
      <c r="Z353" s="136"/>
      <c r="AA353" s="157"/>
      <c r="AB353" s="157"/>
    </row>
    <row r="354" ht="12.0" customHeight="1">
      <c r="A354" s="111"/>
      <c r="F354" s="123">
        <f t="shared" si="8"/>
        <v>353</v>
      </c>
      <c r="G354" s="172"/>
      <c r="H354" s="125" t="s">
        <v>2378</v>
      </c>
      <c r="I354" s="155">
        <f t="shared" si="27"/>
        <v>352</v>
      </c>
      <c r="J354" s="127" t="str">
        <f t="shared" si="1"/>
        <v>PE25-352</v>
      </c>
      <c r="K354" s="163"/>
      <c r="L354" s="164"/>
      <c r="M354" s="164"/>
      <c r="N354" s="165"/>
      <c r="O354" s="165"/>
      <c r="P354" s="130"/>
      <c r="Q354" s="166"/>
      <c r="R354" s="167"/>
      <c r="S354" s="166"/>
      <c r="T354" s="168"/>
      <c r="U354" s="166"/>
      <c r="V354" s="169"/>
      <c r="W354" s="162"/>
      <c r="X354" s="134"/>
      <c r="Y354" s="135"/>
      <c r="Z354" s="136"/>
      <c r="AA354" s="157"/>
      <c r="AB354" s="157"/>
    </row>
    <row r="355" ht="12.0" customHeight="1">
      <c r="A355" s="111"/>
      <c r="F355" s="123">
        <f t="shared" si="8"/>
        <v>354</v>
      </c>
      <c r="G355" s="172"/>
      <c r="H355" s="125" t="s">
        <v>2378</v>
      </c>
      <c r="I355" s="155">
        <f t="shared" si="27"/>
        <v>353</v>
      </c>
      <c r="J355" s="127" t="str">
        <f t="shared" si="1"/>
        <v>PE25-353</v>
      </c>
      <c r="K355" s="163"/>
      <c r="L355" s="164"/>
      <c r="M355" s="164"/>
      <c r="N355" s="165"/>
      <c r="O355" s="165"/>
      <c r="P355" s="154"/>
      <c r="Q355" s="166"/>
      <c r="R355" s="167"/>
      <c r="S355" s="166"/>
      <c r="T355" s="168"/>
      <c r="U355" s="166"/>
      <c r="V355" s="169"/>
      <c r="W355" s="162"/>
      <c r="X355" s="134"/>
      <c r="Y355" s="135"/>
      <c r="Z355" s="136"/>
      <c r="AA355" s="157"/>
      <c r="AB355" s="157"/>
    </row>
    <row r="356" ht="12.0" customHeight="1">
      <c r="A356" s="111"/>
      <c r="F356" s="123">
        <f t="shared" si="8"/>
        <v>355</v>
      </c>
      <c r="G356" s="172"/>
      <c r="H356" s="125" t="s">
        <v>2378</v>
      </c>
      <c r="I356" s="155">
        <f t="shared" si="27"/>
        <v>354</v>
      </c>
      <c r="J356" s="127" t="str">
        <f t="shared" si="1"/>
        <v>PE25-354</v>
      </c>
      <c r="K356" s="163"/>
      <c r="L356" s="164"/>
      <c r="M356" s="164"/>
      <c r="N356" s="165"/>
      <c r="O356" s="165"/>
      <c r="P356" s="130"/>
      <c r="Q356" s="166"/>
      <c r="R356" s="167"/>
      <c r="S356" s="166"/>
      <c r="T356" s="168"/>
      <c r="U356" s="166"/>
      <c r="V356" s="165"/>
      <c r="W356" s="162"/>
      <c r="X356" s="134"/>
      <c r="Y356" s="135"/>
      <c r="Z356" s="136"/>
      <c r="AA356" s="157"/>
      <c r="AB356" s="157"/>
    </row>
    <row r="357" ht="12.0" customHeight="1">
      <c r="A357" s="111"/>
      <c r="F357" s="123">
        <f t="shared" si="8"/>
        <v>356</v>
      </c>
      <c r="G357" s="172"/>
      <c r="H357" s="125" t="s">
        <v>2378</v>
      </c>
      <c r="I357" s="155">
        <f t="shared" si="27"/>
        <v>355</v>
      </c>
      <c r="J357" s="127" t="str">
        <f t="shared" si="1"/>
        <v>PE25-355</v>
      </c>
      <c r="K357" s="163"/>
      <c r="L357" s="164"/>
      <c r="M357" s="164"/>
      <c r="N357" s="165"/>
      <c r="O357" s="165"/>
      <c r="P357" s="130"/>
      <c r="Q357" s="166"/>
      <c r="R357" s="167"/>
      <c r="S357" s="166"/>
      <c r="T357" s="168"/>
      <c r="U357" s="166"/>
      <c r="V357" s="165"/>
      <c r="W357" s="162"/>
      <c r="X357" s="134"/>
      <c r="Y357" s="135"/>
      <c r="Z357" s="136"/>
      <c r="AA357" s="157"/>
      <c r="AB357" s="157"/>
    </row>
    <row r="358" ht="12.0" customHeight="1">
      <c r="A358" s="111"/>
      <c r="F358" s="123">
        <f t="shared" si="8"/>
        <v>357</v>
      </c>
      <c r="G358" s="172"/>
      <c r="H358" s="125" t="s">
        <v>2378</v>
      </c>
      <c r="I358" s="155">
        <f t="shared" si="27"/>
        <v>356</v>
      </c>
      <c r="J358" s="127" t="str">
        <f t="shared" si="1"/>
        <v>PE25-356</v>
      </c>
      <c r="K358" s="163"/>
      <c r="L358" s="164"/>
      <c r="M358" s="164"/>
      <c r="N358" s="165"/>
      <c r="O358" s="165"/>
      <c r="P358" s="130"/>
      <c r="Q358" s="166"/>
      <c r="R358" s="167"/>
      <c r="S358" s="166"/>
      <c r="T358" s="168"/>
      <c r="U358" s="166"/>
      <c r="V358" s="169"/>
      <c r="W358" s="165"/>
      <c r="X358" s="134"/>
      <c r="Y358" s="135"/>
      <c r="Z358" s="136"/>
      <c r="AA358" s="157"/>
      <c r="AB358" s="157"/>
    </row>
    <row r="359" ht="12.0" customHeight="1">
      <c r="A359" s="111"/>
      <c r="F359" s="123">
        <f t="shared" si="8"/>
        <v>358</v>
      </c>
      <c r="G359" s="172"/>
      <c r="H359" s="125" t="s">
        <v>2378</v>
      </c>
      <c r="I359" s="155">
        <f t="shared" si="27"/>
        <v>357</v>
      </c>
      <c r="J359" s="127" t="str">
        <f t="shared" si="1"/>
        <v>PE25-357</v>
      </c>
      <c r="K359" s="163"/>
      <c r="L359" s="164"/>
      <c r="M359" s="164"/>
      <c r="N359" s="165"/>
      <c r="O359" s="165"/>
      <c r="P359" s="130"/>
      <c r="Q359" s="166"/>
      <c r="R359" s="167"/>
      <c r="S359" s="166"/>
      <c r="T359" s="168"/>
      <c r="U359" s="166"/>
      <c r="V359" s="169"/>
      <c r="W359" s="165"/>
      <c r="X359" s="134"/>
      <c r="Y359" s="135"/>
      <c r="Z359" s="136"/>
      <c r="AA359" s="157"/>
      <c r="AB359" s="157"/>
    </row>
    <row r="360" ht="12.0" customHeight="1">
      <c r="A360" s="111"/>
      <c r="F360" s="123">
        <f t="shared" si="8"/>
        <v>359</v>
      </c>
      <c r="G360" s="172"/>
      <c r="H360" s="125" t="s">
        <v>2378</v>
      </c>
      <c r="I360" s="155">
        <f t="shared" si="27"/>
        <v>358</v>
      </c>
      <c r="J360" s="127" t="str">
        <f t="shared" si="1"/>
        <v>PE25-358</v>
      </c>
      <c r="K360" s="163"/>
      <c r="L360" s="164"/>
      <c r="M360" s="164"/>
      <c r="N360" s="165"/>
      <c r="O360" s="165"/>
      <c r="P360" s="130"/>
      <c r="Q360" s="166"/>
      <c r="R360" s="167"/>
      <c r="S360" s="166"/>
      <c r="T360" s="168"/>
      <c r="U360" s="166"/>
      <c r="V360" s="169"/>
      <c r="W360" s="154"/>
      <c r="X360" s="134"/>
      <c r="Y360" s="135"/>
      <c r="Z360" s="136"/>
      <c r="AA360" s="157"/>
      <c r="AB360" s="157"/>
    </row>
    <row r="361" ht="12.0" customHeight="1">
      <c r="A361" s="111"/>
      <c r="F361" s="123">
        <f t="shared" si="8"/>
        <v>360</v>
      </c>
      <c r="G361" s="172"/>
      <c r="H361" s="125" t="s">
        <v>2378</v>
      </c>
      <c r="I361" s="155">
        <f t="shared" si="27"/>
        <v>359</v>
      </c>
      <c r="J361" s="127" t="str">
        <f t="shared" si="1"/>
        <v>PE25-359</v>
      </c>
      <c r="K361" s="163"/>
      <c r="L361" s="164"/>
      <c r="M361" s="164"/>
      <c r="N361" s="165"/>
      <c r="O361" s="165"/>
      <c r="P361" s="130"/>
      <c r="Q361" s="166"/>
      <c r="R361" s="167"/>
      <c r="S361" s="166"/>
      <c r="T361" s="168"/>
      <c r="U361" s="166"/>
      <c r="V361" s="169"/>
      <c r="W361" s="154"/>
      <c r="X361" s="134"/>
      <c r="Y361" s="135"/>
      <c r="Z361" s="136"/>
      <c r="AA361" s="157"/>
      <c r="AB361" s="157"/>
    </row>
    <row r="362" ht="12.0" customHeight="1">
      <c r="A362" s="111"/>
      <c r="F362" s="123">
        <f t="shared" si="8"/>
        <v>361</v>
      </c>
      <c r="G362" s="172"/>
      <c r="H362" s="125" t="s">
        <v>2378</v>
      </c>
      <c r="I362" s="155">
        <f t="shared" si="27"/>
        <v>360</v>
      </c>
      <c r="J362" s="127" t="str">
        <f t="shared" si="1"/>
        <v>PE25-360</v>
      </c>
      <c r="K362" s="163"/>
      <c r="L362" s="164"/>
      <c r="M362" s="164"/>
      <c r="N362" s="165"/>
      <c r="O362" s="165"/>
      <c r="P362" s="130"/>
      <c r="Q362" s="166"/>
      <c r="R362" s="167"/>
      <c r="S362" s="166"/>
      <c r="T362" s="168"/>
      <c r="U362" s="166"/>
      <c r="V362" s="169"/>
      <c r="W362" s="165"/>
      <c r="X362" s="134"/>
      <c r="Y362" s="135"/>
      <c r="Z362" s="136"/>
      <c r="AA362" s="157"/>
      <c r="AB362" s="157"/>
    </row>
    <row r="363" ht="12.0" customHeight="1">
      <c r="A363" s="111"/>
      <c r="F363" s="123">
        <f t="shared" si="8"/>
        <v>362</v>
      </c>
      <c r="G363" s="172"/>
      <c r="H363" s="125" t="s">
        <v>2378</v>
      </c>
      <c r="I363" s="155">
        <f t="shared" si="27"/>
        <v>361</v>
      </c>
      <c r="J363" s="127" t="str">
        <f t="shared" si="1"/>
        <v>PE25-361</v>
      </c>
      <c r="K363" s="173"/>
      <c r="L363" s="174"/>
      <c r="M363" s="174"/>
      <c r="N363" s="157"/>
      <c r="O363" s="157"/>
      <c r="P363" s="154"/>
      <c r="Q363" s="175"/>
      <c r="R363" s="176"/>
      <c r="S363" s="166"/>
      <c r="T363" s="168"/>
      <c r="U363" s="166"/>
      <c r="V363" s="157"/>
      <c r="W363" s="157"/>
      <c r="X363" s="134"/>
      <c r="Y363" s="135"/>
      <c r="Z363" s="136"/>
      <c r="AA363" s="157"/>
      <c r="AB363" s="157"/>
    </row>
    <row r="364" ht="12.0" customHeight="1">
      <c r="A364" s="111"/>
      <c r="F364" s="123">
        <f t="shared" si="8"/>
        <v>363</v>
      </c>
      <c r="G364" s="172"/>
      <c r="H364" s="125" t="s">
        <v>2378</v>
      </c>
      <c r="I364" s="155">
        <f t="shared" si="27"/>
        <v>362</v>
      </c>
      <c r="J364" s="127" t="str">
        <f t="shared" si="1"/>
        <v>PE25-362</v>
      </c>
      <c r="K364" s="173"/>
      <c r="L364" s="174"/>
      <c r="M364" s="174"/>
      <c r="N364" s="157"/>
      <c r="O364" s="157"/>
      <c r="P364" s="154"/>
      <c r="Q364" s="175"/>
      <c r="R364" s="176"/>
      <c r="S364" s="166"/>
      <c r="T364" s="168"/>
      <c r="U364" s="166"/>
      <c r="V364" s="157"/>
      <c r="W364" s="157"/>
      <c r="X364" s="134"/>
      <c r="Y364" s="135"/>
      <c r="Z364" s="136"/>
      <c r="AA364" s="157"/>
      <c r="AB364" s="157"/>
    </row>
    <row r="365" ht="12.0" customHeight="1">
      <c r="A365" s="111"/>
      <c r="F365" s="123">
        <f t="shared" si="8"/>
        <v>364</v>
      </c>
      <c r="G365" s="172"/>
      <c r="H365" s="125" t="s">
        <v>2378</v>
      </c>
      <c r="I365" s="155">
        <f t="shared" si="27"/>
        <v>363</v>
      </c>
      <c r="J365" s="127" t="str">
        <f t="shared" si="1"/>
        <v>PE25-363</v>
      </c>
      <c r="K365" s="173"/>
      <c r="L365" s="174"/>
      <c r="M365" s="174"/>
      <c r="N365" s="157"/>
      <c r="O365" s="157"/>
      <c r="P365" s="154"/>
      <c r="Q365" s="175"/>
      <c r="R365" s="176"/>
      <c r="S365" s="166"/>
      <c r="T365" s="168"/>
      <c r="U365" s="166"/>
      <c r="V365" s="157"/>
      <c r="W365" s="157"/>
      <c r="X365" s="134"/>
      <c r="Y365" s="135"/>
      <c r="Z365" s="136"/>
      <c r="AA365" s="157"/>
      <c r="AB365" s="157"/>
    </row>
    <row r="366" ht="12.0" customHeight="1">
      <c r="A366" s="111"/>
      <c r="F366" s="123">
        <f t="shared" si="8"/>
        <v>365</v>
      </c>
      <c r="G366" s="172"/>
      <c r="H366" s="125" t="s">
        <v>2378</v>
      </c>
      <c r="I366" s="155">
        <f t="shared" si="27"/>
        <v>364</v>
      </c>
      <c r="J366" s="127" t="str">
        <f t="shared" si="1"/>
        <v>PE25-364</v>
      </c>
      <c r="K366" s="173"/>
      <c r="L366" s="174"/>
      <c r="M366" s="174"/>
      <c r="N366" s="157"/>
      <c r="O366" s="157"/>
      <c r="P366" s="154"/>
      <c r="Q366" s="175"/>
      <c r="R366" s="176"/>
      <c r="S366" s="166"/>
      <c r="T366" s="168"/>
      <c r="U366" s="166"/>
      <c r="V366" s="157"/>
      <c r="W366" s="157"/>
      <c r="X366" s="134"/>
      <c r="Y366" s="135"/>
      <c r="Z366" s="136"/>
      <c r="AA366" s="157"/>
      <c r="AB366" s="157"/>
    </row>
    <row r="367" ht="12.0" customHeight="1">
      <c r="A367" s="111"/>
      <c r="F367" s="123">
        <f t="shared" si="8"/>
        <v>366</v>
      </c>
      <c r="G367" s="172"/>
      <c r="H367" s="125" t="s">
        <v>2378</v>
      </c>
      <c r="I367" s="155">
        <f t="shared" si="27"/>
        <v>365</v>
      </c>
      <c r="J367" s="127" t="str">
        <f t="shared" si="1"/>
        <v>PE25-365</v>
      </c>
      <c r="K367" s="173"/>
      <c r="L367" s="174"/>
      <c r="M367" s="174"/>
      <c r="N367" s="157"/>
      <c r="O367" s="157"/>
      <c r="P367" s="154"/>
      <c r="Q367" s="175"/>
      <c r="R367" s="176"/>
      <c r="S367" s="166"/>
      <c r="T367" s="168"/>
      <c r="U367" s="166"/>
      <c r="V367" s="157"/>
      <c r="W367" s="124"/>
      <c r="X367" s="134"/>
      <c r="Y367" s="135"/>
      <c r="Z367" s="136"/>
      <c r="AA367" s="137"/>
      <c r="AB367" s="157"/>
    </row>
    <row r="368" ht="12.0" customHeight="1">
      <c r="A368" s="111"/>
      <c r="F368" s="123">
        <f t="shared" si="8"/>
        <v>367</v>
      </c>
      <c r="G368" s="172"/>
      <c r="H368" s="125" t="s">
        <v>2378</v>
      </c>
      <c r="I368" s="155">
        <f t="shared" si="27"/>
        <v>366</v>
      </c>
      <c r="J368" s="127" t="str">
        <f t="shared" si="1"/>
        <v>PE25-366</v>
      </c>
      <c r="K368" s="173"/>
      <c r="L368" s="174"/>
      <c r="M368" s="174"/>
      <c r="N368" s="157"/>
      <c r="O368" s="157"/>
      <c r="P368" s="154"/>
      <c r="Q368" s="175"/>
      <c r="R368" s="176"/>
      <c r="S368" s="166"/>
      <c r="T368" s="168"/>
      <c r="U368" s="166"/>
      <c r="V368" s="157"/>
      <c r="W368" s="157"/>
      <c r="X368" s="134"/>
      <c r="Y368" s="135"/>
      <c r="Z368" s="136"/>
      <c r="AA368" s="157"/>
      <c r="AB368" s="157"/>
    </row>
    <row r="369" ht="12.0" customHeight="1">
      <c r="A369" s="111"/>
      <c r="F369" s="123">
        <f t="shared" si="8"/>
        <v>368</v>
      </c>
      <c r="G369" s="172"/>
      <c r="H369" s="125" t="s">
        <v>2378</v>
      </c>
      <c r="I369" s="155">
        <f t="shared" si="27"/>
        <v>367</v>
      </c>
      <c r="J369" s="127" t="str">
        <f t="shared" si="1"/>
        <v>PE25-367</v>
      </c>
      <c r="K369" s="173"/>
      <c r="L369" s="174"/>
      <c r="M369" s="174"/>
      <c r="N369" s="157"/>
      <c r="O369" s="157"/>
      <c r="P369" s="154"/>
      <c r="Q369" s="175"/>
      <c r="R369" s="176"/>
      <c r="S369" s="166"/>
      <c r="T369" s="168"/>
      <c r="U369" s="166"/>
      <c r="V369" s="157"/>
      <c r="W369" s="157"/>
      <c r="X369" s="134"/>
      <c r="Y369" s="135"/>
      <c r="Z369" s="136"/>
      <c r="AA369" s="157"/>
      <c r="AB369" s="157"/>
    </row>
    <row r="370" ht="12.0" customHeight="1">
      <c r="A370" s="111"/>
      <c r="F370" s="123">
        <f t="shared" si="8"/>
        <v>369</v>
      </c>
      <c r="G370" s="172"/>
      <c r="H370" s="125" t="s">
        <v>2378</v>
      </c>
      <c r="I370" s="155">
        <f t="shared" si="27"/>
        <v>368</v>
      </c>
      <c r="J370" s="127" t="str">
        <f t="shared" si="1"/>
        <v>PE25-368</v>
      </c>
      <c r="K370" s="173"/>
      <c r="L370" s="174"/>
      <c r="M370" s="174"/>
      <c r="N370" s="157"/>
      <c r="O370" s="157"/>
      <c r="P370" s="154"/>
      <c r="Q370" s="175"/>
      <c r="R370" s="176"/>
      <c r="S370" s="166"/>
      <c r="T370" s="168"/>
      <c r="U370" s="166"/>
      <c r="V370" s="157"/>
      <c r="W370" s="157"/>
      <c r="X370" s="134"/>
      <c r="Y370" s="135"/>
      <c r="Z370" s="136"/>
      <c r="AA370" s="157"/>
      <c r="AB370" s="157"/>
    </row>
    <row r="371" ht="12.0" customHeight="1">
      <c r="A371" s="111"/>
      <c r="F371" s="123">
        <f t="shared" si="8"/>
        <v>370</v>
      </c>
      <c r="G371" s="172"/>
      <c r="H371" s="125" t="s">
        <v>2378</v>
      </c>
      <c r="I371" s="155">
        <f t="shared" si="27"/>
        <v>369</v>
      </c>
      <c r="J371" s="127" t="str">
        <f t="shared" si="1"/>
        <v>PE25-369</v>
      </c>
      <c r="K371" s="173"/>
      <c r="L371" s="174"/>
      <c r="M371" s="174"/>
      <c r="N371" s="157"/>
      <c r="O371" s="157"/>
      <c r="P371" s="154"/>
      <c r="Q371" s="175"/>
      <c r="R371" s="176"/>
      <c r="S371" s="166"/>
      <c r="T371" s="168"/>
      <c r="U371" s="166"/>
      <c r="V371" s="177"/>
      <c r="W371" s="157"/>
      <c r="X371" s="134"/>
      <c r="Y371" s="135"/>
      <c r="Z371" s="136"/>
      <c r="AA371" s="157"/>
      <c r="AB371" s="157"/>
    </row>
    <row r="372" ht="12.0" customHeight="1">
      <c r="A372" s="111"/>
      <c r="F372" s="123">
        <f t="shared" si="8"/>
        <v>371</v>
      </c>
      <c r="G372" s="172"/>
      <c r="H372" s="125" t="s">
        <v>2378</v>
      </c>
      <c r="I372" s="155">
        <f t="shared" si="27"/>
        <v>370</v>
      </c>
      <c r="J372" s="127" t="str">
        <f t="shared" si="1"/>
        <v>PE25-370</v>
      </c>
      <c r="K372" s="173"/>
      <c r="L372" s="174"/>
      <c r="M372" s="174"/>
      <c r="N372" s="157"/>
      <c r="O372" s="157"/>
      <c r="P372" s="154"/>
      <c r="Q372" s="175"/>
      <c r="R372" s="176"/>
      <c r="S372" s="166"/>
      <c r="T372" s="168"/>
      <c r="U372" s="166"/>
      <c r="V372" s="157"/>
      <c r="W372" s="157"/>
      <c r="X372" s="134"/>
      <c r="Y372" s="135"/>
      <c r="Z372" s="136"/>
      <c r="AA372" s="157"/>
      <c r="AB372" s="157"/>
    </row>
    <row r="373" ht="12.0" customHeight="1">
      <c r="A373" s="111"/>
      <c r="F373" s="123">
        <f t="shared" si="8"/>
        <v>372</v>
      </c>
      <c r="G373" s="172"/>
      <c r="H373" s="125" t="s">
        <v>2378</v>
      </c>
      <c r="I373" s="155">
        <f t="shared" si="27"/>
        <v>371</v>
      </c>
      <c r="J373" s="127" t="str">
        <f t="shared" si="1"/>
        <v>PE25-371</v>
      </c>
      <c r="K373" s="173"/>
      <c r="L373" s="174"/>
      <c r="M373" s="174"/>
      <c r="N373" s="157"/>
      <c r="O373" s="157"/>
      <c r="P373" s="154"/>
      <c r="Q373" s="175"/>
      <c r="R373" s="176"/>
      <c r="S373" s="166"/>
      <c r="T373" s="168"/>
      <c r="U373" s="166"/>
      <c r="V373" s="177"/>
      <c r="W373" s="157"/>
      <c r="X373" s="134"/>
      <c r="Y373" s="135"/>
      <c r="Z373" s="136"/>
      <c r="AA373" s="157"/>
      <c r="AB373" s="157"/>
    </row>
    <row r="374" ht="12.0" customHeight="1">
      <c r="A374" s="111"/>
      <c r="F374" s="123">
        <f t="shared" si="8"/>
        <v>373</v>
      </c>
      <c r="G374" s="172"/>
      <c r="H374" s="125" t="s">
        <v>2378</v>
      </c>
      <c r="I374" s="155">
        <f t="shared" si="27"/>
        <v>372</v>
      </c>
      <c r="J374" s="127" t="str">
        <f t="shared" si="1"/>
        <v>PE25-372</v>
      </c>
      <c r="K374" s="173"/>
      <c r="L374" s="174"/>
      <c r="M374" s="174"/>
      <c r="N374" s="157"/>
      <c r="O374" s="157"/>
      <c r="P374" s="154"/>
      <c r="Q374" s="175"/>
      <c r="R374" s="176"/>
      <c r="S374" s="166"/>
      <c r="T374" s="168"/>
      <c r="U374" s="166"/>
      <c r="V374" s="177"/>
      <c r="W374" s="157"/>
      <c r="X374" s="134"/>
      <c r="Y374" s="135"/>
      <c r="Z374" s="136"/>
      <c r="AA374" s="157"/>
      <c r="AB374" s="157"/>
    </row>
    <row r="375" ht="12.0" customHeight="1">
      <c r="A375" s="111"/>
      <c r="F375" s="123">
        <f t="shared" si="8"/>
        <v>374</v>
      </c>
      <c r="G375" s="172"/>
      <c r="H375" s="125" t="s">
        <v>2378</v>
      </c>
      <c r="I375" s="155">
        <f t="shared" si="27"/>
        <v>373</v>
      </c>
      <c r="J375" s="127" t="str">
        <f t="shared" si="1"/>
        <v>PE25-373</v>
      </c>
      <c r="K375" s="173"/>
      <c r="L375" s="174"/>
      <c r="M375" s="174"/>
      <c r="N375" s="157"/>
      <c r="O375" s="157"/>
      <c r="P375" s="154"/>
      <c r="Q375" s="175"/>
      <c r="R375" s="176"/>
      <c r="S375" s="166"/>
      <c r="T375" s="168"/>
      <c r="U375" s="166"/>
      <c r="V375" s="157"/>
      <c r="W375" s="157"/>
      <c r="X375" s="134"/>
      <c r="Y375" s="135"/>
      <c r="Z375" s="136"/>
      <c r="AA375" s="137"/>
      <c r="AB375" s="157"/>
    </row>
    <row r="376" ht="12.0" customHeight="1">
      <c r="A376" s="111"/>
      <c r="F376" s="123">
        <f t="shared" si="8"/>
        <v>375</v>
      </c>
      <c r="G376" s="172"/>
      <c r="H376" s="125" t="s">
        <v>2378</v>
      </c>
      <c r="I376" s="155">
        <f t="shared" si="27"/>
        <v>374</v>
      </c>
      <c r="J376" s="127" t="str">
        <f t="shared" si="1"/>
        <v>PE25-374</v>
      </c>
      <c r="K376" s="173"/>
      <c r="L376" s="174"/>
      <c r="M376" s="174"/>
      <c r="N376" s="157"/>
      <c r="O376" s="157"/>
      <c r="P376" s="154"/>
      <c r="Q376" s="175"/>
      <c r="R376" s="176"/>
      <c r="S376" s="166"/>
      <c r="T376" s="168"/>
      <c r="U376" s="166"/>
      <c r="V376" s="177"/>
      <c r="W376" s="157"/>
      <c r="X376" s="134"/>
      <c r="Y376" s="135"/>
      <c r="Z376" s="136"/>
      <c r="AA376" s="137"/>
      <c r="AB376" s="157"/>
    </row>
    <row r="377" ht="12.0" customHeight="1">
      <c r="A377" s="111"/>
      <c r="F377" s="123">
        <f t="shared" si="8"/>
        <v>376</v>
      </c>
      <c r="G377" s="172"/>
      <c r="H377" s="125" t="s">
        <v>2378</v>
      </c>
      <c r="I377" s="155">
        <f t="shared" si="27"/>
        <v>375</v>
      </c>
      <c r="J377" s="127" t="str">
        <f t="shared" si="1"/>
        <v>PE25-375</v>
      </c>
      <c r="K377" s="173"/>
      <c r="L377" s="174"/>
      <c r="M377" s="174"/>
      <c r="N377" s="157"/>
      <c r="O377" s="157"/>
      <c r="P377" s="154"/>
      <c r="Q377" s="175"/>
      <c r="R377" s="176"/>
      <c r="S377" s="166"/>
      <c r="T377" s="168"/>
      <c r="U377" s="166"/>
      <c r="V377" s="157"/>
      <c r="W377" s="157"/>
      <c r="X377" s="134"/>
      <c r="Y377" s="135"/>
      <c r="Z377" s="136"/>
      <c r="AA377" s="157"/>
      <c r="AB377" s="157"/>
    </row>
    <row r="378" ht="12.0" customHeight="1">
      <c r="A378" s="111"/>
      <c r="F378" s="123">
        <f t="shared" si="8"/>
        <v>377</v>
      </c>
      <c r="G378" s="172"/>
      <c r="H378" s="125" t="s">
        <v>2378</v>
      </c>
      <c r="I378" s="155">
        <f t="shared" si="27"/>
        <v>376</v>
      </c>
      <c r="J378" s="127" t="str">
        <f t="shared" si="1"/>
        <v>PE25-376</v>
      </c>
      <c r="K378" s="173"/>
      <c r="L378" s="174"/>
      <c r="M378" s="174"/>
      <c r="N378" s="157"/>
      <c r="O378" s="157"/>
      <c r="P378" s="154"/>
      <c r="Q378" s="175"/>
      <c r="R378" s="176"/>
      <c r="S378" s="166"/>
      <c r="T378" s="168"/>
      <c r="U378" s="166"/>
      <c r="V378" s="157"/>
      <c r="W378" s="157"/>
      <c r="X378" s="134"/>
      <c r="Y378" s="135"/>
      <c r="Z378" s="136"/>
      <c r="AA378" s="157"/>
      <c r="AB378" s="157"/>
    </row>
    <row r="379" ht="12.0" customHeight="1">
      <c r="A379" s="111"/>
      <c r="F379" s="123">
        <f t="shared" si="8"/>
        <v>378</v>
      </c>
      <c r="G379" s="172"/>
      <c r="H379" s="125" t="s">
        <v>2378</v>
      </c>
      <c r="I379" s="155">
        <f t="shared" si="27"/>
        <v>377</v>
      </c>
      <c r="J379" s="127" t="str">
        <f t="shared" si="1"/>
        <v>PE25-377</v>
      </c>
      <c r="K379" s="173"/>
      <c r="L379" s="174"/>
      <c r="M379" s="174"/>
      <c r="N379" s="157"/>
      <c r="O379" s="157"/>
      <c r="P379" s="154"/>
      <c r="Q379" s="175"/>
      <c r="R379" s="176"/>
      <c r="S379" s="166"/>
      <c r="T379" s="168"/>
      <c r="U379" s="166"/>
      <c r="V379" s="157"/>
      <c r="W379" s="124"/>
      <c r="X379" s="134"/>
      <c r="Y379" s="135"/>
      <c r="Z379" s="136"/>
      <c r="AA379" s="157"/>
      <c r="AB379" s="157"/>
    </row>
    <row r="380" ht="12.0" customHeight="1">
      <c r="A380" s="111"/>
      <c r="F380" s="123">
        <f t="shared" si="8"/>
        <v>379</v>
      </c>
      <c r="G380" s="172"/>
      <c r="H380" s="125" t="s">
        <v>2378</v>
      </c>
      <c r="I380" s="155">
        <f t="shared" si="27"/>
        <v>378</v>
      </c>
      <c r="J380" s="127" t="str">
        <f t="shared" si="1"/>
        <v>PE25-378</v>
      </c>
      <c r="K380" s="173"/>
      <c r="L380" s="174"/>
      <c r="M380" s="174"/>
      <c r="N380" s="157"/>
      <c r="O380" s="157"/>
      <c r="P380" s="154"/>
      <c r="Q380" s="175"/>
      <c r="R380" s="176"/>
      <c r="S380" s="166"/>
      <c r="T380" s="168"/>
      <c r="U380" s="166"/>
      <c r="V380" s="157"/>
      <c r="W380" s="124"/>
      <c r="X380" s="134"/>
      <c r="Y380" s="135"/>
      <c r="Z380" s="136"/>
      <c r="AA380" s="157"/>
      <c r="AB380" s="157"/>
    </row>
    <row r="381" ht="12.0" customHeight="1">
      <c r="A381" s="111"/>
      <c r="F381" s="123">
        <f t="shared" si="8"/>
        <v>380</v>
      </c>
      <c r="G381" s="172"/>
      <c r="H381" s="125" t="s">
        <v>2378</v>
      </c>
      <c r="I381" s="155">
        <f t="shared" si="27"/>
        <v>379</v>
      </c>
      <c r="J381" s="127" t="str">
        <f t="shared" si="1"/>
        <v>PE25-379</v>
      </c>
      <c r="K381" s="178"/>
      <c r="L381" s="174"/>
      <c r="M381" s="174"/>
      <c r="N381" s="157"/>
      <c r="O381" s="157"/>
      <c r="P381" s="154"/>
      <c r="Q381" s="175"/>
      <c r="R381" s="176"/>
      <c r="S381" s="166"/>
      <c r="T381" s="168"/>
      <c r="U381" s="166"/>
      <c r="V381" s="157"/>
      <c r="W381" s="157"/>
      <c r="X381" s="134"/>
      <c r="Y381" s="135"/>
      <c r="Z381" s="136"/>
      <c r="AA381" s="157"/>
      <c r="AB381" s="157"/>
    </row>
    <row r="382" ht="12.0" customHeight="1">
      <c r="A382" s="111"/>
      <c r="F382" s="123">
        <f t="shared" si="8"/>
        <v>381</v>
      </c>
      <c r="G382" s="172"/>
      <c r="H382" s="125" t="s">
        <v>2378</v>
      </c>
      <c r="I382" s="155">
        <f t="shared" si="27"/>
        <v>380</v>
      </c>
      <c r="J382" s="127" t="str">
        <f t="shared" si="1"/>
        <v>PE25-380</v>
      </c>
      <c r="K382" s="178"/>
      <c r="L382" s="174"/>
      <c r="M382" s="174"/>
      <c r="N382" s="157"/>
      <c r="O382" s="157"/>
      <c r="P382" s="154"/>
      <c r="Q382" s="175"/>
      <c r="R382" s="176"/>
      <c r="S382" s="166"/>
      <c r="T382" s="168"/>
      <c r="U382" s="166"/>
      <c r="V382" s="157"/>
      <c r="W382" s="157"/>
      <c r="X382" s="134"/>
      <c r="Y382" s="135"/>
      <c r="Z382" s="136"/>
      <c r="AA382" s="157"/>
      <c r="AB382" s="157"/>
    </row>
    <row r="383" ht="12.0" customHeight="1">
      <c r="A383" s="111"/>
      <c r="F383" s="123">
        <f t="shared" si="8"/>
        <v>382</v>
      </c>
      <c r="G383" s="179"/>
      <c r="H383" s="125" t="s">
        <v>2378</v>
      </c>
      <c r="I383" s="155">
        <f t="shared" si="27"/>
        <v>381</v>
      </c>
      <c r="J383" s="127" t="str">
        <f t="shared" si="1"/>
        <v>PE25-381</v>
      </c>
      <c r="K383" s="180"/>
      <c r="L383" s="174"/>
      <c r="M383" s="174"/>
      <c r="N383" s="157"/>
      <c r="O383" s="157"/>
      <c r="P383" s="154"/>
      <c r="Q383" s="175"/>
      <c r="R383" s="176"/>
      <c r="S383" s="166"/>
      <c r="T383" s="168"/>
      <c r="U383" s="166"/>
      <c r="V383" s="157"/>
      <c r="W383" s="157"/>
      <c r="X383" s="134"/>
      <c r="Y383" s="135"/>
      <c r="Z383" s="136"/>
      <c r="AA383" s="157"/>
      <c r="AB383" s="157"/>
    </row>
    <row r="384" ht="12.0" customHeight="1">
      <c r="A384" s="111"/>
      <c r="F384" s="123">
        <f t="shared" si="8"/>
        <v>383</v>
      </c>
      <c r="G384" s="179"/>
      <c r="H384" s="125" t="s">
        <v>2378</v>
      </c>
      <c r="I384" s="155">
        <f t="shared" si="27"/>
        <v>382</v>
      </c>
      <c r="J384" s="127" t="str">
        <f t="shared" si="1"/>
        <v>PE25-382</v>
      </c>
      <c r="K384" s="180"/>
      <c r="L384" s="161"/>
      <c r="M384" s="161"/>
      <c r="N384" s="157"/>
      <c r="O384" s="137"/>
      <c r="P384" s="154"/>
      <c r="Q384" s="150"/>
      <c r="R384" s="181"/>
      <c r="S384" s="166"/>
      <c r="T384" s="168"/>
      <c r="U384" s="166"/>
      <c r="V384" s="154"/>
      <c r="W384" s="154"/>
      <c r="X384" s="134"/>
      <c r="Y384" s="135"/>
      <c r="Z384" s="136"/>
      <c r="AA384" s="157"/>
      <c r="AB384" s="157"/>
    </row>
    <row r="385" ht="12.0" customHeight="1">
      <c r="A385" s="111"/>
      <c r="F385" s="123">
        <f t="shared" si="8"/>
        <v>384</v>
      </c>
      <c r="G385" s="179"/>
      <c r="H385" s="125" t="s">
        <v>2378</v>
      </c>
      <c r="I385" s="155">
        <f t="shared" si="27"/>
        <v>383</v>
      </c>
      <c r="J385" s="127" t="str">
        <f t="shared" si="1"/>
        <v>PE25-383</v>
      </c>
      <c r="K385" s="180"/>
      <c r="L385" s="161"/>
      <c r="M385" s="161"/>
      <c r="N385" s="157"/>
      <c r="O385" s="137"/>
      <c r="P385" s="154"/>
      <c r="Q385" s="150"/>
      <c r="R385" s="181"/>
      <c r="S385" s="166"/>
      <c r="T385" s="168"/>
      <c r="U385" s="166"/>
      <c r="V385" s="154"/>
      <c r="W385" s="154"/>
      <c r="X385" s="134"/>
      <c r="Y385" s="135"/>
      <c r="Z385" s="136"/>
      <c r="AA385" s="157"/>
      <c r="AB385" s="157"/>
    </row>
    <row r="386" ht="12.0" customHeight="1">
      <c r="A386" s="111"/>
      <c r="F386" s="123">
        <f t="shared" si="8"/>
        <v>385</v>
      </c>
      <c r="G386" s="179"/>
      <c r="H386" s="125" t="s">
        <v>2378</v>
      </c>
      <c r="I386" s="155">
        <f t="shared" si="27"/>
        <v>384</v>
      </c>
      <c r="J386" s="127" t="str">
        <f t="shared" si="1"/>
        <v>PE25-384</v>
      </c>
      <c r="K386" s="180"/>
      <c r="L386" s="161"/>
      <c r="M386" s="161"/>
      <c r="N386" s="157"/>
      <c r="O386" s="124"/>
      <c r="P386" s="154"/>
      <c r="Q386" s="150"/>
      <c r="R386" s="181"/>
      <c r="S386" s="166"/>
      <c r="T386" s="168"/>
      <c r="U386" s="166"/>
      <c r="V386" s="154"/>
      <c r="W386" s="154"/>
      <c r="X386" s="134"/>
      <c r="Y386" s="135"/>
      <c r="Z386" s="136"/>
      <c r="AA386" s="157"/>
      <c r="AB386" s="157"/>
    </row>
    <row r="387" ht="12.0" customHeight="1">
      <c r="A387" s="111"/>
      <c r="F387" s="123">
        <f t="shared" si="8"/>
        <v>386</v>
      </c>
      <c r="G387" s="179"/>
      <c r="H387" s="125" t="s">
        <v>2378</v>
      </c>
      <c r="I387" s="155">
        <f t="shared" si="27"/>
        <v>385</v>
      </c>
      <c r="J387" s="127" t="str">
        <f t="shared" si="1"/>
        <v>PE25-385</v>
      </c>
      <c r="K387" s="180"/>
      <c r="L387" s="161"/>
      <c r="M387" s="161"/>
      <c r="N387" s="157"/>
      <c r="O387" s="137"/>
      <c r="P387" s="154"/>
      <c r="Q387" s="150"/>
      <c r="R387" s="181"/>
      <c r="S387" s="166"/>
      <c r="T387" s="168"/>
      <c r="U387" s="166"/>
      <c r="V387" s="154"/>
      <c r="W387" s="154"/>
      <c r="X387" s="134"/>
      <c r="Y387" s="135"/>
      <c r="Z387" s="136"/>
      <c r="AA387" s="157"/>
      <c r="AB387" s="157"/>
    </row>
    <row r="388" ht="12.0" customHeight="1">
      <c r="A388" s="111"/>
      <c r="F388" s="123">
        <f t="shared" si="8"/>
        <v>387</v>
      </c>
      <c r="G388" s="179"/>
      <c r="H388" s="125" t="s">
        <v>2378</v>
      </c>
      <c r="I388" s="155">
        <f t="shared" si="27"/>
        <v>386</v>
      </c>
      <c r="J388" s="127" t="str">
        <f t="shared" si="1"/>
        <v>PE25-386</v>
      </c>
      <c r="K388" s="180"/>
      <c r="L388" s="161"/>
      <c r="M388" s="161"/>
      <c r="N388" s="157"/>
      <c r="O388" s="137"/>
      <c r="P388" s="154"/>
      <c r="Q388" s="150"/>
      <c r="R388" s="181"/>
      <c r="S388" s="166"/>
      <c r="T388" s="168"/>
      <c r="U388" s="166"/>
      <c r="V388" s="154"/>
      <c r="W388" s="154"/>
      <c r="X388" s="134"/>
      <c r="Y388" s="135"/>
      <c r="Z388" s="136"/>
      <c r="AA388" s="157"/>
      <c r="AB388" s="157"/>
    </row>
    <row r="389" ht="12.0" customHeight="1">
      <c r="A389" s="111"/>
      <c r="F389" s="123">
        <f t="shared" si="8"/>
        <v>388</v>
      </c>
      <c r="G389" s="179"/>
      <c r="H389" s="125" t="s">
        <v>2378</v>
      </c>
      <c r="I389" s="155">
        <f t="shared" si="27"/>
        <v>387</v>
      </c>
      <c r="J389" s="127" t="str">
        <f t="shared" si="1"/>
        <v>PE25-387</v>
      </c>
      <c r="K389" s="182"/>
      <c r="L389" s="161"/>
      <c r="M389" s="161"/>
      <c r="N389" s="157"/>
      <c r="O389" s="137"/>
      <c r="P389" s="154"/>
      <c r="Q389" s="150"/>
      <c r="R389" s="181"/>
      <c r="S389" s="166"/>
      <c r="T389" s="168"/>
      <c r="U389" s="166"/>
      <c r="V389" s="154"/>
      <c r="W389" s="154"/>
      <c r="X389" s="134"/>
      <c r="Y389" s="135"/>
      <c r="Z389" s="136"/>
      <c r="AA389" s="157"/>
      <c r="AB389" s="157"/>
    </row>
    <row r="390" ht="12.0" customHeight="1">
      <c r="A390" s="111"/>
      <c r="F390" s="123">
        <f t="shared" si="8"/>
        <v>389</v>
      </c>
      <c r="G390" s="179"/>
      <c r="H390" s="125" t="s">
        <v>2378</v>
      </c>
      <c r="I390" s="155">
        <f t="shared" si="27"/>
        <v>388</v>
      </c>
      <c r="J390" s="127" t="str">
        <f t="shared" si="1"/>
        <v>PE25-388</v>
      </c>
      <c r="K390" s="182"/>
      <c r="L390" s="161"/>
      <c r="M390" s="161"/>
      <c r="N390" s="157"/>
      <c r="O390" s="137"/>
      <c r="P390" s="154"/>
      <c r="Q390" s="150"/>
      <c r="R390" s="181"/>
      <c r="S390" s="166"/>
      <c r="T390" s="168"/>
      <c r="U390" s="166"/>
      <c r="V390" s="154"/>
      <c r="W390" s="154"/>
      <c r="X390" s="134"/>
      <c r="Y390" s="135"/>
      <c r="Z390" s="136"/>
      <c r="AA390" s="157"/>
      <c r="AB390" s="157"/>
    </row>
    <row r="391" ht="12.0" customHeight="1">
      <c r="A391" s="111"/>
      <c r="F391" s="123">
        <f t="shared" si="8"/>
        <v>390</v>
      </c>
      <c r="G391" s="179"/>
      <c r="H391" s="125" t="s">
        <v>2378</v>
      </c>
      <c r="I391" s="155">
        <f t="shared" si="27"/>
        <v>389</v>
      </c>
      <c r="J391" s="127" t="str">
        <f t="shared" si="1"/>
        <v>PE25-389</v>
      </c>
      <c r="K391" s="183"/>
      <c r="L391" s="161"/>
      <c r="M391" s="161"/>
      <c r="N391" s="157"/>
      <c r="O391" s="137"/>
      <c r="P391" s="154"/>
      <c r="Q391" s="150"/>
      <c r="R391" s="181"/>
      <c r="S391" s="166"/>
      <c r="T391" s="168"/>
      <c r="U391" s="166"/>
      <c r="V391" s="154"/>
      <c r="W391" s="154"/>
      <c r="X391" s="134"/>
      <c r="Y391" s="135"/>
      <c r="Z391" s="136"/>
      <c r="AA391" s="157"/>
      <c r="AB391" s="157"/>
    </row>
    <row r="392" ht="12.0" customHeight="1">
      <c r="A392" s="111"/>
      <c r="F392" s="123">
        <f t="shared" si="8"/>
        <v>391</v>
      </c>
      <c r="G392" s="179"/>
      <c r="H392" s="125" t="s">
        <v>2378</v>
      </c>
      <c r="I392" s="155">
        <f t="shared" si="27"/>
        <v>390</v>
      </c>
      <c r="J392" s="127" t="str">
        <f t="shared" si="1"/>
        <v>PE25-390</v>
      </c>
      <c r="K392" s="183"/>
      <c r="L392" s="161"/>
      <c r="M392" s="161"/>
      <c r="N392" s="157"/>
      <c r="O392" s="137"/>
      <c r="P392" s="154"/>
      <c r="Q392" s="150"/>
      <c r="R392" s="181"/>
      <c r="S392" s="166"/>
      <c r="T392" s="168"/>
      <c r="U392" s="166"/>
      <c r="V392" s="154"/>
      <c r="W392" s="154"/>
      <c r="X392" s="134"/>
      <c r="Y392" s="135"/>
      <c r="Z392" s="136"/>
      <c r="AA392" s="157"/>
      <c r="AB392" s="157"/>
    </row>
    <row r="393" ht="12.0" customHeight="1">
      <c r="A393" s="111"/>
      <c r="F393" s="123">
        <f t="shared" si="8"/>
        <v>392</v>
      </c>
      <c r="G393" s="179"/>
      <c r="H393" s="125" t="s">
        <v>2378</v>
      </c>
      <c r="I393" s="155">
        <f t="shared" si="27"/>
        <v>391</v>
      </c>
      <c r="J393" s="127" t="str">
        <f t="shared" si="1"/>
        <v>PE25-391</v>
      </c>
      <c r="K393" s="183"/>
      <c r="L393" s="161"/>
      <c r="M393" s="161"/>
      <c r="N393" s="157"/>
      <c r="O393" s="137"/>
      <c r="P393" s="154"/>
      <c r="Q393" s="150"/>
      <c r="R393" s="181"/>
      <c r="S393" s="166"/>
      <c r="T393" s="168"/>
      <c r="U393" s="166"/>
      <c r="V393" s="154"/>
      <c r="W393" s="154"/>
      <c r="X393" s="134"/>
      <c r="Y393" s="135"/>
      <c r="Z393" s="136"/>
      <c r="AA393" s="157"/>
      <c r="AB393" s="157"/>
    </row>
    <row r="394" ht="12.0" customHeight="1">
      <c r="A394" s="111"/>
      <c r="F394" s="123">
        <f t="shared" si="8"/>
        <v>393</v>
      </c>
      <c r="G394" s="179"/>
      <c r="H394" s="125" t="s">
        <v>2378</v>
      </c>
      <c r="I394" s="155">
        <f t="shared" si="27"/>
        <v>392</v>
      </c>
      <c r="J394" s="127" t="str">
        <f t="shared" si="1"/>
        <v>PE25-392</v>
      </c>
      <c r="K394" s="183"/>
      <c r="L394" s="161"/>
      <c r="M394" s="161"/>
      <c r="N394" s="157"/>
      <c r="O394" s="137"/>
      <c r="P394" s="154"/>
      <c r="Q394" s="184"/>
      <c r="R394" s="185"/>
      <c r="S394" s="186"/>
      <c r="T394" s="187"/>
      <c r="U394" s="186"/>
      <c r="V394" s="154"/>
      <c r="W394" s="154"/>
      <c r="X394" s="134"/>
      <c r="Y394" s="135"/>
      <c r="Z394" s="136"/>
      <c r="AA394" s="157"/>
      <c r="AB394" s="157"/>
    </row>
    <row r="395" ht="12.0" customHeight="1">
      <c r="A395" s="111"/>
      <c r="F395" s="123">
        <f t="shared" si="8"/>
        <v>394</v>
      </c>
      <c r="G395" s="179"/>
      <c r="H395" s="125" t="s">
        <v>2378</v>
      </c>
      <c r="I395" s="155">
        <f t="shared" si="27"/>
        <v>393</v>
      </c>
      <c r="J395" s="127" t="str">
        <f t="shared" si="1"/>
        <v>PE25-393</v>
      </c>
      <c r="K395" s="183"/>
      <c r="L395" s="161"/>
      <c r="M395" s="161"/>
      <c r="N395" s="157"/>
      <c r="O395" s="137"/>
      <c r="P395" s="154"/>
      <c r="Q395" s="184"/>
      <c r="R395" s="185"/>
      <c r="S395" s="186"/>
      <c r="T395" s="187"/>
      <c r="U395" s="186"/>
      <c r="V395" s="154"/>
      <c r="W395" s="154"/>
      <c r="X395" s="134"/>
      <c r="Y395" s="135"/>
      <c r="Z395" s="136"/>
      <c r="AA395" s="157"/>
      <c r="AB395" s="157"/>
    </row>
    <row r="396" ht="12.0" customHeight="1">
      <c r="A396" s="111"/>
      <c r="F396" s="123">
        <f t="shared" si="8"/>
        <v>395</v>
      </c>
      <c r="G396" s="179"/>
      <c r="H396" s="125" t="s">
        <v>2378</v>
      </c>
      <c r="I396" s="155">
        <f t="shared" si="27"/>
        <v>394</v>
      </c>
      <c r="J396" s="127" t="str">
        <f t="shared" si="1"/>
        <v>PE25-394</v>
      </c>
      <c r="K396" s="183"/>
      <c r="L396" s="161"/>
      <c r="M396" s="161"/>
      <c r="N396" s="157"/>
      <c r="O396" s="137"/>
      <c r="P396" s="154"/>
      <c r="Q396" s="184"/>
      <c r="R396" s="185"/>
      <c r="S396" s="186"/>
      <c r="T396" s="187"/>
      <c r="U396" s="186"/>
      <c r="V396" s="154"/>
      <c r="W396" s="154"/>
      <c r="X396" s="134"/>
      <c r="Y396" s="135"/>
      <c r="Z396" s="136"/>
      <c r="AA396" s="157"/>
      <c r="AB396" s="157"/>
    </row>
    <row r="397" ht="12.0" customHeight="1">
      <c r="A397" s="111"/>
      <c r="F397" s="123">
        <f t="shared" si="8"/>
        <v>396</v>
      </c>
      <c r="G397" s="179"/>
      <c r="H397" s="125" t="s">
        <v>2378</v>
      </c>
      <c r="I397" s="155">
        <f t="shared" si="27"/>
        <v>395</v>
      </c>
      <c r="J397" s="127" t="str">
        <f t="shared" si="1"/>
        <v>PE25-395</v>
      </c>
      <c r="K397" s="183"/>
      <c r="L397" s="161"/>
      <c r="M397" s="161"/>
      <c r="N397" s="157"/>
      <c r="O397" s="137"/>
      <c r="P397" s="154"/>
      <c r="Q397" s="184"/>
      <c r="R397" s="185"/>
      <c r="S397" s="186"/>
      <c r="T397" s="187"/>
      <c r="U397" s="186"/>
      <c r="V397" s="154"/>
      <c r="W397" s="154"/>
      <c r="X397" s="134"/>
      <c r="Y397" s="135"/>
      <c r="Z397" s="136"/>
      <c r="AA397" s="157"/>
      <c r="AB397" s="157"/>
    </row>
    <row r="398" ht="12.0" customHeight="1">
      <c r="A398" s="111"/>
      <c r="F398" s="123">
        <f t="shared" si="8"/>
        <v>397</v>
      </c>
      <c r="G398" s="179"/>
      <c r="H398" s="125" t="s">
        <v>2378</v>
      </c>
      <c r="I398" s="155">
        <f t="shared" si="27"/>
        <v>396</v>
      </c>
      <c r="J398" s="127" t="str">
        <f t="shared" si="1"/>
        <v>PE25-396</v>
      </c>
      <c r="K398" s="183"/>
      <c r="L398" s="161"/>
      <c r="M398" s="161"/>
      <c r="N398" s="157"/>
      <c r="O398" s="137"/>
      <c r="P398" s="154"/>
      <c r="Q398" s="184"/>
      <c r="R398" s="185"/>
      <c r="S398" s="186"/>
      <c r="T398" s="187"/>
      <c r="U398" s="186"/>
      <c r="V398" s="154"/>
      <c r="W398" s="154"/>
      <c r="X398" s="134"/>
      <c r="Y398" s="135"/>
      <c r="Z398" s="136"/>
      <c r="AA398" s="157"/>
      <c r="AB398" s="157"/>
    </row>
    <row r="399" ht="12.0" customHeight="1">
      <c r="A399" s="111"/>
      <c r="F399" s="123">
        <f t="shared" si="8"/>
        <v>398</v>
      </c>
      <c r="G399" s="179"/>
      <c r="H399" s="125" t="s">
        <v>2378</v>
      </c>
      <c r="I399" s="155">
        <f t="shared" si="27"/>
        <v>397</v>
      </c>
      <c r="J399" s="127" t="str">
        <f t="shared" si="1"/>
        <v>PE25-397</v>
      </c>
      <c r="K399" s="183"/>
      <c r="L399" s="161"/>
      <c r="M399" s="161"/>
      <c r="N399" s="157"/>
      <c r="O399" s="137"/>
      <c r="P399" s="154"/>
      <c r="Q399" s="184"/>
      <c r="R399" s="185"/>
      <c r="S399" s="186"/>
      <c r="T399" s="187"/>
      <c r="U399" s="186"/>
      <c r="V399" s="154"/>
      <c r="W399" s="154"/>
      <c r="X399" s="134"/>
      <c r="Y399" s="135"/>
      <c r="Z399" s="136"/>
      <c r="AA399" s="157"/>
      <c r="AB399" s="157"/>
    </row>
    <row r="400" ht="12.0" customHeight="1">
      <c r="A400" s="111"/>
      <c r="F400" s="123">
        <f t="shared" si="8"/>
        <v>399</v>
      </c>
      <c r="G400" s="179"/>
      <c r="H400" s="125" t="s">
        <v>2378</v>
      </c>
      <c r="I400" s="155">
        <f t="shared" si="27"/>
        <v>398</v>
      </c>
      <c r="J400" s="127" t="str">
        <f t="shared" si="1"/>
        <v>PE25-398</v>
      </c>
      <c r="K400" s="183"/>
      <c r="L400" s="161"/>
      <c r="M400" s="161"/>
      <c r="N400" s="157"/>
      <c r="O400" s="137"/>
      <c r="P400" s="154"/>
      <c r="Q400" s="184"/>
      <c r="R400" s="185"/>
      <c r="S400" s="186"/>
      <c r="T400" s="187"/>
      <c r="U400" s="186"/>
      <c r="V400" s="154"/>
      <c r="W400" s="154"/>
      <c r="X400" s="134"/>
      <c r="Y400" s="135"/>
      <c r="Z400" s="136"/>
      <c r="AA400" s="157"/>
      <c r="AB400" s="157"/>
    </row>
    <row r="401" ht="12.0" customHeight="1">
      <c r="A401" s="111"/>
      <c r="F401" s="123">
        <f t="shared" si="8"/>
        <v>400</v>
      </c>
      <c r="G401" s="179"/>
      <c r="H401" s="125" t="s">
        <v>2378</v>
      </c>
      <c r="I401" s="155">
        <f t="shared" si="27"/>
        <v>399</v>
      </c>
      <c r="J401" s="127" t="str">
        <f t="shared" si="1"/>
        <v>PE25-399</v>
      </c>
      <c r="K401" s="183"/>
      <c r="L401" s="161"/>
      <c r="M401" s="161"/>
      <c r="N401" s="157"/>
      <c r="O401" s="137"/>
      <c r="P401" s="154"/>
      <c r="Q401" s="184"/>
      <c r="R401" s="185"/>
      <c r="S401" s="186"/>
      <c r="T401" s="187"/>
      <c r="U401" s="186"/>
      <c r="V401" s="154"/>
      <c r="W401" s="154"/>
      <c r="X401" s="134"/>
      <c r="Y401" s="135"/>
      <c r="Z401" s="136"/>
      <c r="AA401" s="157"/>
      <c r="AB401" s="157"/>
    </row>
    <row r="402" ht="12.0" customHeight="1">
      <c r="A402" s="111"/>
      <c r="F402" s="123">
        <f t="shared" si="8"/>
        <v>401</v>
      </c>
      <c r="G402" s="179"/>
      <c r="H402" s="125" t="s">
        <v>2378</v>
      </c>
      <c r="I402" s="155">
        <f t="shared" si="27"/>
        <v>400</v>
      </c>
      <c r="J402" s="127" t="str">
        <f t="shared" si="1"/>
        <v>PE25-400</v>
      </c>
      <c r="K402" s="183"/>
      <c r="L402" s="161"/>
      <c r="M402" s="161"/>
      <c r="N402" s="157"/>
      <c r="O402" s="137"/>
      <c r="P402" s="154"/>
      <c r="Q402" s="184"/>
      <c r="R402" s="185"/>
      <c r="S402" s="186"/>
      <c r="T402" s="187"/>
      <c r="U402" s="186"/>
      <c r="V402" s="154"/>
      <c r="W402" s="154"/>
      <c r="X402" s="134"/>
      <c r="Y402" s="135"/>
      <c r="Z402" s="136"/>
      <c r="AA402" s="157"/>
      <c r="AB402" s="157"/>
    </row>
    <row r="403" ht="12.0" customHeight="1">
      <c r="A403" s="111"/>
      <c r="F403" s="123">
        <f t="shared" si="8"/>
        <v>402</v>
      </c>
      <c r="G403" s="179"/>
      <c r="H403" s="125" t="s">
        <v>2378</v>
      </c>
      <c r="I403" s="155">
        <f t="shared" si="27"/>
        <v>401</v>
      </c>
      <c r="J403" s="127" t="str">
        <f t="shared" si="1"/>
        <v>PE25-401</v>
      </c>
      <c r="K403" s="183"/>
      <c r="L403" s="161"/>
      <c r="M403" s="161"/>
      <c r="N403" s="157"/>
      <c r="O403" s="137"/>
      <c r="P403" s="154"/>
      <c r="Q403" s="184"/>
      <c r="R403" s="185"/>
      <c r="S403" s="186"/>
      <c r="T403" s="187"/>
      <c r="U403" s="186"/>
      <c r="V403" s="154"/>
      <c r="W403" s="154"/>
      <c r="X403" s="134"/>
      <c r="Y403" s="135"/>
      <c r="Z403" s="136"/>
      <c r="AA403" s="157"/>
      <c r="AB403" s="157"/>
    </row>
    <row r="404" ht="12.0" customHeight="1">
      <c r="A404" s="111"/>
      <c r="F404" s="123">
        <f t="shared" si="8"/>
        <v>403</v>
      </c>
      <c r="G404" s="179"/>
      <c r="H404" s="125" t="s">
        <v>2378</v>
      </c>
      <c r="I404" s="155">
        <f t="shared" si="27"/>
        <v>402</v>
      </c>
      <c r="J404" s="127" t="str">
        <f t="shared" si="1"/>
        <v>PE25-402</v>
      </c>
      <c r="K404" s="183"/>
      <c r="L404" s="161"/>
      <c r="M404" s="161"/>
      <c r="N404" s="157"/>
      <c r="O404" s="137"/>
      <c r="P404" s="154"/>
      <c r="Q404" s="184"/>
      <c r="R404" s="185"/>
      <c r="S404" s="186"/>
      <c r="T404" s="187"/>
      <c r="U404" s="186"/>
      <c r="V404" s="154"/>
      <c r="W404" s="154"/>
      <c r="X404" s="134"/>
      <c r="Y404" s="135"/>
      <c r="Z404" s="136"/>
      <c r="AA404" s="157"/>
      <c r="AB404" s="157"/>
    </row>
    <row r="405" ht="12.0" customHeight="1">
      <c r="A405" s="111"/>
      <c r="F405" s="123">
        <f t="shared" si="8"/>
        <v>404</v>
      </c>
      <c r="G405" s="179"/>
      <c r="H405" s="125" t="s">
        <v>2378</v>
      </c>
      <c r="I405" s="155">
        <f t="shared" si="27"/>
        <v>403</v>
      </c>
      <c r="J405" s="127" t="str">
        <f t="shared" si="1"/>
        <v>PE25-403</v>
      </c>
      <c r="K405" s="183"/>
      <c r="L405" s="161"/>
      <c r="M405" s="161"/>
      <c r="N405" s="157"/>
      <c r="O405" s="137"/>
      <c r="P405" s="154"/>
      <c r="Q405" s="184"/>
      <c r="R405" s="185"/>
      <c r="S405" s="186"/>
      <c r="T405" s="187"/>
      <c r="U405" s="186"/>
      <c r="V405" s="154"/>
      <c r="W405" s="154"/>
      <c r="X405" s="134"/>
      <c r="Y405" s="135"/>
      <c r="Z405" s="136"/>
      <c r="AA405" s="157"/>
      <c r="AB405" s="157"/>
    </row>
    <row r="406" ht="12.0" customHeight="1">
      <c r="A406" s="111"/>
      <c r="F406" s="123">
        <f t="shared" si="8"/>
        <v>405</v>
      </c>
      <c r="G406" s="179"/>
      <c r="H406" s="125" t="s">
        <v>2378</v>
      </c>
      <c r="I406" s="155">
        <f t="shared" si="27"/>
        <v>404</v>
      </c>
      <c r="J406" s="127" t="str">
        <f t="shared" si="1"/>
        <v>PE25-404</v>
      </c>
      <c r="K406" s="183"/>
      <c r="L406" s="161"/>
      <c r="M406" s="161"/>
      <c r="N406" s="157"/>
      <c r="O406" s="137"/>
      <c r="P406" s="154"/>
      <c r="Q406" s="184"/>
      <c r="R406" s="185"/>
      <c r="S406" s="186"/>
      <c r="T406" s="187"/>
      <c r="U406" s="186"/>
      <c r="V406" s="154"/>
      <c r="W406" s="154"/>
      <c r="X406" s="134"/>
      <c r="Y406" s="135"/>
      <c r="Z406" s="136"/>
      <c r="AA406" s="157"/>
      <c r="AB406" s="157"/>
    </row>
    <row r="407" ht="12.0" customHeight="1">
      <c r="A407" s="111"/>
      <c r="F407" s="123">
        <f t="shared" si="8"/>
        <v>406</v>
      </c>
      <c r="G407" s="179"/>
      <c r="H407" s="125" t="s">
        <v>2378</v>
      </c>
      <c r="I407" s="155">
        <f t="shared" si="27"/>
        <v>405</v>
      </c>
      <c r="J407" s="127" t="str">
        <f t="shared" si="1"/>
        <v>PE25-405</v>
      </c>
      <c r="K407" s="183"/>
      <c r="L407" s="161"/>
      <c r="M407" s="161"/>
      <c r="N407" s="157"/>
      <c r="O407" s="137"/>
      <c r="P407" s="154"/>
      <c r="Q407" s="184"/>
      <c r="R407" s="185"/>
      <c r="S407" s="186"/>
      <c r="T407" s="187"/>
      <c r="U407" s="186"/>
      <c r="V407" s="154"/>
      <c r="W407" s="154"/>
      <c r="X407" s="134"/>
      <c r="Y407" s="135"/>
      <c r="Z407" s="136"/>
      <c r="AA407" s="157"/>
      <c r="AB407" s="157"/>
    </row>
    <row r="408" ht="12.0" customHeight="1">
      <c r="A408" s="111"/>
      <c r="F408" s="123">
        <f t="shared" si="8"/>
        <v>407</v>
      </c>
      <c r="G408" s="179"/>
      <c r="H408" s="125" t="s">
        <v>2378</v>
      </c>
      <c r="I408" s="155">
        <f t="shared" si="27"/>
        <v>406</v>
      </c>
      <c r="J408" s="127" t="str">
        <f t="shared" si="1"/>
        <v>PE25-406</v>
      </c>
      <c r="K408" s="183"/>
      <c r="L408" s="161"/>
      <c r="M408" s="161"/>
      <c r="N408" s="157"/>
      <c r="O408" s="137"/>
      <c r="P408" s="154"/>
      <c r="Q408" s="184"/>
      <c r="R408" s="185"/>
      <c r="S408" s="186"/>
      <c r="T408" s="187"/>
      <c r="U408" s="186"/>
      <c r="V408" s="154"/>
      <c r="W408" s="154"/>
      <c r="X408" s="134"/>
      <c r="Y408" s="135"/>
      <c r="Z408" s="136"/>
      <c r="AA408" s="157"/>
      <c r="AB408" s="157"/>
    </row>
    <row r="409" ht="12.0" customHeight="1">
      <c r="A409" s="111"/>
      <c r="F409" s="123">
        <f t="shared" si="8"/>
        <v>408</v>
      </c>
      <c r="G409" s="179"/>
      <c r="H409" s="125" t="s">
        <v>2378</v>
      </c>
      <c r="I409" s="155">
        <f t="shared" si="27"/>
        <v>407</v>
      </c>
      <c r="J409" s="127" t="str">
        <f t="shared" si="1"/>
        <v>PE25-407</v>
      </c>
      <c r="K409" s="183"/>
      <c r="L409" s="161"/>
      <c r="M409" s="161"/>
      <c r="N409" s="157"/>
      <c r="O409" s="137"/>
      <c r="P409" s="154"/>
      <c r="Q409" s="184"/>
      <c r="R409" s="185"/>
      <c r="S409" s="186"/>
      <c r="T409" s="187"/>
      <c r="U409" s="186"/>
      <c r="V409" s="154"/>
      <c r="W409" s="154"/>
      <c r="X409" s="134"/>
      <c r="Y409" s="135"/>
      <c r="Z409" s="136"/>
      <c r="AA409" s="157"/>
      <c r="AB409" s="157"/>
    </row>
    <row r="410" ht="12.0" customHeight="1">
      <c r="A410" s="111"/>
      <c r="F410" s="123">
        <f t="shared" si="8"/>
        <v>409</v>
      </c>
      <c r="G410" s="179"/>
      <c r="H410" s="125" t="s">
        <v>2378</v>
      </c>
      <c r="I410" s="155">
        <f t="shared" si="27"/>
        <v>408</v>
      </c>
      <c r="J410" s="127" t="str">
        <f t="shared" si="1"/>
        <v>PE25-408</v>
      </c>
      <c r="K410" s="183"/>
      <c r="L410" s="161"/>
      <c r="M410" s="161"/>
      <c r="N410" s="157"/>
      <c r="O410" s="137"/>
      <c r="P410" s="154"/>
      <c r="Q410" s="184"/>
      <c r="R410" s="185"/>
      <c r="S410" s="186"/>
      <c r="T410" s="187"/>
      <c r="U410" s="186"/>
      <c r="V410" s="154"/>
      <c r="W410" s="154"/>
      <c r="X410" s="134"/>
      <c r="Y410" s="135"/>
      <c r="Z410" s="136"/>
      <c r="AA410" s="157"/>
      <c r="AB410" s="157"/>
    </row>
    <row r="411" ht="12.0" customHeight="1">
      <c r="A411" s="111"/>
      <c r="F411" s="123">
        <f t="shared" si="8"/>
        <v>410</v>
      </c>
      <c r="G411" s="179"/>
      <c r="H411" s="125" t="s">
        <v>2378</v>
      </c>
      <c r="I411" s="155">
        <f t="shared" si="27"/>
        <v>409</v>
      </c>
      <c r="J411" s="127" t="str">
        <f t="shared" si="1"/>
        <v>PE25-409</v>
      </c>
      <c r="K411" s="183"/>
      <c r="L411" s="161"/>
      <c r="M411" s="161"/>
      <c r="N411" s="157"/>
      <c r="O411" s="137"/>
      <c r="P411" s="154"/>
      <c r="Q411" s="184"/>
      <c r="R411" s="185"/>
      <c r="S411" s="186"/>
      <c r="T411" s="187"/>
      <c r="U411" s="186"/>
      <c r="V411" s="154"/>
      <c r="W411" s="154"/>
      <c r="X411" s="134"/>
      <c r="Y411" s="135"/>
      <c r="Z411" s="136"/>
      <c r="AA411" s="157"/>
      <c r="AB411" s="157"/>
    </row>
    <row r="412" ht="12.0" customHeight="1">
      <c r="A412" s="111"/>
      <c r="F412" s="123">
        <f t="shared" si="8"/>
        <v>411</v>
      </c>
      <c r="G412" s="179"/>
      <c r="H412" s="125" t="s">
        <v>2378</v>
      </c>
      <c r="I412" s="155">
        <f t="shared" si="27"/>
        <v>410</v>
      </c>
      <c r="J412" s="127" t="str">
        <f t="shared" si="1"/>
        <v>PE25-410</v>
      </c>
      <c r="K412" s="183"/>
      <c r="L412" s="161"/>
      <c r="M412" s="161"/>
      <c r="N412" s="157"/>
      <c r="O412" s="137"/>
      <c r="P412" s="154"/>
      <c r="Q412" s="184"/>
      <c r="R412" s="185"/>
      <c r="S412" s="186"/>
      <c r="T412" s="187"/>
      <c r="U412" s="186"/>
      <c r="V412" s="154"/>
      <c r="W412" s="154"/>
      <c r="X412" s="134"/>
      <c r="Y412" s="135"/>
      <c r="Z412" s="136"/>
      <c r="AA412" s="157"/>
      <c r="AB412" s="157"/>
    </row>
    <row r="413" ht="12.0" customHeight="1">
      <c r="A413" s="111"/>
      <c r="F413" s="123">
        <f t="shared" si="8"/>
        <v>412</v>
      </c>
      <c r="G413" s="179"/>
      <c r="H413" s="125" t="s">
        <v>2378</v>
      </c>
      <c r="I413" s="155">
        <f t="shared" si="27"/>
        <v>411</v>
      </c>
      <c r="J413" s="127" t="str">
        <f t="shared" si="1"/>
        <v>PE25-411</v>
      </c>
      <c r="K413" s="183"/>
      <c r="L413" s="174"/>
      <c r="M413" s="174"/>
      <c r="N413" s="157"/>
      <c r="O413" s="157"/>
      <c r="P413" s="154"/>
      <c r="Q413" s="188"/>
      <c r="R413" s="189"/>
      <c r="S413" s="186"/>
      <c r="T413" s="187"/>
      <c r="U413" s="186"/>
      <c r="V413" s="157"/>
      <c r="W413" s="154"/>
      <c r="X413" s="134"/>
      <c r="Y413" s="135"/>
      <c r="Z413" s="136"/>
      <c r="AA413" s="157"/>
      <c r="AB413" s="157"/>
    </row>
    <row r="414" ht="12.0" customHeight="1">
      <c r="A414" s="111"/>
      <c r="F414" s="123">
        <f t="shared" si="8"/>
        <v>413</v>
      </c>
      <c r="G414" s="179"/>
      <c r="H414" s="125" t="s">
        <v>2378</v>
      </c>
      <c r="I414" s="155">
        <f t="shared" si="27"/>
        <v>412</v>
      </c>
      <c r="J414" s="127" t="str">
        <f t="shared" si="1"/>
        <v>PE25-412</v>
      </c>
      <c r="K414" s="183"/>
      <c r="L414" s="174"/>
      <c r="M414" s="174"/>
      <c r="N414" s="157"/>
      <c r="O414" s="157"/>
      <c r="P414" s="154"/>
      <c r="Q414" s="188"/>
      <c r="R414" s="189"/>
      <c r="S414" s="186"/>
      <c r="T414" s="187"/>
      <c r="U414" s="186"/>
      <c r="V414" s="157"/>
      <c r="W414" s="154"/>
      <c r="X414" s="134"/>
      <c r="Y414" s="135"/>
      <c r="Z414" s="136"/>
      <c r="AA414" s="157"/>
      <c r="AB414" s="157"/>
    </row>
    <row r="415" ht="12.0" customHeight="1">
      <c r="A415" s="111"/>
      <c r="F415" s="123">
        <f t="shared" si="8"/>
        <v>414</v>
      </c>
      <c r="G415" s="179"/>
      <c r="H415" s="125" t="s">
        <v>2378</v>
      </c>
      <c r="I415" s="155">
        <f t="shared" si="27"/>
        <v>413</v>
      </c>
      <c r="J415" s="127" t="str">
        <f t="shared" si="1"/>
        <v>PE25-413</v>
      </c>
      <c r="K415" s="173"/>
      <c r="L415" s="174"/>
      <c r="M415" s="174"/>
      <c r="N415" s="157"/>
      <c r="O415" s="157"/>
      <c r="P415" s="154"/>
      <c r="Q415" s="188"/>
      <c r="R415" s="189"/>
      <c r="S415" s="186"/>
      <c r="T415" s="187"/>
      <c r="U415" s="186"/>
      <c r="V415" s="157"/>
      <c r="W415" s="157"/>
      <c r="X415" s="134"/>
      <c r="Y415" s="135"/>
      <c r="Z415" s="136"/>
      <c r="AA415" s="157"/>
      <c r="AB415" s="157"/>
    </row>
    <row r="416" ht="12.0" customHeight="1">
      <c r="A416" s="111"/>
      <c r="F416" s="123">
        <f t="shared" si="8"/>
        <v>415</v>
      </c>
      <c r="G416" s="179"/>
      <c r="H416" s="125" t="s">
        <v>2378</v>
      </c>
      <c r="I416" s="155">
        <f t="shared" si="27"/>
        <v>414</v>
      </c>
      <c r="J416" s="127" t="str">
        <f t="shared" si="1"/>
        <v>PE25-414</v>
      </c>
      <c r="K416" s="173"/>
      <c r="L416" s="174"/>
      <c r="M416" s="174"/>
      <c r="N416" s="157"/>
      <c r="O416" s="157"/>
      <c r="P416" s="154"/>
      <c r="Q416" s="188"/>
      <c r="R416" s="189"/>
      <c r="S416" s="186"/>
      <c r="T416" s="187"/>
      <c r="U416" s="186"/>
      <c r="V416" s="157"/>
      <c r="W416" s="157"/>
      <c r="X416" s="134"/>
      <c r="Y416" s="135"/>
      <c r="Z416" s="136"/>
      <c r="AA416" s="157"/>
      <c r="AB416" s="157"/>
    </row>
    <row r="417" ht="12.0" customHeight="1">
      <c r="A417" s="111"/>
      <c r="F417" s="123">
        <f t="shared" si="8"/>
        <v>416</v>
      </c>
      <c r="G417" s="179"/>
      <c r="H417" s="125" t="s">
        <v>2378</v>
      </c>
      <c r="I417" s="155">
        <f t="shared" si="27"/>
        <v>415</v>
      </c>
      <c r="J417" s="127" t="str">
        <f t="shared" si="1"/>
        <v>PE25-415</v>
      </c>
      <c r="K417" s="173"/>
      <c r="L417" s="174"/>
      <c r="M417" s="174"/>
      <c r="N417" s="157"/>
      <c r="O417" s="157"/>
      <c r="P417" s="154"/>
      <c r="Q417" s="188"/>
      <c r="R417" s="189"/>
      <c r="S417" s="186"/>
      <c r="T417" s="187"/>
      <c r="U417" s="186"/>
      <c r="V417" s="157"/>
      <c r="W417" s="154"/>
      <c r="X417" s="134"/>
      <c r="Y417" s="135"/>
      <c r="Z417" s="136"/>
      <c r="AA417" s="157"/>
      <c r="AB417" s="157"/>
    </row>
    <row r="418" ht="12.0" customHeight="1">
      <c r="A418" s="111"/>
      <c r="F418" s="123">
        <f t="shared" si="8"/>
        <v>417</v>
      </c>
      <c r="G418" s="179"/>
      <c r="H418" s="125" t="s">
        <v>2378</v>
      </c>
      <c r="I418" s="155">
        <f t="shared" si="27"/>
        <v>416</v>
      </c>
      <c r="J418" s="127" t="str">
        <f t="shared" si="1"/>
        <v>PE25-416</v>
      </c>
      <c r="K418" s="173"/>
      <c r="L418" s="174"/>
      <c r="M418" s="174"/>
      <c r="N418" s="157"/>
      <c r="O418" s="157"/>
      <c r="P418" s="154"/>
      <c r="Q418" s="188"/>
      <c r="R418" s="189"/>
      <c r="S418" s="186"/>
      <c r="T418" s="187"/>
      <c r="U418" s="186"/>
      <c r="V418" s="157"/>
      <c r="W418" s="157"/>
      <c r="X418" s="134"/>
      <c r="Y418" s="135"/>
      <c r="Z418" s="136"/>
      <c r="AA418" s="157"/>
      <c r="AB418" s="157"/>
    </row>
    <row r="419" ht="12.0" customHeight="1">
      <c r="A419" s="111"/>
      <c r="F419" s="123">
        <f t="shared" si="8"/>
        <v>418</v>
      </c>
      <c r="G419" s="179"/>
      <c r="H419" s="125" t="s">
        <v>2378</v>
      </c>
      <c r="I419" s="155">
        <f t="shared" si="27"/>
        <v>417</v>
      </c>
      <c r="J419" s="127" t="str">
        <f t="shared" si="1"/>
        <v>PE25-417</v>
      </c>
      <c r="K419" s="173"/>
      <c r="L419" s="174"/>
      <c r="M419" s="174"/>
      <c r="N419" s="157"/>
      <c r="O419" s="157"/>
      <c r="P419" s="154"/>
      <c r="Q419" s="188"/>
      <c r="R419" s="189"/>
      <c r="S419" s="186"/>
      <c r="T419" s="187"/>
      <c r="U419" s="186"/>
      <c r="V419" s="157"/>
      <c r="W419" s="124"/>
      <c r="X419" s="134"/>
      <c r="Y419" s="135"/>
      <c r="Z419" s="136"/>
      <c r="AA419" s="157"/>
      <c r="AB419" s="157"/>
    </row>
    <row r="420" ht="12.0" customHeight="1">
      <c r="A420" s="111"/>
      <c r="F420" s="123">
        <f t="shared" si="8"/>
        <v>419</v>
      </c>
      <c r="G420" s="179"/>
      <c r="H420" s="125" t="s">
        <v>2378</v>
      </c>
      <c r="I420" s="155">
        <f t="shared" si="27"/>
        <v>418</v>
      </c>
      <c r="J420" s="127" t="str">
        <f t="shared" si="1"/>
        <v>PE25-418</v>
      </c>
      <c r="K420" s="173"/>
      <c r="L420" s="174"/>
      <c r="M420" s="174"/>
      <c r="N420" s="157"/>
      <c r="O420" s="157"/>
      <c r="P420" s="154"/>
      <c r="Q420" s="188"/>
      <c r="R420" s="189"/>
      <c r="S420" s="186"/>
      <c r="T420" s="187"/>
      <c r="U420" s="186"/>
      <c r="V420" s="157"/>
      <c r="W420" s="157"/>
      <c r="X420" s="134"/>
      <c r="Y420" s="135"/>
      <c r="Z420" s="136"/>
      <c r="AA420" s="157"/>
      <c r="AB420" s="157"/>
    </row>
    <row r="421" ht="12.0" customHeight="1">
      <c r="A421" s="111"/>
      <c r="F421" s="123">
        <f t="shared" si="8"/>
        <v>420</v>
      </c>
      <c r="G421" s="179"/>
      <c r="H421" s="125" t="s">
        <v>2378</v>
      </c>
      <c r="I421" s="155">
        <f t="shared" si="27"/>
        <v>419</v>
      </c>
      <c r="J421" s="127" t="str">
        <f t="shared" si="1"/>
        <v>PE25-419</v>
      </c>
      <c r="K421" s="173"/>
      <c r="L421" s="174"/>
      <c r="M421" s="174"/>
      <c r="N421" s="157"/>
      <c r="O421" s="157"/>
      <c r="P421" s="154"/>
      <c r="Q421" s="188"/>
      <c r="R421" s="189"/>
      <c r="S421" s="186"/>
      <c r="T421" s="187"/>
      <c r="U421" s="186"/>
      <c r="V421" s="157"/>
      <c r="W421" s="157"/>
      <c r="X421" s="134"/>
      <c r="Y421" s="135"/>
      <c r="Z421" s="136"/>
      <c r="AA421" s="157"/>
      <c r="AB421" s="157"/>
    </row>
    <row r="422" ht="12.0" customHeight="1">
      <c r="A422" s="111"/>
      <c r="F422" s="123">
        <f t="shared" si="8"/>
        <v>421</v>
      </c>
      <c r="G422" s="179"/>
      <c r="H422" s="125" t="s">
        <v>2378</v>
      </c>
      <c r="I422" s="155">
        <f t="shared" si="27"/>
        <v>420</v>
      </c>
      <c r="J422" s="127" t="str">
        <f t="shared" si="1"/>
        <v>PE25-420</v>
      </c>
      <c r="K422" s="173"/>
      <c r="L422" s="174"/>
      <c r="M422" s="174"/>
      <c r="N422" s="157"/>
      <c r="O422" s="157"/>
      <c r="P422" s="154"/>
      <c r="Q422" s="188"/>
      <c r="R422" s="189"/>
      <c r="S422" s="186"/>
      <c r="T422" s="187"/>
      <c r="U422" s="186"/>
      <c r="V422" s="157"/>
      <c r="W422" s="157"/>
      <c r="X422" s="134"/>
      <c r="Y422" s="135"/>
      <c r="Z422" s="136"/>
      <c r="AA422" s="157"/>
      <c r="AB422" s="157"/>
    </row>
    <row r="423" ht="12.0" customHeight="1">
      <c r="A423" s="111"/>
      <c r="F423" s="123">
        <f t="shared" si="8"/>
        <v>422</v>
      </c>
      <c r="G423" s="179"/>
      <c r="H423" s="125" t="s">
        <v>2378</v>
      </c>
      <c r="I423" s="155">
        <f t="shared" si="27"/>
        <v>421</v>
      </c>
      <c r="J423" s="127" t="str">
        <f t="shared" si="1"/>
        <v>PE25-421</v>
      </c>
      <c r="K423" s="173"/>
      <c r="L423" s="174"/>
      <c r="M423" s="174"/>
      <c r="N423" s="157"/>
      <c r="O423" s="157"/>
      <c r="P423" s="154"/>
      <c r="Q423" s="188"/>
      <c r="R423" s="189"/>
      <c r="S423" s="186"/>
      <c r="T423" s="187"/>
      <c r="U423" s="186"/>
      <c r="V423" s="157"/>
      <c r="W423" s="157"/>
      <c r="X423" s="134"/>
      <c r="Y423" s="135"/>
      <c r="Z423" s="136"/>
      <c r="AA423" s="157"/>
      <c r="AB423" s="157"/>
    </row>
    <row r="424" ht="12.0" customHeight="1">
      <c r="A424" s="111"/>
      <c r="F424" s="123">
        <f t="shared" si="8"/>
        <v>423</v>
      </c>
      <c r="G424" s="179"/>
      <c r="H424" s="125" t="s">
        <v>2378</v>
      </c>
      <c r="I424" s="155">
        <f t="shared" si="27"/>
        <v>422</v>
      </c>
      <c r="J424" s="127" t="str">
        <f t="shared" si="1"/>
        <v>PE25-422</v>
      </c>
      <c r="K424" s="173"/>
      <c r="L424" s="174"/>
      <c r="M424" s="174"/>
      <c r="N424" s="157"/>
      <c r="O424" s="157"/>
      <c r="P424" s="154"/>
      <c r="Q424" s="188"/>
      <c r="R424" s="189"/>
      <c r="S424" s="186"/>
      <c r="T424" s="187"/>
      <c r="U424" s="186"/>
      <c r="V424" s="157"/>
      <c r="W424" s="157"/>
      <c r="X424" s="134"/>
      <c r="Y424" s="135"/>
      <c r="Z424" s="136"/>
      <c r="AA424" s="157"/>
      <c r="AB424" s="157"/>
    </row>
    <row r="425" ht="12.0" customHeight="1">
      <c r="A425" s="111"/>
      <c r="F425" s="123">
        <f t="shared" si="8"/>
        <v>424</v>
      </c>
      <c r="G425" s="179"/>
      <c r="H425" s="125" t="s">
        <v>2378</v>
      </c>
      <c r="I425" s="155">
        <f t="shared" si="27"/>
        <v>423</v>
      </c>
      <c r="J425" s="127" t="str">
        <f t="shared" si="1"/>
        <v>PE25-423</v>
      </c>
      <c r="K425" s="173"/>
      <c r="L425" s="174"/>
      <c r="M425" s="174"/>
      <c r="N425" s="157"/>
      <c r="O425" s="157"/>
      <c r="P425" s="154"/>
      <c r="Q425" s="188"/>
      <c r="R425" s="189"/>
      <c r="S425" s="186"/>
      <c r="T425" s="187"/>
      <c r="U425" s="186"/>
      <c r="V425" s="157"/>
      <c r="W425" s="154"/>
      <c r="X425" s="134"/>
      <c r="Y425" s="135"/>
      <c r="Z425" s="136"/>
      <c r="AA425" s="157"/>
      <c r="AB425" s="157"/>
    </row>
    <row r="426" ht="12.0" customHeight="1">
      <c r="A426" s="111"/>
      <c r="F426" s="123">
        <f t="shared" si="8"/>
        <v>425</v>
      </c>
      <c r="G426" s="179"/>
      <c r="H426" s="125" t="s">
        <v>2378</v>
      </c>
      <c r="I426" s="155">
        <f t="shared" si="27"/>
        <v>424</v>
      </c>
      <c r="J426" s="127" t="str">
        <f t="shared" si="1"/>
        <v>PE25-424</v>
      </c>
      <c r="K426" s="173"/>
      <c r="L426" s="174"/>
      <c r="M426" s="174"/>
      <c r="N426" s="157"/>
      <c r="O426" s="157"/>
      <c r="P426" s="154"/>
      <c r="Q426" s="188"/>
      <c r="R426" s="189"/>
      <c r="S426" s="186"/>
      <c r="T426" s="187"/>
      <c r="U426" s="186"/>
      <c r="V426" s="157"/>
      <c r="W426" s="124"/>
      <c r="X426" s="134"/>
      <c r="Y426" s="135"/>
      <c r="Z426" s="136"/>
      <c r="AA426" s="157"/>
      <c r="AB426" s="157"/>
    </row>
    <row r="427" ht="12.0" customHeight="1">
      <c r="A427" s="111"/>
      <c r="F427" s="123">
        <f t="shared" si="8"/>
        <v>426</v>
      </c>
      <c r="G427" s="179"/>
      <c r="H427" s="125" t="s">
        <v>2378</v>
      </c>
      <c r="I427" s="155">
        <f t="shared" si="27"/>
        <v>425</v>
      </c>
      <c r="J427" s="127" t="str">
        <f t="shared" si="1"/>
        <v>PE25-425</v>
      </c>
      <c r="K427" s="173"/>
      <c r="L427" s="174"/>
      <c r="M427" s="174"/>
      <c r="N427" s="157"/>
      <c r="O427" s="157"/>
      <c r="P427" s="154"/>
      <c r="Q427" s="188"/>
      <c r="R427" s="189"/>
      <c r="S427" s="186"/>
      <c r="T427" s="187"/>
      <c r="U427" s="186"/>
      <c r="V427" s="157"/>
      <c r="W427" s="157"/>
      <c r="X427" s="134"/>
      <c r="Y427" s="135"/>
      <c r="Z427" s="136"/>
      <c r="AA427" s="157"/>
      <c r="AB427" s="157"/>
    </row>
    <row r="428" ht="12.0" customHeight="1">
      <c r="A428" s="111"/>
      <c r="F428" s="123">
        <f t="shared" si="8"/>
        <v>427</v>
      </c>
      <c r="G428" s="179"/>
      <c r="H428" s="125" t="s">
        <v>2378</v>
      </c>
      <c r="I428" s="155">
        <f t="shared" si="27"/>
        <v>426</v>
      </c>
      <c r="J428" s="127" t="str">
        <f t="shared" si="1"/>
        <v>PE25-426</v>
      </c>
      <c r="K428" s="173"/>
      <c r="L428" s="174"/>
      <c r="M428" s="174"/>
      <c r="N428" s="157"/>
      <c r="O428" s="157"/>
      <c r="P428" s="190"/>
      <c r="Q428" s="191"/>
      <c r="R428" s="190"/>
      <c r="S428" s="186"/>
      <c r="T428" s="187"/>
      <c r="U428" s="186"/>
      <c r="V428" s="190"/>
      <c r="W428" s="190"/>
      <c r="X428" s="134"/>
      <c r="Y428" s="135"/>
      <c r="Z428" s="136"/>
      <c r="AA428" s="157"/>
      <c r="AB428" s="157"/>
    </row>
    <row r="429" ht="12.0" customHeight="1">
      <c r="A429" s="111"/>
      <c r="F429" s="123">
        <f t="shared" si="8"/>
        <v>428</v>
      </c>
      <c r="G429" s="179"/>
      <c r="H429" s="125" t="s">
        <v>2378</v>
      </c>
      <c r="I429" s="155">
        <f t="shared" si="27"/>
        <v>427</v>
      </c>
      <c r="J429" s="127" t="str">
        <f t="shared" si="1"/>
        <v>PE25-427</v>
      </c>
      <c r="K429" s="173"/>
      <c r="L429" s="174"/>
      <c r="M429" s="174"/>
      <c r="N429" s="157"/>
      <c r="O429" s="157"/>
      <c r="P429" s="154"/>
      <c r="Q429" s="188"/>
      <c r="R429" s="189"/>
      <c r="S429" s="186"/>
      <c r="T429" s="187"/>
      <c r="U429" s="186"/>
      <c r="V429" s="157"/>
      <c r="W429" s="157"/>
      <c r="X429" s="134"/>
      <c r="Y429" s="135"/>
      <c r="Z429" s="136"/>
      <c r="AA429" s="157"/>
      <c r="AB429" s="157"/>
    </row>
    <row r="430" ht="12.0" customHeight="1">
      <c r="A430" s="111"/>
      <c r="F430" s="123">
        <f t="shared" si="8"/>
        <v>429</v>
      </c>
      <c r="G430" s="179"/>
      <c r="H430" s="125" t="s">
        <v>2378</v>
      </c>
      <c r="I430" s="155">
        <f t="shared" si="27"/>
        <v>428</v>
      </c>
      <c r="J430" s="127" t="str">
        <f t="shared" si="1"/>
        <v>PE25-428</v>
      </c>
      <c r="K430" s="173"/>
      <c r="L430" s="174"/>
      <c r="M430" s="174"/>
      <c r="N430" s="157"/>
      <c r="O430" s="157"/>
      <c r="P430" s="154"/>
      <c r="Q430" s="188"/>
      <c r="R430" s="189"/>
      <c r="S430" s="186"/>
      <c r="T430" s="187"/>
      <c r="U430" s="186"/>
      <c r="V430" s="157"/>
      <c r="W430" s="154"/>
      <c r="X430" s="134"/>
      <c r="Y430" s="135"/>
      <c r="Z430" s="136"/>
      <c r="AA430" s="157"/>
      <c r="AB430" s="157"/>
    </row>
    <row r="431" ht="12.0" customHeight="1">
      <c r="A431" s="111"/>
      <c r="F431" s="123">
        <f t="shared" si="8"/>
        <v>430</v>
      </c>
      <c r="G431" s="179"/>
      <c r="H431" s="125" t="s">
        <v>2378</v>
      </c>
      <c r="I431" s="155">
        <f t="shared" si="27"/>
        <v>429</v>
      </c>
      <c r="J431" s="127" t="str">
        <f t="shared" si="1"/>
        <v>PE25-429</v>
      </c>
      <c r="K431" s="173"/>
      <c r="L431" s="174"/>
      <c r="M431" s="174"/>
      <c r="N431" s="157"/>
      <c r="O431" s="157"/>
      <c r="P431" s="154"/>
      <c r="Q431" s="188"/>
      <c r="R431" s="189"/>
      <c r="S431" s="186"/>
      <c r="T431" s="187"/>
      <c r="U431" s="186"/>
      <c r="V431" s="157"/>
      <c r="W431" s="124"/>
      <c r="X431" s="134"/>
      <c r="Y431" s="135"/>
      <c r="Z431" s="136"/>
      <c r="AA431" s="157"/>
      <c r="AB431" s="157"/>
    </row>
    <row r="432" ht="12.0" customHeight="1">
      <c r="A432" s="111"/>
      <c r="F432" s="123">
        <f t="shared" si="8"/>
        <v>431</v>
      </c>
      <c r="G432" s="179"/>
      <c r="H432" s="125" t="s">
        <v>2378</v>
      </c>
      <c r="I432" s="155">
        <f t="shared" si="27"/>
        <v>430</v>
      </c>
      <c r="J432" s="127" t="str">
        <f t="shared" si="1"/>
        <v>PE25-430</v>
      </c>
      <c r="K432" s="173"/>
      <c r="L432" s="174"/>
      <c r="M432" s="174"/>
      <c r="N432" s="157"/>
      <c r="O432" s="157"/>
      <c r="P432" s="154"/>
      <c r="Q432" s="188"/>
      <c r="R432" s="189"/>
      <c r="S432" s="186"/>
      <c r="T432" s="187"/>
      <c r="U432" s="186"/>
      <c r="V432" s="157"/>
      <c r="W432" s="154"/>
      <c r="X432" s="134"/>
      <c r="Y432" s="135"/>
      <c r="Z432" s="136"/>
      <c r="AA432" s="157"/>
      <c r="AB432" s="157"/>
    </row>
    <row r="433" ht="12.0" customHeight="1">
      <c r="A433" s="111"/>
      <c r="F433" s="123">
        <f t="shared" si="8"/>
        <v>432</v>
      </c>
      <c r="G433" s="179"/>
      <c r="H433" s="125" t="s">
        <v>2378</v>
      </c>
      <c r="I433" s="155">
        <f t="shared" si="27"/>
        <v>431</v>
      </c>
      <c r="J433" s="127" t="str">
        <f t="shared" si="1"/>
        <v>PE25-431</v>
      </c>
      <c r="K433" s="192"/>
      <c r="L433" s="193"/>
      <c r="M433" s="193"/>
      <c r="N433" s="194"/>
      <c r="O433" s="194"/>
      <c r="P433" s="147"/>
      <c r="Q433" s="195"/>
      <c r="R433" s="196"/>
      <c r="S433" s="195"/>
      <c r="T433" s="197"/>
      <c r="U433" s="195"/>
      <c r="V433" s="194"/>
      <c r="W433" s="198"/>
      <c r="X433" s="134"/>
      <c r="Y433" s="135"/>
      <c r="Z433" s="136"/>
      <c r="AA433" s="157"/>
      <c r="AB433" s="137"/>
    </row>
    <row r="434" ht="12.0" customHeight="1">
      <c r="A434" s="111"/>
      <c r="F434" s="123">
        <f t="shared" si="8"/>
        <v>433</v>
      </c>
      <c r="G434" s="179"/>
      <c r="H434" s="125" t="s">
        <v>2378</v>
      </c>
      <c r="I434" s="155">
        <f t="shared" si="27"/>
        <v>432</v>
      </c>
      <c r="J434" s="127" t="str">
        <f t="shared" si="1"/>
        <v>PE25-432</v>
      </c>
      <c r="K434" s="192"/>
      <c r="L434" s="193"/>
      <c r="M434" s="193"/>
      <c r="N434" s="194"/>
      <c r="O434" s="194"/>
      <c r="P434" s="147"/>
      <c r="Q434" s="195"/>
      <c r="R434" s="196"/>
      <c r="S434" s="195"/>
      <c r="T434" s="197"/>
      <c r="U434" s="195"/>
      <c r="V434" s="194"/>
      <c r="W434" s="198"/>
      <c r="X434" s="134"/>
      <c r="Y434" s="135"/>
      <c r="Z434" s="136"/>
      <c r="AA434" s="157"/>
      <c r="AB434" s="137"/>
    </row>
    <row r="435" ht="12.0" customHeight="1">
      <c r="A435" s="111"/>
      <c r="F435" s="123">
        <f t="shared" si="8"/>
        <v>434</v>
      </c>
      <c r="G435" s="179"/>
      <c r="H435" s="125" t="s">
        <v>2378</v>
      </c>
      <c r="I435" s="155">
        <f t="shared" si="27"/>
        <v>433</v>
      </c>
      <c r="J435" s="127" t="str">
        <f t="shared" si="1"/>
        <v>PE25-433</v>
      </c>
      <c r="K435" s="192"/>
      <c r="L435" s="193"/>
      <c r="M435" s="193"/>
      <c r="N435" s="194"/>
      <c r="O435" s="194"/>
      <c r="P435" s="147"/>
      <c r="Q435" s="195"/>
      <c r="R435" s="196"/>
      <c r="S435" s="195"/>
      <c r="T435" s="197"/>
      <c r="U435" s="195"/>
      <c r="V435" s="194"/>
      <c r="W435" s="198"/>
      <c r="X435" s="134"/>
      <c r="Y435" s="135"/>
      <c r="Z435" s="136"/>
      <c r="AA435" s="157"/>
      <c r="AB435" s="137"/>
    </row>
    <row r="436" ht="12.0" customHeight="1">
      <c r="A436" s="111"/>
      <c r="F436" s="123">
        <f t="shared" si="8"/>
        <v>435</v>
      </c>
      <c r="G436" s="179"/>
      <c r="H436" s="125" t="s">
        <v>2378</v>
      </c>
      <c r="I436" s="155">
        <f t="shared" si="27"/>
        <v>434</v>
      </c>
      <c r="J436" s="127" t="str">
        <f t="shared" si="1"/>
        <v>PE25-434</v>
      </c>
      <c r="K436" s="173"/>
      <c r="L436" s="174"/>
      <c r="M436" s="174"/>
      <c r="N436" s="157"/>
      <c r="O436" s="157"/>
      <c r="P436" s="154"/>
      <c r="Q436" s="188"/>
      <c r="R436" s="189"/>
      <c r="S436" s="186"/>
      <c r="T436" s="187"/>
      <c r="U436" s="186"/>
      <c r="V436" s="157"/>
      <c r="W436" s="154"/>
      <c r="X436" s="134"/>
      <c r="Y436" s="135"/>
      <c r="Z436" s="136"/>
      <c r="AA436" s="157"/>
      <c r="AB436" s="157"/>
    </row>
    <row r="437" ht="12.0" customHeight="1">
      <c r="A437" s="111"/>
      <c r="F437" s="123">
        <f t="shared" si="8"/>
        <v>436</v>
      </c>
      <c r="G437" s="179"/>
      <c r="H437" s="125" t="s">
        <v>2378</v>
      </c>
      <c r="I437" s="155">
        <f t="shared" si="27"/>
        <v>435</v>
      </c>
      <c r="J437" s="127" t="str">
        <f t="shared" si="1"/>
        <v>PE25-435</v>
      </c>
      <c r="K437" s="173"/>
      <c r="L437" s="174"/>
      <c r="M437" s="174"/>
      <c r="N437" s="157"/>
      <c r="O437" s="157"/>
      <c r="P437" s="154"/>
      <c r="Q437" s="188"/>
      <c r="R437" s="189"/>
      <c r="S437" s="186"/>
      <c r="T437" s="187"/>
      <c r="U437" s="186"/>
      <c r="V437" s="157"/>
      <c r="W437" s="157"/>
      <c r="X437" s="134"/>
      <c r="Y437" s="135"/>
      <c r="Z437" s="136"/>
      <c r="AA437" s="157"/>
      <c r="AB437" s="157"/>
    </row>
    <row r="438" ht="12.0" customHeight="1">
      <c r="A438" s="111"/>
      <c r="F438" s="123">
        <f t="shared" si="8"/>
        <v>437</v>
      </c>
      <c r="G438" s="179"/>
      <c r="H438" s="125" t="s">
        <v>2378</v>
      </c>
      <c r="I438" s="155">
        <f t="shared" si="27"/>
        <v>436</v>
      </c>
      <c r="J438" s="127" t="str">
        <f t="shared" si="1"/>
        <v>PE25-436</v>
      </c>
      <c r="K438" s="173"/>
      <c r="L438" s="174"/>
      <c r="M438" s="174"/>
      <c r="N438" s="157"/>
      <c r="O438" s="157"/>
      <c r="P438" s="154"/>
      <c r="Q438" s="188"/>
      <c r="R438" s="189"/>
      <c r="S438" s="186"/>
      <c r="T438" s="187"/>
      <c r="U438" s="186"/>
      <c r="V438" s="157"/>
      <c r="W438" s="154"/>
      <c r="X438" s="134"/>
      <c r="Y438" s="135"/>
      <c r="Z438" s="136"/>
      <c r="AA438" s="157"/>
      <c r="AB438" s="157"/>
    </row>
    <row r="439" ht="12.0" customHeight="1">
      <c r="A439" s="111"/>
      <c r="F439" s="123">
        <f t="shared" si="8"/>
        <v>438</v>
      </c>
      <c r="G439" s="179"/>
      <c r="H439" s="125" t="s">
        <v>2378</v>
      </c>
      <c r="I439" s="155">
        <f t="shared" si="27"/>
        <v>437</v>
      </c>
      <c r="J439" s="127" t="str">
        <f t="shared" si="1"/>
        <v>PE25-437</v>
      </c>
      <c r="K439" s="173"/>
      <c r="L439" s="174"/>
      <c r="M439" s="174"/>
      <c r="N439" s="157"/>
      <c r="O439" s="157"/>
      <c r="P439" s="154"/>
      <c r="Q439" s="188"/>
      <c r="R439" s="189"/>
      <c r="S439" s="186"/>
      <c r="T439" s="187"/>
      <c r="U439" s="186"/>
      <c r="V439" s="157"/>
      <c r="W439" s="154"/>
      <c r="X439" s="134"/>
      <c r="Y439" s="135"/>
      <c r="Z439" s="136"/>
      <c r="AA439" s="157"/>
      <c r="AB439" s="157"/>
    </row>
    <row r="440" ht="12.0" customHeight="1">
      <c r="A440" s="111"/>
      <c r="F440" s="123">
        <f t="shared" si="8"/>
        <v>439</v>
      </c>
      <c r="G440" s="179"/>
      <c r="H440" s="125" t="s">
        <v>2378</v>
      </c>
      <c r="I440" s="155">
        <f t="shared" si="27"/>
        <v>438</v>
      </c>
      <c r="J440" s="127" t="str">
        <f t="shared" si="1"/>
        <v>PE25-438</v>
      </c>
      <c r="K440" s="173"/>
      <c r="L440" s="174"/>
      <c r="M440" s="174"/>
      <c r="N440" s="157"/>
      <c r="O440" s="157"/>
      <c r="P440" s="154"/>
      <c r="Q440" s="188"/>
      <c r="R440" s="189"/>
      <c r="S440" s="186"/>
      <c r="T440" s="187"/>
      <c r="U440" s="186"/>
      <c r="V440" s="157"/>
      <c r="W440" s="157"/>
      <c r="X440" s="134"/>
      <c r="Y440" s="135"/>
      <c r="Z440" s="136"/>
      <c r="AA440" s="157"/>
      <c r="AB440" s="157"/>
    </row>
    <row r="441" ht="12.0" customHeight="1">
      <c r="A441" s="111"/>
      <c r="F441" s="123">
        <f t="shared" si="8"/>
        <v>440</v>
      </c>
      <c r="G441" s="179"/>
      <c r="H441" s="125" t="s">
        <v>2378</v>
      </c>
      <c r="I441" s="155">
        <f t="shared" si="27"/>
        <v>439</v>
      </c>
      <c r="J441" s="127" t="str">
        <f t="shared" si="1"/>
        <v>PE25-439</v>
      </c>
      <c r="K441" s="173"/>
      <c r="L441" s="174"/>
      <c r="M441" s="174"/>
      <c r="N441" s="157"/>
      <c r="O441" s="157"/>
      <c r="P441" s="154"/>
      <c r="Q441" s="188"/>
      <c r="R441" s="189"/>
      <c r="S441" s="186"/>
      <c r="T441" s="187"/>
      <c r="U441" s="186"/>
      <c r="V441" s="157"/>
      <c r="W441" s="157"/>
      <c r="X441" s="134"/>
      <c r="Y441" s="135"/>
      <c r="Z441" s="136"/>
      <c r="AA441" s="157"/>
      <c r="AB441" s="157"/>
    </row>
    <row r="442" ht="12.0" customHeight="1">
      <c r="A442" s="111"/>
      <c r="F442" s="123">
        <f t="shared" si="8"/>
        <v>441</v>
      </c>
      <c r="G442" s="179"/>
      <c r="H442" s="125" t="s">
        <v>2378</v>
      </c>
      <c r="I442" s="155">
        <f t="shared" si="27"/>
        <v>440</v>
      </c>
      <c r="J442" s="127" t="str">
        <f t="shared" si="1"/>
        <v>PE25-440</v>
      </c>
      <c r="K442" s="173"/>
      <c r="L442" s="174"/>
      <c r="M442" s="174"/>
      <c r="N442" s="157"/>
      <c r="O442" s="157"/>
      <c r="P442" s="154"/>
      <c r="Q442" s="188"/>
      <c r="R442" s="189"/>
      <c r="S442" s="186"/>
      <c r="T442" s="187"/>
      <c r="U442" s="186"/>
      <c r="V442" s="157"/>
      <c r="W442" s="157"/>
      <c r="X442" s="134"/>
      <c r="Y442" s="135"/>
      <c r="Z442" s="136"/>
      <c r="AA442" s="157"/>
      <c r="AB442" s="157"/>
    </row>
    <row r="443" ht="12.0" customHeight="1">
      <c r="A443" s="111"/>
      <c r="F443" s="123">
        <f t="shared" si="8"/>
        <v>442</v>
      </c>
      <c r="G443" s="179"/>
      <c r="H443" s="125" t="s">
        <v>2378</v>
      </c>
      <c r="I443" s="155">
        <f t="shared" si="27"/>
        <v>441</v>
      </c>
      <c r="J443" s="127" t="str">
        <f t="shared" si="1"/>
        <v>PE25-441</v>
      </c>
      <c r="K443" s="173"/>
      <c r="L443" s="174"/>
      <c r="M443" s="174"/>
      <c r="N443" s="157"/>
      <c r="O443" s="157"/>
      <c r="P443" s="154"/>
      <c r="Q443" s="188"/>
      <c r="R443" s="189"/>
      <c r="S443" s="186"/>
      <c r="T443" s="187"/>
      <c r="U443" s="186"/>
      <c r="V443" s="157"/>
      <c r="W443" s="124"/>
      <c r="X443" s="134"/>
      <c r="Y443" s="135"/>
      <c r="Z443" s="136"/>
      <c r="AA443" s="157"/>
      <c r="AB443" s="157"/>
    </row>
    <row r="444" ht="12.0" customHeight="1">
      <c r="A444" s="111"/>
      <c r="F444" s="123">
        <f t="shared" si="8"/>
        <v>443</v>
      </c>
      <c r="G444" s="179"/>
      <c r="H444" s="125" t="s">
        <v>2378</v>
      </c>
      <c r="I444" s="155">
        <f t="shared" si="27"/>
        <v>442</v>
      </c>
      <c r="J444" s="127" t="str">
        <f t="shared" si="1"/>
        <v>PE25-442</v>
      </c>
      <c r="K444" s="173"/>
      <c r="L444" s="174"/>
      <c r="M444" s="174"/>
      <c r="N444" s="157"/>
      <c r="O444" s="157"/>
      <c r="P444" s="154"/>
      <c r="Q444" s="188"/>
      <c r="R444" s="189"/>
      <c r="S444" s="186"/>
      <c r="T444" s="187"/>
      <c r="U444" s="186"/>
      <c r="V444" s="157"/>
      <c r="W444" s="124"/>
      <c r="X444" s="134"/>
      <c r="Y444" s="135"/>
      <c r="Z444" s="136"/>
      <c r="AA444" s="157"/>
      <c r="AB444" s="157"/>
    </row>
    <row r="445" ht="12.0" customHeight="1">
      <c r="A445" s="111"/>
      <c r="F445" s="123">
        <f t="shared" si="8"/>
        <v>444</v>
      </c>
      <c r="G445" s="179"/>
      <c r="H445" s="125" t="s">
        <v>2378</v>
      </c>
      <c r="I445" s="155">
        <f t="shared" si="27"/>
        <v>443</v>
      </c>
      <c r="J445" s="127" t="str">
        <f t="shared" si="1"/>
        <v>PE25-443</v>
      </c>
      <c r="K445" s="173"/>
      <c r="L445" s="174"/>
      <c r="M445" s="174"/>
      <c r="N445" s="157"/>
      <c r="O445" s="157"/>
      <c r="P445" s="154"/>
      <c r="Q445" s="188"/>
      <c r="R445" s="189"/>
      <c r="S445" s="186"/>
      <c r="T445" s="187"/>
      <c r="U445" s="186"/>
      <c r="V445" s="157"/>
      <c r="W445" s="157"/>
      <c r="X445" s="134"/>
      <c r="Y445" s="135"/>
      <c r="Z445" s="136"/>
      <c r="AA445" s="157"/>
      <c r="AB445" s="157"/>
    </row>
    <row r="446" ht="12.0" customHeight="1">
      <c r="A446" s="111"/>
      <c r="F446" s="123">
        <f t="shared" si="8"/>
        <v>445</v>
      </c>
      <c r="G446" s="179"/>
      <c r="H446" s="125" t="s">
        <v>2378</v>
      </c>
      <c r="I446" s="155">
        <f t="shared" si="27"/>
        <v>444</v>
      </c>
      <c r="J446" s="127" t="str">
        <f t="shared" si="1"/>
        <v>PE25-444</v>
      </c>
      <c r="K446" s="173"/>
      <c r="L446" s="174"/>
      <c r="M446" s="174"/>
      <c r="N446" s="157"/>
      <c r="O446" s="157"/>
      <c r="P446" s="154"/>
      <c r="Q446" s="188"/>
      <c r="R446" s="189"/>
      <c r="S446" s="186"/>
      <c r="T446" s="187"/>
      <c r="U446" s="186"/>
      <c r="V446" s="157"/>
      <c r="W446" s="157"/>
      <c r="X446" s="134"/>
      <c r="Y446" s="135"/>
      <c r="Z446" s="136"/>
      <c r="AA446" s="157"/>
      <c r="AB446" s="157"/>
    </row>
    <row r="447" ht="12.0" customHeight="1">
      <c r="A447" s="111"/>
      <c r="F447" s="123">
        <f t="shared" si="8"/>
        <v>446</v>
      </c>
      <c r="G447" s="179"/>
      <c r="H447" s="125" t="s">
        <v>2378</v>
      </c>
      <c r="I447" s="155">
        <f t="shared" si="27"/>
        <v>445</v>
      </c>
      <c r="J447" s="127" t="str">
        <f t="shared" si="1"/>
        <v>PE25-445</v>
      </c>
      <c r="K447" s="173"/>
      <c r="L447" s="174"/>
      <c r="M447" s="174"/>
      <c r="N447" s="157"/>
      <c r="O447" s="157"/>
      <c r="P447" s="154"/>
      <c r="Q447" s="188"/>
      <c r="R447" s="189"/>
      <c r="S447" s="186"/>
      <c r="T447" s="187"/>
      <c r="U447" s="186"/>
      <c r="V447" s="157"/>
      <c r="W447" s="157"/>
      <c r="X447" s="134"/>
      <c r="Y447" s="135"/>
      <c r="Z447" s="136"/>
      <c r="AA447" s="157"/>
      <c r="AB447" s="157"/>
    </row>
    <row r="448" ht="12.0" customHeight="1">
      <c r="A448" s="111"/>
      <c r="F448" s="123">
        <f t="shared" si="8"/>
        <v>447</v>
      </c>
      <c r="G448" s="179"/>
      <c r="H448" s="125" t="s">
        <v>2378</v>
      </c>
      <c r="I448" s="155">
        <f t="shared" si="27"/>
        <v>446</v>
      </c>
      <c r="J448" s="127" t="str">
        <f t="shared" si="1"/>
        <v>PE25-446</v>
      </c>
      <c r="K448" s="173"/>
      <c r="L448" s="174"/>
      <c r="M448" s="174"/>
      <c r="N448" s="157"/>
      <c r="O448" s="157"/>
      <c r="P448" s="154"/>
      <c r="Q448" s="188"/>
      <c r="R448" s="189"/>
      <c r="S448" s="186"/>
      <c r="T448" s="187"/>
      <c r="U448" s="186"/>
      <c r="V448" s="157"/>
      <c r="W448" s="157"/>
      <c r="X448" s="134"/>
      <c r="Y448" s="135"/>
      <c r="Z448" s="136"/>
      <c r="AA448" s="157"/>
      <c r="AB448" s="157"/>
    </row>
    <row r="449" ht="12.0" customHeight="1">
      <c r="A449" s="111"/>
      <c r="F449" s="123">
        <f t="shared" si="8"/>
        <v>448</v>
      </c>
      <c r="G449" s="179"/>
      <c r="H449" s="125" t="s">
        <v>2378</v>
      </c>
      <c r="I449" s="155">
        <f t="shared" si="27"/>
        <v>447</v>
      </c>
      <c r="J449" s="127" t="str">
        <f t="shared" si="1"/>
        <v>PE25-447</v>
      </c>
      <c r="K449" s="173"/>
      <c r="L449" s="174"/>
      <c r="M449" s="174"/>
      <c r="N449" s="157"/>
      <c r="O449" s="157"/>
      <c r="P449" s="154"/>
      <c r="Q449" s="188"/>
      <c r="R449" s="189"/>
      <c r="S449" s="186"/>
      <c r="T449" s="187"/>
      <c r="U449" s="186"/>
      <c r="V449" s="157"/>
      <c r="W449" s="157"/>
      <c r="X449" s="134"/>
      <c r="Y449" s="135"/>
      <c r="Z449" s="136"/>
      <c r="AA449" s="157"/>
      <c r="AB449" s="157"/>
    </row>
    <row r="450" ht="12.0" customHeight="1">
      <c r="A450" s="111"/>
      <c r="F450" s="123">
        <f t="shared" si="8"/>
        <v>449</v>
      </c>
      <c r="G450" s="179"/>
      <c r="H450" s="125" t="s">
        <v>2378</v>
      </c>
      <c r="I450" s="155">
        <f t="shared" si="27"/>
        <v>448</v>
      </c>
      <c r="J450" s="127" t="str">
        <f t="shared" si="1"/>
        <v>PE25-448</v>
      </c>
      <c r="K450" s="173"/>
      <c r="L450" s="174"/>
      <c r="M450" s="174"/>
      <c r="N450" s="157"/>
      <c r="O450" s="157"/>
      <c r="P450" s="154"/>
      <c r="Q450" s="188"/>
      <c r="R450" s="189"/>
      <c r="S450" s="186"/>
      <c r="T450" s="187"/>
      <c r="U450" s="186"/>
      <c r="V450" s="157"/>
      <c r="W450" s="157"/>
      <c r="X450" s="134"/>
      <c r="Y450" s="135"/>
      <c r="Z450" s="136"/>
      <c r="AA450" s="157"/>
      <c r="AB450" s="157"/>
    </row>
    <row r="451" ht="12.0" customHeight="1">
      <c r="A451" s="111"/>
      <c r="F451" s="123">
        <f t="shared" si="8"/>
        <v>450</v>
      </c>
      <c r="G451" s="179"/>
      <c r="H451" s="125" t="s">
        <v>2378</v>
      </c>
      <c r="I451" s="155">
        <f t="shared" si="27"/>
        <v>449</v>
      </c>
      <c r="J451" s="127" t="str">
        <f t="shared" si="1"/>
        <v>PE25-449</v>
      </c>
      <c r="K451" s="173"/>
      <c r="L451" s="174"/>
      <c r="M451" s="174"/>
      <c r="N451" s="157"/>
      <c r="O451" s="157"/>
      <c r="P451" s="154"/>
      <c r="Q451" s="188"/>
      <c r="R451" s="189"/>
      <c r="S451" s="186"/>
      <c r="T451" s="187"/>
      <c r="U451" s="186"/>
      <c r="V451" s="157"/>
      <c r="W451" s="157"/>
      <c r="X451" s="134"/>
      <c r="Y451" s="135"/>
      <c r="Z451" s="136"/>
      <c r="AA451" s="157"/>
      <c r="AB451" s="157"/>
    </row>
    <row r="452" ht="12.0" customHeight="1">
      <c r="A452" s="111"/>
      <c r="F452" s="123">
        <f t="shared" si="8"/>
        <v>451</v>
      </c>
      <c r="G452" s="179"/>
      <c r="H452" s="125" t="s">
        <v>2378</v>
      </c>
      <c r="I452" s="155">
        <f t="shared" si="27"/>
        <v>450</v>
      </c>
      <c r="J452" s="127" t="str">
        <f t="shared" si="1"/>
        <v>PE25-450</v>
      </c>
      <c r="K452" s="173"/>
      <c r="L452" s="174"/>
      <c r="M452" s="174"/>
      <c r="N452" s="157"/>
      <c r="O452" s="157"/>
      <c r="P452" s="154"/>
      <c r="Q452" s="188"/>
      <c r="R452" s="189"/>
      <c r="S452" s="186"/>
      <c r="T452" s="187"/>
      <c r="U452" s="186"/>
      <c r="V452" s="157"/>
      <c r="W452" s="157"/>
      <c r="X452" s="134"/>
      <c r="Y452" s="135"/>
      <c r="Z452" s="136"/>
      <c r="AA452" s="157"/>
      <c r="AB452" s="157"/>
    </row>
    <row r="453" ht="12.0" customHeight="1">
      <c r="A453" s="111"/>
      <c r="F453" s="123">
        <f t="shared" si="8"/>
        <v>452</v>
      </c>
      <c r="G453" s="179"/>
      <c r="H453" s="125" t="s">
        <v>2378</v>
      </c>
      <c r="I453" s="155">
        <f t="shared" si="27"/>
        <v>451</v>
      </c>
      <c r="J453" s="127" t="str">
        <f t="shared" si="1"/>
        <v>PE25-451</v>
      </c>
      <c r="K453" s="173"/>
      <c r="L453" s="174"/>
      <c r="M453" s="174"/>
      <c r="N453" s="157"/>
      <c r="O453" s="157"/>
      <c r="P453" s="154"/>
      <c r="Q453" s="188"/>
      <c r="R453" s="189"/>
      <c r="S453" s="186"/>
      <c r="T453" s="187"/>
      <c r="U453" s="186"/>
      <c r="V453" s="157"/>
      <c r="W453" s="157"/>
      <c r="X453" s="134"/>
      <c r="Y453" s="135"/>
      <c r="Z453" s="136"/>
      <c r="AA453" s="157"/>
      <c r="AB453" s="157"/>
    </row>
    <row r="454" ht="12.0" customHeight="1">
      <c r="A454" s="111"/>
      <c r="F454" s="123">
        <f t="shared" si="8"/>
        <v>453</v>
      </c>
      <c r="G454" s="179"/>
      <c r="H454" s="125" t="s">
        <v>2378</v>
      </c>
      <c r="I454" s="155">
        <f t="shared" si="27"/>
        <v>452</v>
      </c>
      <c r="J454" s="127" t="str">
        <f t="shared" si="1"/>
        <v>PE25-452</v>
      </c>
      <c r="K454" s="173"/>
      <c r="L454" s="174"/>
      <c r="M454" s="174"/>
      <c r="N454" s="157"/>
      <c r="O454" s="157"/>
      <c r="P454" s="154"/>
      <c r="Q454" s="188"/>
      <c r="R454" s="189"/>
      <c r="S454" s="186"/>
      <c r="T454" s="187"/>
      <c r="U454" s="186"/>
      <c r="V454" s="157"/>
      <c r="W454" s="157"/>
      <c r="X454" s="134"/>
      <c r="Y454" s="135"/>
      <c r="Z454" s="136"/>
      <c r="AA454" s="157"/>
      <c r="AB454" s="157"/>
    </row>
    <row r="455" ht="12.0" customHeight="1">
      <c r="A455" s="111"/>
      <c r="F455" s="123">
        <f t="shared" si="8"/>
        <v>454</v>
      </c>
      <c r="G455" s="179"/>
      <c r="H455" s="125" t="s">
        <v>2378</v>
      </c>
      <c r="I455" s="155">
        <f t="shared" si="27"/>
        <v>453</v>
      </c>
      <c r="J455" s="127" t="str">
        <f t="shared" si="1"/>
        <v>PE25-453</v>
      </c>
      <c r="K455" s="173"/>
      <c r="L455" s="174"/>
      <c r="M455" s="174"/>
      <c r="N455" s="157"/>
      <c r="O455" s="157"/>
      <c r="P455" s="154"/>
      <c r="Q455" s="188"/>
      <c r="R455" s="189"/>
      <c r="S455" s="186"/>
      <c r="T455" s="187"/>
      <c r="U455" s="186"/>
      <c r="V455" s="157"/>
      <c r="W455" s="157"/>
      <c r="X455" s="134"/>
      <c r="Y455" s="135"/>
      <c r="Z455" s="136"/>
      <c r="AA455" s="157"/>
      <c r="AB455" s="157"/>
    </row>
    <row r="456" ht="12.0" customHeight="1">
      <c r="A456" s="111"/>
      <c r="F456" s="123">
        <f t="shared" si="8"/>
        <v>455</v>
      </c>
      <c r="G456" s="179"/>
      <c r="H456" s="125" t="s">
        <v>2378</v>
      </c>
      <c r="I456" s="155">
        <f t="shared" si="27"/>
        <v>454</v>
      </c>
      <c r="J456" s="127" t="str">
        <f t="shared" si="1"/>
        <v>PE25-454</v>
      </c>
      <c r="K456" s="173"/>
      <c r="L456" s="174"/>
      <c r="M456" s="174"/>
      <c r="N456" s="157"/>
      <c r="O456" s="157"/>
      <c r="P456" s="154"/>
      <c r="Q456" s="188"/>
      <c r="R456" s="189"/>
      <c r="S456" s="186"/>
      <c r="T456" s="187"/>
      <c r="U456" s="186"/>
      <c r="V456" s="157"/>
      <c r="W456" s="157"/>
      <c r="X456" s="134"/>
      <c r="Y456" s="135"/>
      <c r="Z456" s="136"/>
      <c r="AA456" s="157"/>
      <c r="AB456" s="157"/>
    </row>
    <row r="457" ht="12.0" customHeight="1">
      <c r="A457" s="111"/>
      <c r="F457" s="123">
        <f t="shared" si="8"/>
        <v>456</v>
      </c>
      <c r="G457" s="179"/>
      <c r="H457" s="125" t="s">
        <v>2378</v>
      </c>
      <c r="I457" s="155">
        <f t="shared" si="27"/>
        <v>455</v>
      </c>
      <c r="J457" s="127" t="str">
        <f t="shared" si="1"/>
        <v>PE25-455</v>
      </c>
      <c r="K457" s="173"/>
      <c r="L457" s="174"/>
      <c r="M457" s="174"/>
      <c r="N457" s="157"/>
      <c r="O457" s="157"/>
      <c r="P457" s="154"/>
      <c r="Q457" s="188"/>
      <c r="R457" s="189"/>
      <c r="S457" s="186"/>
      <c r="T457" s="187"/>
      <c r="U457" s="186"/>
      <c r="V457" s="157"/>
      <c r="W457" s="157"/>
      <c r="X457" s="134"/>
      <c r="Y457" s="135"/>
      <c r="Z457" s="136"/>
      <c r="AA457" s="157"/>
      <c r="AB457" s="157"/>
    </row>
    <row r="458" ht="12.0" customHeight="1">
      <c r="A458" s="111"/>
      <c r="F458" s="123">
        <f t="shared" si="8"/>
        <v>457</v>
      </c>
      <c r="G458" s="179"/>
      <c r="H458" s="125" t="s">
        <v>2378</v>
      </c>
      <c r="I458" s="155">
        <f t="shared" si="27"/>
        <v>456</v>
      </c>
      <c r="J458" s="127" t="str">
        <f t="shared" si="1"/>
        <v>PE25-456</v>
      </c>
      <c r="K458" s="173"/>
      <c r="L458" s="174"/>
      <c r="M458" s="174"/>
      <c r="N458" s="157"/>
      <c r="O458" s="157"/>
      <c r="P458" s="154"/>
      <c r="Q458" s="188"/>
      <c r="R458" s="189"/>
      <c r="S458" s="186"/>
      <c r="T458" s="187"/>
      <c r="U458" s="186"/>
      <c r="V458" s="157"/>
      <c r="W458" s="157"/>
      <c r="X458" s="134"/>
      <c r="Y458" s="135"/>
      <c r="Z458" s="136"/>
      <c r="AA458" s="157"/>
      <c r="AB458" s="157"/>
    </row>
    <row r="459" ht="12.0" customHeight="1">
      <c r="A459" s="111"/>
      <c r="F459" s="123">
        <f t="shared" si="8"/>
        <v>458</v>
      </c>
      <c r="G459" s="179"/>
      <c r="H459" s="125" t="s">
        <v>2378</v>
      </c>
      <c r="I459" s="155">
        <f t="shared" si="27"/>
        <v>457</v>
      </c>
      <c r="J459" s="127" t="str">
        <f t="shared" si="1"/>
        <v>PE25-457</v>
      </c>
      <c r="K459" s="173"/>
      <c r="L459" s="174"/>
      <c r="M459" s="174"/>
      <c r="N459" s="157"/>
      <c r="O459" s="157"/>
      <c r="P459" s="154"/>
      <c r="Q459" s="188"/>
      <c r="R459" s="189"/>
      <c r="S459" s="186"/>
      <c r="T459" s="187"/>
      <c r="U459" s="186"/>
      <c r="V459" s="157"/>
      <c r="W459" s="157"/>
      <c r="X459" s="134"/>
      <c r="Y459" s="135"/>
      <c r="Z459" s="136"/>
      <c r="AA459" s="157"/>
      <c r="AB459" s="157"/>
    </row>
    <row r="460" ht="12.0" customHeight="1">
      <c r="A460" s="111"/>
      <c r="F460" s="123">
        <f t="shared" si="8"/>
        <v>459</v>
      </c>
      <c r="G460" s="179"/>
      <c r="H460" s="125" t="s">
        <v>2378</v>
      </c>
      <c r="I460" s="155">
        <f t="shared" si="27"/>
        <v>458</v>
      </c>
      <c r="J460" s="127" t="str">
        <f t="shared" si="1"/>
        <v>PE25-458</v>
      </c>
      <c r="K460" s="173"/>
      <c r="L460" s="174"/>
      <c r="M460" s="174"/>
      <c r="N460" s="157"/>
      <c r="O460" s="157"/>
      <c r="P460" s="154"/>
      <c r="Q460" s="188"/>
      <c r="R460" s="189"/>
      <c r="S460" s="186"/>
      <c r="T460" s="187"/>
      <c r="U460" s="186"/>
      <c r="V460" s="157"/>
      <c r="W460" s="157"/>
      <c r="X460" s="134"/>
      <c r="Y460" s="135"/>
      <c r="Z460" s="136"/>
      <c r="AA460" s="157"/>
      <c r="AB460" s="157"/>
    </row>
    <row r="461" ht="12.0" customHeight="1">
      <c r="A461" s="111"/>
      <c r="F461" s="123">
        <f t="shared" si="8"/>
        <v>460</v>
      </c>
      <c r="G461" s="179"/>
      <c r="H461" s="125" t="s">
        <v>2378</v>
      </c>
      <c r="I461" s="155">
        <f t="shared" si="27"/>
        <v>459</v>
      </c>
      <c r="J461" s="127" t="str">
        <f t="shared" si="1"/>
        <v>PE25-459</v>
      </c>
      <c r="K461" s="173"/>
      <c r="L461" s="174"/>
      <c r="M461" s="174"/>
      <c r="N461" s="157"/>
      <c r="O461" s="157"/>
      <c r="P461" s="154"/>
      <c r="Q461" s="188"/>
      <c r="R461" s="189"/>
      <c r="S461" s="186"/>
      <c r="T461" s="187"/>
      <c r="U461" s="186"/>
      <c r="V461" s="157"/>
      <c r="W461" s="157"/>
      <c r="X461" s="134"/>
      <c r="Y461" s="135"/>
      <c r="Z461" s="136"/>
      <c r="AA461" s="157"/>
      <c r="AB461" s="157"/>
    </row>
    <row r="462" ht="12.0" customHeight="1">
      <c r="A462" s="111"/>
      <c r="F462" s="123">
        <f t="shared" si="8"/>
        <v>461</v>
      </c>
      <c r="G462" s="179"/>
      <c r="H462" s="125" t="s">
        <v>2378</v>
      </c>
      <c r="I462" s="155">
        <f t="shared" si="27"/>
        <v>460</v>
      </c>
      <c r="J462" s="127" t="str">
        <f t="shared" si="1"/>
        <v>PE25-460</v>
      </c>
      <c r="K462" s="173"/>
      <c r="L462" s="174"/>
      <c r="M462" s="174"/>
      <c r="N462" s="157"/>
      <c r="O462" s="157"/>
      <c r="P462" s="154"/>
      <c r="Q462" s="188"/>
      <c r="R462" s="189"/>
      <c r="S462" s="186"/>
      <c r="T462" s="187"/>
      <c r="U462" s="186"/>
      <c r="V462" s="157"/>
      <c r="W462" s="157"/>
      <c r="X462" s="134"/>
      <c r="Y462" s="135"/>
      <c r="Z462" s="136"/>
      <c r="AA462" s="157"/>
      <c r="AB462" s="157"/>
    </row>
    <row r="463" ht="12.0" customHeight="1">
      <c r="A463" s="111"/>
      <c r="F463" s="123">
        <f t="shared" si="8"/>
        <v>462</v>
      </c>
      <c r="G463" s="179"/>
      <c r="H463" s="125" t="s">
        <v>2378</v>
      </c>
      <c r="I463" s="155">
        <f t="shared" si="27"/>
        <v>461</v>
      </c>
      <c r="J463" s="127" t="str">
        <f t="shared" si="1"/>
        <v>PE25-461</v>
      </c>
      <c r="K463" s="173"/>
      <c r="L463" s="174"/>
      <c r="M463" s="174"/>
      <c r="N463" s="157"/>
      <c r="O463" s="157"/>
      <c r="P463" s="154"/>
      <c r="Q463" s="188"/>
      <c r="R463" s="189"/>
      <c r="S463" s="186"/>
      <c r="T463" s="187"/>
      <c r="U463" s="186"/>
      <c r="V463" s="157"/>
      <c r="W463" s="157"/>
      <c r="X463" s="134"/>
      <c r="Y463" s="135"/>
      <c r="Z463" s="136"/>
      <c r="AA463" s="157"/>
      <c r="AB463" s="157"/>
    </row>
    <row r="464" ht="12.0" customHeight="1">
      <c r="A464" s="111"/>
      <c r="F464" s="123">
        <f t="shared" si="8"/>
        <v>463</v>
      </c>
      <c r="G464" s="179"/>
      <c r="H464" s="125" t="s">
        <v>2378</v>
      </c>
      <c r="I464" s="155">
        <f t="shared" si="27"/>
        <v>462</v>
      </c>
      <c r="J464" s="127" t="str">
        <f t="shared" si="1"/>
        <v>PE25-462</v>
      </c>
      <c r="K464" s="173"/>
      <c r="L464" s="174"/>
      <c r="M464" s="174"/>
      <c r="N464" s="157"/>
      <c r="O464" s="157"/>
      <c r="P464" s="154"/>
      <c r="Q464" s="188"/>
      <c r="R464" s="189"/>
      <c r="S464" s="186"/>
      <c r="T464" s="187"/>
      <c r="U464" s="186"/>
      <c r="V464" s="157"/>
      <c r="W464" s="157"/>
      <c r="X464" s="134"/>
      <c r="Y464" s="135"/>
      <c r="Z464" s="136"/>
      <c r="AA464" s="157"/>
      <c r="AB464" s="157"/>
    </row>
    <row r="465" ht="12.0" customHeight="1">
      <c r="A465" s="111"/>
      <c r="F465" s="123">
        <f t="shared" si="8"/>
        <v>464</v>
      </c>
      <c r="G465" s="179"/>
      <c r="H465" s="125" t="s">
        <v>2378</v>
      </c>
      <c r="I465" s="155">
        <f t="shared" si="27"/>
        <v>463</v>
      </c>
      <c r="J465" s="127" t="str">
        <f t="shared" si="1"/>
        <v>PE25-463</v>
      </c>
      <c r="K465" s="173"/>
      <c r="L465" s="174"/>
      <c r="M465" s="174"/>
      <c r="N465" s="157"/>
      <c r="O465" s="157"/>
      <c r="P465" s="154"/>
      <c r="Q465" s="188"/>
      <c r="R465" s="189"/>
      <c r="S465" s="186"/>
      <c r="T465" s="187"/>
      <c r="U465" s="186"/>
      <c r="V465" s="157"/>
      <c r="W465" s="157"/>
      <c r="X465" s="134"/>
      <c r="Y465" s="135"/>
      <c r="Z465" s="136"/>
      <c r="AA465" s="157"/>
      <c r="AB465" s="157"/>
    </row>
    <row r="466" ht="12.0" customHeight="1">
      <c r="A466" s="111"/>
      <c r="F466" s="123">
        <f t="shared" si="8"/>
        <v>465</v>
      </c>
      <c r="G466" s="179"/>
      <c r="H466" s="125" t="s">
        <v>2378</v>
      </c>
      <c r="I466" s="155">
        <f t="shared" si="27"/>
        <v>464</v>
      </c>
      <c r="J466" s="127" t="str">
        <f t="shared" si="1"/>
        <v>PE25-464</v>
      </c>
      <c r="K466" s="173"/>
      <c r="L466" s="174"/>
      <c r="M466" s="174"/>
      <c r="N466" s="157"/>
      <c r="O466" s="157"/>
      <c r="P466" s="154"/>
      <c r="Q466" s="188"/>
      <c r="R466" s="189"/>
      <c r="S466" s="186"/>
      <c r="T466" s="187"/>
      <c r="U466" s="186"/>
      <c r="V466" s="157"/>
      <c r="W466" s="157"/>
      <c r="X466" s="134"/>
      <c r="Y466" s="135"/>
      <c r="Z466" s="136"/>
      <c r="AA466" s="157"/>
      <c r="AB466" s="157"/>
    </row>
    <row r="467" ht="12.0" customHeight="1">
      <c r="A467" s="111"/>
      <c r="F467" s="123">
        <f t="shared" si="8"/>
        <v>466</v>
      </c>
      <c r="G467" s="179"/>
      <c r="H467" s="125" t="s">
        <v>2378</v>
      </c>
      <c r="I467" s="155">
        <f t="shared" si="27"/>
        <v>465</v>
      </c>
      <c r="J467" s="127" t="str">
        <f t="shared" si="1"/>
        <v>PE25-465</v>
      </c>
      <c r="K467" s="173"/>
      <c r="L467" s="174"/>
      <c r="M467" s="174"/>
      <c r="N467" s="157"/>
      <c r="O467" s="157"/>
      <c r="P467" s="154"/>
      <c r="Q467" s="188"/>
      <c r="R467" s="189"/>
      <c r="S467" s="186"/>
      <c r="T467" s="187"/>
      <c r="U467" s="186"/>
      <c r="V467" s="157"/>
      <c r="W467" s="157"/>
      <c r="X467" s="134"/>
      <c r="Y467" s="135"/>
      <c r="Z467" s="136"/>
      <c r="AA467" s="157"/>
      <c r="AB467" s="157"/>
    </row>
    <row r="468" ht="12.0" customHeight="1">
      <c r="A468" s="111"/>
      <c r="F468" s="123">
        <f t="shared" si="8"/>
        <v>467</v>
      </c>
      <c r="G468" s="179"/>
      <c r="H468" s="125" t="s">
        <v>2378</v>
      </c>
      <c r="I468" s="155">
        <f t="shared" si="27"/>
        <v>466</v>
      </c>
      <c r="J468" s="127" t="str">
        <f t="shared" si="1"/>
        <v>PE25-466</v>
      </c>
      <c r="K468" s="173"/>
      <c r="L468" s="174"/>
      <c r="M468" s="174"/>
      <c r="N468" s="157"/>
      <c r="O468" s="157"/>
      <c r="P468" s="154"/>
      <c r="Q468" s="188"/>
      <c r="R468" s="189"/>
      <c r="S468" s="186"/>
      <c r="T468" s="187"/>
      <c r="U468" s="186"/>
      <c r="V468" s="157"/>
      <c r="W468" s="157"/>
      <c r="X468" s="134"/>
      <c r="Y468" s="135"/>
      <c r="Z468" s="136"/>
      <c r="AA468" s="157"/>
      <c r="AB468" s="157"/>
    </row>
    <row r="469" ht="12.0" customHeight="1">
      <c r="A469" s="111"/>
      <c r="F469" s="123">
        <f t="shared" si="8"/>
        <v>468</v>
      </c>
      <c r="G469" s="179"/>
      <c r="H469" s="125" t="s">
        <v>2378</v>
      </c>
      <c r="I469" s="155">
        <f t="shared" si="27"/>
        <v>467</v>
      </c>
      <c r="J469" s="127" t="str">
        <f t="shared" si="1"/>
        <v>PE25-467</v>
      </c>
      <c r="K469" s="173"/>
      <c r="L469" s="174"/>
      <c r="M469" s="174"/>
      <c r="N469" s="157"/>
      <c r="O469" s="157"/>
      <c r="P469" s="154"/>
      <c r="Q469" s="188"/>
      <c r="R469" s="189"/>
      <c r="S469" s="186"/>
      <c r="T469" s="187"/>
      <c r="U469" s="186"/>
      <c r="V469" s="157"/>
      <c r="W469" s="157"/>
      <c r="X469" s="134"/>
      <c r="Y469" s="135"/>
      <c r="Z469" s="136"/>
      <c r="AA469" s="157"/>
      <c r="AB469" s="157"/>
    </row>
    <row r="470" ht="12.0" customHeight="1">
      <c r="A470" s="111"/>
      <c r="F470" s="123">
        <f t="shared" si="8"/>
        <v>469</v>
      </c>
      <c r="G470" s="179"/>
      <c r="H470" s="125" t="s">
        <v>2378</v>
      </c>
      <c r="I470" s="155">
        <f t="shared" si="27"/>
        <v>468</v>
      </c>
      <c r="J470" s="127" t="str">
        <f t="shared" si="1"/>
        <v>PE25-468</v>
      </c>
      <c r="K470" s="173"/>
      <c r="L470" s="174"/>
      <c r="M470" s="174"/>
      <c r="N470" s="157"/>
      <c r="O470" s="157"/>
      <c r="P470" s="154"/>
      <c r="Q470" s="188"/>
      <c r="R470" s="189"/>
      <c r="S470" s="186"/>
      <c r="T470" s="187"/>
      <c r="U470" s="186"/>
      <c r="V470" s="157"/>
      <c r="W470" s="157"/>
      <c r="X470" s="134"/>
      <c r="Y470" s="135"/>
      <c r="Z470" s="136"/>
      <c r="AA470" s="157"/>
      <c r="AB470" s="157"/>
    </row>
    <row r="471" ht="12.0" customHeight="1">
      <c r="A471" s="111"/>
      <c r="F471" s="123">
        <f t="shared" si="8"/>
        <v>470</v>
      </c>
      <c r="G471" s="179"/>
      <c r="H471" s="125" t="s">
        <v>2378</v>
      </c>
      <c r="I471" s="155">
        <f t="shared" si="27"/>
        <v>469</v>
      </c>
      <c r="J471" s="127" t="str">
        <f t="shared" si="1"/>
        <v>PE25-469</v>
      </c>
      <c r="K471" s="173"/>
      <c r="L471" s="174"/>
      <c r="M471" s="174"/>
      <c r="N471" s="157"/>
      <c r="O471" s="157"/>
      <c r="P471" s="154"/>
      <c r="Q471" s="188"/>
      <c r="R471" s="189"/>
      <c r="S471" s="186"/>
      <c r="T471" s="187"/>
      <c r="U471" s="186"/>
      <c r="V471" s="157"/>
      <c r="W471" s="157"/>
      <c r="X471" s="134"/>
      <c r="Y471" s="135"/>
      <c r="Z471" s="136"/>
      <c r="AA471" s="157"/>
      <c r="AB471" s="157"/>
    </row>
    <row r="472" ht="12.0" customHeight="1">
      <c r="A472" s="111"/>
      <c r="F472" s="123">
        <f t="shared" si="8"/>
        <v>471</v>
      </c>
      <c r="G472" s="179"/>
      <c r="H472" s="125" t="s">
        <v>2378</v>
      </c>
      <c r="I472" s="155">
        <f t="shared" si="27"/>
        <v>470</v>
      </c>
      <c r="J472" s="127" t="str">
        <f t="shared" si="1"/>
        <v>PE25-470</v>
      </c>
      <c r="K472" s="173"/>
      <c r="L472" s="174"/>
      <c r="M472" s="174"/>
      <c r="N472" s="157"/>
      <c r="O472" s="157"/>
      <c r="P472" s="154"/>
      <c r="Q472" s="188"/>
      <c r="R472" s="189"/>
      <c r="S472" s="186"/>
      <c r="T472" s="187"/>
      <c r="U472" s="186"/>
      <c r="V472" s="157"/>
      <c r="W472" s="157"/>
      <c r="X472" s="134"/>
      <c r="Y472" s="135"/>
      <c r="Z472" s="136"/>
      <c r="AA472" s="157"/>
      <c r="AB472" s="157"/>
    </row>
    <row r="473" ht="12.0" customHeight="1">
      <c r="A473" s="111"/>
      <c r="F473" s="123">
        <f t="shared" si="8"/>
        <v>472</v>
      </c>
      <c r="G473" s="179"/>
      <c r="H473" s="125" t="s">
        <v>2378</v>
      </c>
      <c r="I473" s="155">
        <f t="shared" si="27"/>
        <v>471</v>
      </c>
      <c r="J473" s="127" t="str">
        <f t="shared" si="1"/>
        <v>PE25-471</v>
      </c>
      <c r="K473" s="173"/>
      <c r="L473" s="174"/>
      <c r="M473" s="174"/>
      <c r="N473" s="157"/>
      <c r="O473" s="157"/>
      <c r="P473" s="154"/>
      <c r="Q473" s="188"/>
      <c r="R473" s="189"/>
      <c r="S473" s="186"/>
      <c r="T473" s="187"/>
      <c r="U473" s="186"/>
      <c r="V473" s="157"/>
      <c r="W473" s="157"/>
      <c r="X473" s="134"/>
      <c r="Y473" s="135"/>
      <c r="Z473" s="136"/>
      <c r="AA473" s="157"/>
      <c r="AB473" s="157"/>
    </row>
    <row r="474" ht="12.0" customHeight="1">
      <c r="A474" s="111"/>
      <c r="F474" s="123">
        <f t="shared" si="8"/>
        <v>473</v>
      </c>
      <c r="G474" s="179"/>
      <c r="H474" s="125" t="s">
        <v>2378</v>
      </c>
      <c r="I474" s="155">
        <f t="shared" si="27"/>
        <v>472</v>
      </c>
      <c r="J474" s="127" t="str">
        <f t="shared" si="1"/>
        <v>PE25-472</v>
      </c>
      <c r="K474" s="173"/>
      <c r="L474" s="174"/>
      <c r="M474" s="174"/>
      <c r="N474" s="157"/>
      <c r="O474" s="157"/>
      <c r="P474" s="154"/>
      <c r="Q474" s="188"/>
      <c r="R474" s="189"/>
      <c r="S474" s="186"/>
      <c r="T474" s="187"/>
      <c r="U474" s="186"/>
      <c r="V474" s="157"/>
      <c r="W474" s="157"/>
      <c r="X474" s="134"/>
      <c r="Y474" s="135"/>
      <c r="Z474" s="136"/>
      <c r="AA474" s="157"/>
      <c r="AB474" s="157"/>
    </row>
    <row r="475" ht="12.0" customHeight="1">
      <c r="A475" s="111"/>
      <c r="F475" s="123">
        <f t="shared" si="8"/>
        <v>474</v>
      </c>
      <c r="G475" s="179"/>
      <c r="H475" s="125" t="s">
        <v>2378</v>
      </c>
      <c r="I475" s="155">
        <f t="shared" si="27"/>
        <v>473</v>
      </c>
      <c r="J475" s="127" t="str">
        <f t="shared" si="1"/>
        <v>PE25-473</v>
      </c>
      <c r="K475" s="173"/>
      <c r="L475" s="174"/>
      <c r="M475" s="174"/>
      <c r="N475" s="157"/>
      <c r="O475" s="157"/>
      <c r="P475" s="154"/>
      <c r="Q475" s="188"/>
      <c r="R475" s="189"/>
      <c r="S475" s="186"/>
      <c r="T475" s="187"/>
      <c r="U475" s="186"/>
      <c r="V475" s="157"/>
      <c r="W475" s="157"/>
      <c r="X475" s="134"/>
      <c r="Y475" s="135"/>
      <c r="Z475" s="136"/>
      <c r="AA475" s="157"/>
      <c r="AB475" s="157"/>
    </row>
    <row r="476" ht="12.0" customHeight="1">
      <c r="A476" s="111"/>
      <c r="F476" s="123">
        <f t="shared" si="8"/>
        <v>475</v>
      </c>
      <c r="G476" s="179"/>
      <c r="H476" s="125" t="s">
        <v>2378</v>
      </c>
      <c r="I476" s="155">
        <f t="shared" si="27"/>
        <v>474</v>
      </c>
      <c r="J476" s="127" t="str">
        <f t="shared" si="1"/>
        <v>PE25-474</v>
      </c>
      <c r="K476" s="173"/>
      <c r="L476" s="174"/>
      <c r="M476" s="174"/>
      <c r="N476" s="157"/>
      <c r="O476" s="157"/>
      <c r="P476" s="154"/>
      <c r="Q476" s="188"/>
      <c r="R476" s="189"/>
      <c r="S476" s="186"/>
      <c r="T476" s="187"/>
      <c r="U476" s="186"/>
      <c r="V476" s="157"/>
      <c r="W476" s="157"/>
      <c r="X476" s="134"/>
      <c r="Y476" s="135"/>
      <c r="Z476" s="136"/>
      <c r="AA476" s="157"/>
      <c r="AB476" s="157"/>
    </row>
    <row r="477" ht="12.0" customHeight="1">
      <c r="A477" s="111"/>
      <c r="F477" s="123">
        <f t="shared" si="8"/>
        <v>476</v>
      </c>
      <c r="G477" s="179"/>
      <c r="H477" s="125" t="s">
        <v>2378</v>
      </c>
      <c r="I477" s="155">
        <f t="shared" si="27"/>
        <v>475</v>
      </c>
      <c r="J477" s="127" t="str">
        <f t="shared" si="1"/>
        <v>PE25-475</v>
      </c>
      <c r="K477" s="173"/>
      <c r="L477" s="174"/>
      <c r="M477" s="174"/>
      <c r="N477" s="157"/>
      <c r="O477" s="157"/>
      <c r="P477" s="154"/>
      <c r="Q477" s="188"/>
      <c r="R477" s="189"/>
      <c r="S477" s="186"/>
      <c r="T477" s="187"/>
      <c r="U477" s="186"/>
      <c r="V477" s="157"/>
      <c r="W477" s="157"/>
      <c r="X477" s="134"/>
      <c r="Y477" s="135"/>
      <c r="Z477" s="136"/>
      <c r="AA477" s="157"/>
      <c r="AB477" s="157"/>
    </row>
    <row r="478" ht="12.0" customHeight="1">
      <c r="A478" s="111"/>
      <c r="F478" s="123">
        <f t="shared" si="8"/>
        <v>477</v>
      </c>
      <c r="G478" s="179"/>
      <c r="H478" s="125" t="s">
        <v>2378</v>
      </c>
      <c r="I478" s="155">
        <f t="shared" si="27"/>
        <v>476</v>
      </c>
      <c r="J478" s="127" t="str">
        <f t="shared" si="1"/>
        <v>PE25-476</v>
      </c>
      <c r="K478" s="173"/>
      <c r="L478" s="174"/>
      <c r="M478" s="174"/>
      <c r="N478" s="157"/>
      <c r="O478" s="157"/>
      <c r="P478" s="154"/>
      <c r="Q478" s="188"/>
      <c r="R478" s="189"/>
      <c r="S478" s="186"/>
      <c r="T478" s="187"/>
      <c r="U478" s="186"/>
      <c r="V478" s="157"/>
      <c r="W478" s="157"/>
      <c r="X478" s="134"/>
      <c r="Y478" s="135"/>
      <c r="Z478" s="136"/>
      <c r="AA478" s="157"/>
      <c r="AB478" s="157"/>
    </row>
    <row r="479" ht="12.0" customHeight="1">
      <c r="A479" s="111"/>
      <c r="F479" s="123">
        <f t="shared" si="8"/>
        <v>478</v>
      </c>
      <c r="G479" s="179"/>
      <c r="H479" s="125" t="s">
        <v>2378</v>
      </c>
      <c r="I479" s="155">
        <f t="shared" si="27"/>
        <v>477</v>
      </c>
      <c r="J479" s="127" t="str">
        <f t="shared" si="1"/>
        <v>PE25-477</v>
      </c>
      <c r="K479" s="173"/>
      <c r="L479" s="174"/>
      <c r="M479" s="174"/>
      <c r="N479" s="157"/>
      <c r="O479" s="157"/>
      <c r="P479" s="154"/>
      <c r="Q479" s="188"/>
      <c r="R479" s="189"/>
      <c r="S479" s="186"/>
      <c r="T479" s="187"/>
      <c r="U479" s="186"/>
      <c r="V479" s="157"/>
      <c r="W479" s="157"/>
      <c r="X479" s="134"/>
      <c r="Y479" s="135"/>
      <c r="Z479" s="136"/>
      <c r="AA479" s="157"/>
      <c r="AB479" s="157"/>
    </row>
    <row r="480" ht="12.0" customHeight="1">
      <c r="A480" s="111"/>
      <c r="F480" s="123">
        <f t="shared" si="8"/>
        <v>479</v>
      </c>
      <c r="G480" s="179"/>
      <c r="H480" s="125" t="s">
        <v>2378</v>
      </c>
      <c r="I480" s="155">
        <f t="shared" si="27"/>
        <v>478</v>
      </c>
      <c r="J480" s="127" t="str">
        <f t="shared" si="1"/>
        <v>PE25-478</v>
      </c>
      <c r="K480" s="178"/>
      <c r="L480" s="174"/>
      <c r="M480" s="174"/>
      <c r="N480" s="157"/>
      <c r="O480" s="157"/>
      <c r="P480" s="154"/>
      <c r="Q480" s="188"/>
      <c r="R480" s="189"/>
      <c r="S480" s="186"/>
      <c r="T480" s="187"/>
      <c r="U480" s="186"/>
      <c r="V480" s="157"/>
      <c r="W480" s="157"/>
      <c r="X480" s="134"/>
      <c r="Y480" s="135"/>
      <c r="Z480" s="136"/>
      <c r="AA480" s="157"/>
      <c r="AB480" s="157"/>
    </row>
    <row r="481" ht="12.0" customHeight="1">
      <c r="A481" s="111"/>
      <c r="F481" s="123">
        <f t="shared" si="8"/>
        <v>480</v>
      </c>
      <c r="G481" s="179"/>
      <c r="H481" s="125" t="s">
        <v>2378</v>
      </c>
      <c r="I481" s="155">
        <f t="shared" si="27"/>
        <v>479</v>
      </c>
      <c r="J481" s="127" t="str">
        <f t="shared" si="1"/>
        <v>PE25-479</v>
      </c>
      <c r="K481" s="178"/>
      <c r="L481" s="174"/>
      <c r="M481" s="174"/>
      <c r="N481" s="157"/>
      <c r="O481" s="157"/>
      <c r="P481" s="154"/>
      <c r="Q481" s="188"/>
      <c r="R481" s="189"/>
      <c r="S481" s="186"/>
      <c r="T481" s="187"/>
      <c r="U481" s="186"/>
      <c r="V481" s="157"/>
      <c r="W481" s="157"/>
      <c r="X481" s="134"/>
      <c r="Y481" s="135"/>
      <c r="Z481" s="136"/>
      <c r="AA481" s="157"/>
      <c r="AB481" s="157"/>
    </row>
    <row r="482" ht="12.0" customHeight="1">
      <c r="A482" s="111"/>
      <c r="F482" s="123">
        <f t="shared" si="8"/>
        <v>481</v>
      </c>
      <c r="G482" s="179"/>
      <c r="H482" s="125" t="s">
        <v>2378</v>
      </c>
      <c r="I482" s="155">
        <f t="shared" si="27"/>
        <v>480</v>
      </c>
      <c r="J482" s="127" t="str">
        <f t="shared" si="1"/>
        <v>PE25-480</v>
      </c>
      <c r="K482" s="178"/>
      <c r="L482" s="174"/>
      <c r="M482" s="174"/>
      <c r="N482" s="157"/>
      <c r="O482" s="157"/>
      <c r="P482" s="154"/>
      <c r="Q482" s="188"/>
      <c r="R482" s="189"/>
      <c r="S482" s="186"/>
      <c r="T482" s="187"/>
      <c r="U482" s="186"/>
      <c r="V482" s="157"/>
      <c r="W482" s="157"/>
      <c r="X482" s="134"/>
      <c r="Y482" s="135"/>
      <c r="Z482" s="136"/>
      <c r="AA482" s="157"/>
      <c r="AB482" s="157"/>
    </row>
    <row r="483" ht="12.0" customHeight="1">
      <c r="A483" s="111"/>
      <c r="F483" s="123">
        <f t="shared" si="8"/>
        <v>482</v>
      </c>
      <c r="G483" s="179"/>
      <c r="H483" s="125" t="s">
        <v>2378</v>
      </c>
      <c r="I483" s="155">
        <f t="shared" si="27"/>
        <v>481</v>
      </c>
      <c r="J483" s="127" t="str">
        <f t="shared" si="1"/>
        <v>PE25-481</v>
      </c>
      <c r="K483" s="173"/>
      <c r="L483" s="174"/>
      <c r="M483" s="174"/>
      <c r="N483" s="157"/>
      <c r="O483" s="157"/>
      <c r="P483" s="154"/>
      <c r="Q483" s="188"/>
      <c r="R483" s="189"/>
      <c r="S483" s="186"/>
      <c r="T483" s="187"/>
      <c r="U483" s="186"/>
      <c r="V483" s="157"/>
      <c r="W483" s="157"/>
      <c r="X483" s="134"/>
      <c r="Y483" s="135"/>
      <c r="Z483" s="136"/>
      <c r="AA483" s="157"/>
      <c r="AB483" s="157"/>
    </row>
    <row r="484" ht="12.0" customHeight="1">
      <c r="A484" s="111"/>
      <c r="F484" s="123">
        <f t="shared" si="8"/>
        <v>483</v>
      </c>
      <c r="G484" s="179"/>
      <c r="H484" s="125" t="s">
        <v>2378</v>
      </c>
      <c r="I484" s="155">
        <f t="shared" si="27"/>
        <v>482</v>
      </c>
      <c r="J484" s="127" t="str">
        <f t="shared" si="1"/>
        <v>PE25-482</v>
      </c>
      <c r="K484" s="173"/>
      <c r="L484" s="174"/>
      <c r="M484" s="174"/>
      <c r="N484" s="157"/>
      <c r="O484" s="157"/>
      <c r="P484" s="154"/>
      <c r="Q484" s="188"/>
      <c r="R484" s="189"/>
      <c r="S484" s="186"/>
      <c r="T484" s="187"/>
      <c r="U484" s="186"/>
      <c r="V484" s="157"/>
      <c r="W484" s="157"/>
      <c r="X484" s="134"/>
      <c r="Y484" s="135"/>
      <c r="Z484" s="136"/>
      <c r="AA484" s="157"/>
      <c r="AB484" s="157"/>
    </row>
    <row r="485" ht="12.0" customHeight="1">
      <c r="A485" s="111"/>
      <c r="F485" s="123">
        <f t="shared" si="8"/>
        <v>484</v>
      </c>
      <c r="G485" s="179"/>
      <c r="H485" s="125" t="s">
        <v>2378</v>
      </c>
      <c r="I485" s="155">
        <f t="shared" si="27"/>
        <v>483</v>
      </c>
      <c r="J485" s="127" t="str">
        <f t="shared" si="1"/>
        <v>PE25-483</v>
      </c>
      <c r="K485" s="173"/>
      <c r="L485" s="174"/>
      <c r="M485" s="174"/>
      <c r="N485" s="157"/>
      <c r="O485" s="157"/>
      <c r="P485" s="154"/>
      <c r="Q485" s="188"/>
      <c r="R485" s="189"/>
      <c r="S485" s="186"/>
      <c r="T485" s="187"/>
      <c r="U485" s="186"/>
      <c r="V485" s="157"/>
      <c r="W485" s="157"/>
      <c r="X485" s="134"/>
      <c r="Y485" s="135"/>
      <c r="Z485" s="136"/>
      <c r="AA485" s="157"/>
      <c r="AB485" s="157"/>
    </row>
    <row r="486" ht="12.0" customHeight="1">
      <c r="A486" s="111"/>
      <c r="F486" s="123">
        <f t="shared" si="8"/>
        <v>485</v>
      </c>
      <c r="G486" s="179"/>
      <c r="H486" s="125" t="s">
        <v>2378</v>
      </c>
      <c r="I486" s="155">
        <f t="shared" si="27"/>
        <v>484</v>
      </c>
      <c r="J486" s="127" t="str">
        <f t="shared" si="1"/>
        <v>PE25-484</v>
      </c>
      <c r="K486" s="173"/>
      <c r="L486" s="174"/>
      <c r="M486" s="174"/>
      <c r="N486" s="157"/>
      <c r="O486" s="157"/>
      <c r="P486" s="154"/>
      <c r="Q486" s="188"/>
      <c r="R486" s="189"/>
      <c r="S486" s="186"/>
      <c r="T486" s="187"/>
      <c r="U486" s="186"/>
      <c r="V486" s="157"/>
      <c r="W486" s="157"/>
      <c r="X486" s="134"/>
      <c r="Y486" s="135"/>
      <c r="Z486" s="136"/>
      <c r="AA486" s="157"/>
      <c r="AB486" s="157"/>
    </row>
    <row r="487" ht="12.0" customHeight="1">
      <c r="A487" s="111"/>
      <c r="F487" s="123">
        <f t="shared" si="8"/>
        <v>486</v>
      </c>
      <c r="G487" s="179"/>
      <c r="H487" s="125" t="s">
        <v>2378</v>
      </c>
      <c r="I487" s="155">
        <f t="shared" si="27"/>
        <v>485</v>
      </c>
      <c r="J487" s="127" t="str">
        <f t="shared" si="1"/>
        <v>PE25-485</v>
      </c>
      <c r="K487" s="173"/>
      <c r="L487" s="174"/>
      <c r="M487" s="174"/>
      <c r="N487" s="157"/>
      <c r="O487" s="157"/>
      <c r="P487" s="154"/>
      <c r="Q487" s="188"/>
      <c r="R487" s="189"/>
      <c r="S487" s="186"/>
      <c r="T487" s="187"/>
      <c r="U487" s="186"/>
      <c r="V487" s="157"/>
      <c r="W487" s="157"/>
      <c r="X487" s="134"/>
      <c r="Y487" s="135"/>
      <c r="Z487" s="136"/>
      <c r="AA487" s="157"/>
      <c r="AB487" s="157"/>
    </row>
    <row r="488" ht="12.0" customHeight="1">
      <c r="A488" s="111"/>
      <c r="F488" s="123">
        <f t="shared" si="8"/>
        <v>487</v>
      </c>
      <c r="G488" s="179"/>
      <c r="H488" s="125" t="s">
        <v>2378</v>
      </c>
      <c r="I488" s="155">
        <f t="shared" si="27"/>
        <v>486</v>
      </c>
      <c r="J488" s="127" t="str">
        <f t="shared" si="1"/>
        <v>PE25-486</v>
      </c>
      <c r="K488" s="173"/>
      <c r="L488" s="174"/>
      <c r="M488" s="174"/>
      <c r="N488" s="157"/>
      <c r="O488" s="157"/>
      <c r="P488" s="154"/>
      <c r="Q488" s="188"/>
      <c r="R488" s="189"/>
      <c r="S488" s="186"/>
      <c r="T488" s="187"/>
      <c r="U488" s="186"/>
      <c r="V488" s="157"/>
      <c r="W488" s="157"/>
      <c r="X488" s="134"/>
      <c r="Y488" s="135"/>
      <c r="Z488" s="136"/>
      <c r="AA488" s="157"/>
      <c r="AB488" s="157"/>
    </row>
    <row r="489" ht="12.0" customHeight="1">
      <c r="A489" s="111"/>
      <c r="F489" s="123">
        <f t="shared" si="8"/>
        <v>488</v>
      </c>
      <c r="G489" s="179"/>
      <c r="H489" s="125" t="s">
        <v>2378</v>
      </c>
      <c r="I489" s="155">
        <f t="shared" si="27"/>
        <v>487</v>
      </c>
      <c r="J489" s="127" t="str">
        <f t="shared" si="1"/>
        <v>PE25-487</v>
      </c>
      <c r="K489" s="173"/>
      <c r="L489" s="174"/>
      <c r="M489" s="174"/>
      <c r="N489" s="157"/>
      <c r="O489" s="157"/>
      <c r="P489" s="154"/>
      <c r="Q489" s="188"/>
      <c r="R489" s="189"/>
      <c r="S489" s="186"/>
      <c r="T489" s="187"/>
      <c r="U489" s="186"/>
      <c r="V489" s="157"/>
      <c r="W489" s="157"/>
      <c r="X489" s="134"/>
      <c r="Y489" s="135"/>
      <c r="Z489" s="136"/>
      <c r="AA489" s="157"/>
      <c r="AB489" s="157"/>
    </row>
    <row r="490" ht="12.0" customHeight="1">
      <c r="A490" s="111"/>
      <c r="F490" s="123">
        <f t="shared" si="8"/>
        <v>489</v>
      </c>
      <c r="G490" s="179"/>
      <c r="H490" s="125" t="s">
        <v>2378</v>
      </c>
      <c r="I490" s="155">
        <f t="shared" si="27"/>
        <v>488</v>
      </c>
      <c r="J490" s="127" t="str">
        <f t="shared" si="1"/>
        <v>PE25-488</v>
      </c>
      <c r="K490" s="173"/>
      <c r="L490" s="174"/>
      <c r="M490" s="174"/>
      <c r="N490" s="157"/>
      <c r="O490" s="157"/>
      <c r="P490" s="154"/>
      <c r="Q490" s="188"/>
      <c r="R490" s="189"/>
      <c r="S490" s="186"/>
      <c r="T490" s="187"/>
      <c r="U490" s="186"/>
      <c r="V490" s="157"/>
      <c r="W490" s="157"/>
      <c r="X490" s="134"/>
      <c r="Y490" s="135"/>
      <c r="Z490" s="136"/>
      <c r="AA490" s="157"/>
      <c r="AB490" s="157"/>
    </row>
    <row r="491" ht="12.0" customHeight="1">
      <c r="A491" s="111"/>
      <c r="F491" s="123">
        <f t="shared" si="8"/>
        <v>490</v>
      </c>
      <c r="G491" s="179"/>
      <c r="H491" s="125" t="s">
        <v>2378</v>
      </c>
      <c r="I491" s="155">
        <f t="shared" si="27"/>
        <v>489</v>
      </c>
      <c r="J491" s="127" t="str">
        <f t="shared" si="1"/>
        <v>PE25-489</v>
      </c>
      <c r="K491" s="173"/>
      <c r="L491" s="174"/>
      <c r="M491" s="174"/>
      <c r="N491" s="157"/>
      <c r="O491" s="157"/>
      <c r="P491" s="154"/>
      <c r="Q491" s="188"/>
      <c r="R491" s="189"/>
      <c r="S491" s="186"/>
      <c r="T491" s="187"/>
      <c r="U491" s="186"/>
      <c r="V491" s="157"/>
      <c r="W491" s="157"/>
      <c r="X491" s="134"/>
      <c r="Y491" s="135"/>
      <c r="Z491" s="136"/>
      <c r="AA491" s="157"/>
      <c r="AB491" s="157"/>
    </row>
    <row r="492" ht="12.0" customHeight="1">
      <c r="A492" s="111"/>
      <c r="F492" s="123">
        <f t="shared" si="8"/>
        <v>491</v>
      </c>
      <c r="G492" s="179"/>
      <c r="H492" s="125" t="s">
        <v>2378</v>
      </c>
      <c r="I492" s="155">
        <f t="shared" si="27"/>
        <v>490</v>
      </c>
      <c r="J492" s="127" t="str">
        <f t="shared" si="1"/>
        <v>PE25-490</v>
      </c>
      <c r="K492" s="173"/>
      <c r="L492" s="174"/>
      <c r="M492" s="174"/>
      <c r="N492" s="157"/>
      <c r="O492" s="157"/>
      <c r="P492" s="154"/>
      <c r="Q492" s="188"/>
      <c r="R492" s="189"/>
      <c r="S492" s="186"/>
      <c r="T492" s="187"/>
      <c r="U492" s="186"/>
      <c r="V492" s="157"/>
      <c r="W492" s="157"/>
      <c r="X492" s="134"/>
      <c r="Y492" s="135"/>
      <c r="Z492" s="136"/>
      <c r="AA492" s="157"/>
      <c r="AB492" s="157"/>
    </row>
    <row r="493" ht="12.0" customHeight="1">
      <c r="A493" s="111"/>
      <c r="F493" s="123">
        <f t="shared" si="8"/>
        <v>492</v>
      </c>
      <c r="G493" s="179"/>
      <c r="H493" s="125" t="s">
        <v>2378</v>
      </c>
      <c r="I493" s="155">
        <f t="shared" si="27"/>
        <v>491</v>
      </c>
      <c r="J493" s="127" t="str">
        <f t="shared" si="1"/>
        <v>PE25-491</v>
      </c>
      <c r="K493" s="173"/>
      <c r="L493" s="174"/>
      <c r="M493" s="174"/>
      <c r="N493" s="157"/>
      <c r="O493" s="157"/>
      <c r="P493" s="154"/>
      <c r="Q493" s="188"/>
      <c r="R493" s="189"/>
      <c r="S493" s="186"/>
      <c r="T493" s="187"/>
      <c r="U493" s="186"/>
      <c r="V493" s="157"/>
      <c r="W493" s="157"/>
      <c r="X493" s="134"/>
      <c r="Y493" s="135"/>
      <c r="Z493" s="136"/>
      <c r="AA493" s="157"/>
      <c r="AB493" s="157"/>
    </row>
    <row r="494" ht="12.0" customHeight="1">
      <c r="A494" s="111"/>
      <c r="F494" s="123">
        <f t="shared" si="8"/>
        <v>493</v>
      </c>
      <c r="G494" s="179"/>
      <c r="H494" s="125" t="s">
        <v>2378</v>
      </c>
      <c r="I494" s="155">
        <f t="shared" si="27"/>
        <v>492</v>
      </c>
      <c r="J494" s="127" t="str">
        <f t="shared" si="1"/>
        <v>PE25-492</v>
      </c>
      <c r="K494" s="173"/>
      <c r="L494" s="174"/>
      <c r="M494" s="174"/>
      <c r="N494" s="157"/>
      <c r="O494" s="157"/>
      <c r="P494" s="154"/>
      <c r="Q494" s="188"/>
      <c r="R494" s="189"/>
      <c r="S494" s="186"/>
      <c r="T494" s="187"/>
      <c r="U494" s="186"/>
      <c r="V494" s="157"/>
      <c r="W494" s="157"/>
      <c r="X494" s="134"/>
      <c r="Y494" s="135"/>
      <c r="Z494" s="136"/>
      <c r="AA494" s="157"/>
      <c r="AB494" s="157"/>
    </row>
    <row r="495" ht="12.0" customHeight="1">
      <c r="A495" s="111"/>
      <c r="F495" s="123">
        <f t="shared" si="8"/>
        <v>494</v>
      </c>
      <c r="G495" s="179"/>
      <c r="H495" s="125" t="s">
        <v>2378</v>
      </c>
      <c r="I495" s="155">
        <f t="shared" si="27"/>
        <v>493</v>
      </c>
      <c r="J495" s="127" t="str">
        <f t="shared" si="1"/>
        <v>PE25-493</v>
      </c>
      <c r="K495" s="173"/>
      <c r="L495" s="174"/>
      <c r="M495" s="174"/>
      <c r="N495" s="157"/>
      <c r="O495" s="157"/>
      <c r="P495" s="154"/>
      <c r="Q495" s="188"/>
      <c r="R495" s="189"/>
      <c r="S495" s="186"/>
      <c r="T495" s="187"/>
      <c r="U495" s="186"/>
      <c r="V495" s="157"/>
      <c r="W495" s="157"/>
      <c r="X495" s="134"/>
      <c r="Y495" s="135"/>
      <c r="Z495" s="136"/>
      <c r="AA495" s="157"/>
      <c r="AB495" s="157"/>
    </row>
    <row r="496" ht="12.0" customHeight="1">
      <c r="A496" s="111"/>
      <c r="F496" s="123">
        <f t="shared" si="8"/>
        <v>495</v>
      </c>
      <c r="G496" s="179"/>
      <c r="H496" s="125" t="s">
        <v>2378</v>
      </c>
      <c r="I496" s="155">
        <f t="shared" si="27"/>
        <v>494</v>
      </c>
      <c r="J496" s="127" t="str">
        <f t="shared" si="1"/>
        <v>PE25-494</v>
      </c>
      <c r="K496" s="173"/>
      <c r="L496" s="174"/>
      <c r="M496" s="174"/>
      <c r="N496" s="157"/>
      <c r="O496" s="157"/>
      <c r="P496" s="154"/>
      <c r="Q496" s="188"/>
      <c r="R496" s="189"/>
      <c r="S496" s="186"/>
      <c r="T496" s="187"/>
      <c r="U496" s="186"/>
      <c r="V496" s="157"/>
      <c r="W496" s="157"/>
      <c r="X496" s="134"/>
      <c r="Y496" s="135"/>
      <c r="Z496" s="136"/>
      <c r="AA496" s="157"/>
      <c r="AB496" s="157"/>
    </row>
    <row r="497" ht="12.0" customHeight="1">
      <c r="A497" s="111"/>
      <c r="F497" s="123">
        <f t="shared" si="8"/>
        <v>496</v>
      </c>
      <c r="G497" s="179"/>
      <c r="H497" s="125" t="s">
        <v>2378</v>
      </c>
      <c r="I497" s="155">
        <f t="shared" si="27"/>
        <v>495</v>
      </c>
      <c r="J497" s="127" t="str">
        <f t="shared" si="1"/>
        <v>PE25-495</v>
      </c>
      <c r="K497" s="173"/>
      <c r="L497" s="174"/>
      <c r="M497" s="174"/>
      <c r="N497" s="157"/>
      <c r="O497" s="157"/>
      <c r="P497" s="154"/>
      <c r="Q497" s="188"/>
      <c r="R497" s="189"/>
      <c r="S497" s="186"/>
      <c r="T497" s="187"/>
      <c r="U497" s="186"/>
      <c r="V497" s="157"/>
      <c r="W497" s="157"/>
      <c r="X497" s="134"/>
      <c r="Y497" s="135"/>
      <c r="Z497" s="136"/>
      <c r="AA497" s="157"/>
      <c r="AB497" s="157"/>
    </row>
    <row r="498" ht="12.0" customHeight="1">
      <c r="A498" s="111"/>
      <c r="F498" s="123">
        <f t="shared" si="8"/>
        <v>497</v>
      </c>
      <c r="G498" s="179"/>
      <c r="H498" s="125" t="s">
        <v>2378</v>
      </c>
      <c r="I498" s="155">
        <f t="shared" si="27"/>
        <v>496</v>
      </c>
      <c r="J498" s="127" t="str">
        <f t="shared" si="1"/>
        <v>PE25-496</v>
      </c>
      <c r="K498" s="173"/>
      <c r="L498" s="174"/>
      <c r="M498" s="174"/>
      <c r="N498" s="157"/>
      <c r="O498" s="157"/>
      <c r="P498" s="154"/>
      <c r="Q498" s="188"/>
      <c r="R498" s="189"/>
      <c r="S498" s="186"/>
      <c r="T498" s="187"/>
      <c r="U498" s="186"/>
      <c r="V498" s="157"/>
      <c r="W498" s="157"/>
      <c r="X498" s="134"/>
      <c r="Y498" s="135"/>
      <c r="Z498" s="136"/>
      <c r="AA498" s="157"/>
      <c r="AB498" s="157"/>
    </row>
    <row r="499" ht="12.0" customHeight="1">
      <c r="A499" s="111"/>
      <c r="F499" s="123">
        <f t="shared" si="8"/>
        <v>498</v>
      </c>
      <c r="G499" s="179"/>
      <c r="H499" s="125" t="s">
        <v>2378</v>
      </c>
      <c r="I499" s="155">
        <f t="shared" si="27"/>
        <v>497</v>
      </c>
      <c r="J499" s="127" t="str">
        <f t="shared" si="1"/>
        <v>PE25-497</v>
      </c>
      <c r="K499" s="173"/>
      <c r="L499" s="174"/>
      <c r="M499" s="174"/>
      <c r="N499" s="157"/>
      <c r="O499" s="157"/>
      <c r="P499" s="154"/>
      <c r="Q499" s="188"/>
      <c r="R499" s="189"/>
      <c r="S499" s="186"/>
      <c r="T499" s="187"/>
      <c r="U499" s="186"/>
      <c r="V499" s="157"/>
      <c r="W499" s="157"/>
      <c r="X499" s="134"/>
      <c r="Y499" s="135"/>
      <c r="Z499" s="136"/>
      <c r="AA499" s="157"/>
      <c r="AB499" s="157"/>
    </row>
    <row r="500" ht="12.0" customHeight="1">
      <c r="A500" s="111"/>
      <c r="F500" s="123">
        <f t="shared" si="8"/>
        <v>499</v>
      </c>
      <c r="G500" s="179"/>
      <c r="H500" s="125" t="s">
        <v>2378</v>
      </c>
      <c r="I500" s="155">
        <f t="shared" si="27"/>
        <v>498</v>
      </c>
      <c r="J500" s="127" t="str">
        <f t="shared" si="1"/>
        <v>PE25-498</v>
      </c>
      <c r="K500" s="173"/>
      <c r="L500" s="174"/>
      <c r="M500" s="174"/>
      <c r="N500" s="157"/>
      <c r="O500" s="157"/>
      <c r="P500" s="154"/>
      <c r="Q500" s="188"/>
      <c r="R500" s="189"/>
      <c r="S500" s="186"/>
      <c r="T500" s="187"/>
      <c r="U500" s="186"/>
      <c r="V500" s="157"/>
      <c r="W500" s="157"/>
      <c r="X500" s="134"/>
      <c r="Y500" s="135"/>
      <c r="Z500" s="136"/>
      <c r="AA500" s="157"/>
      <c r="AB500" s="157"/>
    </row>
    <row r="501" ht="12.0" customHeight="1">
      <c r="A501" s="111"/>
      <c r="F501" s="123">
        <f t="shared" si="8"/>
        <v>500</v>
      </c>
      <c r="G501" s="179"/>
      <c r="H501" s="125" t="s">
        <v>2378</v>
      </c>
      <c r="I501" s="155">
        <f t="shared" si="27"/>
        <v>499</v>
      </c>
      <c r="J501" s="127" t="str">
        <f t="shared" si="1"/>
        <v>PE25-499</v>
      </c>
      <c r="K501" s="173"/>
      <c r="L501" s="174"/>
      <c r="M501" s="174"/>
      <c r="N501" s="157"/>
      <c r="O501" s="157"/>
      <c r="P501" s="154"/>
      <c r="Q501" s="188"/>
      <c r="R501" s="189"/>
      <c r="S501" s="186"/>
      <c r="T501" s="187"/>
      <c r="U501" s="186"/>
      <c r="V501" s="157"/>
      <c r="W501" s="157"/>
      <c r="X501" s="134"/>
      <c r="Y501" s="135"/>
      <c r="Z501" s="136"/>
      <c r="AA501" s="157"/>
      <c r="AB501" s="157"/>
    </row>
    <row r="502" ht="12.0" customHeight="1">
      <c r="A502" s="111"/>
      <c r="F502" s="123">
        <f t="shared" si="8"/>
        <v>501</v>
      </c>
      <c r="G502" s="179"/>
      <c r="H502" s="125" t="s">
        <v>2378</v>
      </c>
      <c r="I502" s="155">
        <f t="shared" si="27"/>
        <v>500</v>
      </c>
      <c r="J502" s="127" t="str">
        <f t="shared" si="1"/>
        <v>PE25-500</v>
      </c>
      <c r="K502" s="173"/>
      <c r="L502" s="174"/>
      <c r="M502" s="174"/>
      <c r="N502" s="157"/>
      <c r="O502" s="157"/>
      <c r="P502" s="154"/>
      <c r="Q502" s="188"/>
      <c r="R502" s="189"/>
      <c r="S502" s="186"/>
      <c r="T502" s="187"/>
      <c r="U502" s="186"/>
      <c r="V502" s="157"/>
      <c r="W502" s="157"/>
      <c r="X502" s="134"/>
      <c r="Y502" s="135"/>
      <c r="Z502" s="136"/>
      <c r="AA502" s="157"/>
      <c r="AB502" s="157"/>
    </row>
    <row r="503" ht="12.0" customHeight="1">
      <c r="A503" s="111"/>
      <c r="F503" s="123">
        <f t="shared" si="8"/>
        <v>502</v>
      </c>
      <c r="G503" s="179"/>
      <c r="H503" s="125" t="s">
        <v>2378</v>
      </c>
      <c r="I503" s="155">
        <f t="shared" si="27"/>
        <v>501</v>
      </c>
      <c r="J503" s="127" t="str">
        <f t="shared" si="1"/>
        <v>PE25-501</v>
      </c>
      <c r="K503" s="192"/>
      <c r="L503" s="193"/>
      <c r="M503" s="193"/>
      <c r="N503" s="194"/>
      <c r="O503" s="194"/>
      <c r="P503" s="147"/>
      <c r="Q503" s="195"/>
      <c r="R503" s="196"/>
      <c r="S503" s="195"/>
      <c r="T503" s="197"/>
      <c r="U503" s="195"/>
      <c r="V503" s="194"/>
      <c r="W503" s="194"/>
      <c r="X503" s="134"/>
      <c r="Y503" s="135"/>
      <c r="Z503" s="136"/>
      <c r="AA503" s="157"/>
      <c r="AB503" s="157"/>
    </row>
    <row r="504" ht="12.0" customHeight="1">
      <c r="A504" s="111"/>
      <c r="F504" s="123">
        <f t="shared" si="8"/>
        <v>503</v>
      </c>
      <c r="G504" s="179"/>
      <c r="H504" s="125" t="s">
        <v>2378</v>
      </c>
      <c r="I504" s="155">
        <f t="shared" si="27"/>
        <v>502</v>
      </c>
      <c r="J504" s="127" t="str">
        <f t="shared" si="1"/>
        <v>PE25-502</v>
      </c>
      <c r="K504" s="192"/>
      <c r="L504" s="193"/>
      <c r="M504" s="193"/>
      <c r="N504" s="194"/>
      <c r="O504" s="194"/>
      <c r="P504" s="147"/>
      <c r="Q504" s="195"/>
      <c r="R504" s="196"/>
      <c r="S504" s="195"/>
      <c r="T504" s="197"/>
      <c r="U504" s="195"/>
      <c r="V504" s="194"/>
      <c r="W504" s="194"/>
      <c r="X504" s="134"/>
      <c r="Y504" s="135"/>
      <c r="Z504" s="136"/>
      <c r="AA504" s="157"/>
      <c r="AB504" s="157"/>
    </row>
    <row r="505" ht="12.0" customHeight="1">
      <c r="A505" s="111"/>
      <c r="F505" s="123">
        <f t="shared" si="8"/>
        <v>504</v>
      </c>
      <c r="G505" s="179"/>
      <c r="H505" s="125" t="s">
        <v>2378</v>
      </c>
      <c r="I505" s="155">
        <f t="shared" si="27"/>
        <v>503</v>
      </c>
      <c r="J505" s="127" t="str">
        <f t="shared" si="1"/>
        <v>PE25-503</v>
      </c>
      <c r="K505" s="192"/>
      <c r="L505" s="193"/>
      <c r="M505" s="193"/>
      <c r="N505" s="194"/>
      <c r="O505" s="194"/>
      <c r="P505" s="147"/>
      <c r="Q505" s="195"/>
      <c r="R505" s="196"/>
      <c r="S505" s="195"/>
      <c r="T505" s="197"/>
      <c r="U505" s="195"/>
      <c r="V505" s="194"/>
      <c r="W505" s="194"/>
      <c r="X505" s="134"/>
      <c r="Y505" s="135"/>
      <c r="Z505" s="136"/>
      <c r="AA505" s="157"/>
      <c r="AB505" s="157"/>
    </row>
    <row r="506" ht="12.0" customHeight="1">
      <c r="A506" s="111"/>
      <c r="F506" s="123">
        <f t="shared" si="8"/>
        <v>505</v>
      </c>
      <c r="G506" s="179"/>
      <c r="H506" s="125" t="s">
        <v>2378</v>
      </c>
      <c r="I506" s="155">
        <f t="shared" si="27"/>
        <v>504</v>
      </c>
      <c r="J506" s="127" t="str">
        <f t="shared" si="1"/>
        <v>PE25-504</v>
      </c>
      <c r="K506" s="192"/>
      <c r="L506" s="193"/>
      <c r="M506" s="193"/>
      <c r="N506" s="194"/>
      <c r="O506" s="194"/>
      <c r="P506" s="147"/>
      <c r="Q506" s="195"/>
      <c r="R506" s="196"/>
      <c r="S506" s="195"/>
      <c r="T506" s="197"/>
      <c r="U506" s="195"/>
      <c r="V506" s="194"/>
      <c r="W506" s="194"/>
      <c r="X506" s="134"/>
      <c r="Y506" s="135"/>
      <c r="Z506" s="136"/>
      <c r="AA506" s="157"/>
      <c r="AB506" s="157"/>
    </row>
    <row r="507" ht="12.0" customHeight="1">
      <c r="A507" s="111"/>
      <c r="F507" s="123">
        <f t="shared" si="8"/>
        <v>506</v>
      </c>
      <c r="G507" s="179"/>
      <c r="H507" s="125" t="s">
        <v>2378</v>
      </c>
      <c r="I507" s="155">
        <f t="shared" si="27"/>
        <v>505</v>
      </c>
      <c r="J507" s="127" t="str">
        <f t="shared" si="1"/>
        <v>PE25-505</v>
      </c>
      <c r="K507" s="173"/>
      <c r="L507" s="174"/>
      <c r="M507" s="174"/>
      <c r="N507" s="157"/>
      <c r="O507" s="157"/>
      <c r="P507" s="154"/>
      <c r="Q507" s="188"/>
      <c r="R507" s="189"/>
      <c r="S507" s="186"/>
      <c r="T507" s="187"/>
      <c r="U507" s="186"/>
      <c r="V507" s="157"/>
      <c r="W507" s="157"/>
      <c r="X507" s="134"/>
      <c r="Y507" s="135"/>
      <c r="Z507" s="136"/>
      <c r="AA507" s="157"/>
      <c r="AB507" s="157"/>
    </row>
    <row r="508" ht="12.0" customHeight="1">
      <c r="A508" s="111"/>
      <c r="F508" s="123">
        <f t="shared" si="8"/>
        <v>507</v>
      </c>
      <c r="G508" s="179"/>
      <c r="H508" s="125" t="s">
        <v>2378</v>
      </c>
      <c r="I508" s="155">
        <f t="shared" si="27"/>
        <v>506</v>
      </c>
      <c r="J508" s="127" t="str">
        <f t="shared" si="1"/>
        <v>PE25-506</v>
      </c>
      <c r="K508" s="173"/>
      <c r="L508" s="174"/>
      <c r="M508" s="174"/>
      <c r="N508" s="157"/>
      <c r="O508" s="157"/>
      <c r="P508" s="154"/>
      <c r="Q508" s="188"/>
      <c r="R508" s="189"/>
      <c r="S508" s="186"/>
      <c r="T508" s="187"/>
      <c r="U508" s="186"/>
      <c r="V508" s="157"/>
      <c r="W508" s="157"/>
      <c r="X508" s="134"/>
      <c r="Y508" s="135"/>
      <c r="Z508" s="136"/>
      <c r="AA508" s="157"/>
      <c r="AB508" s="157"/>
    </row>
    <row r="509" ht="12.0" customHeight="1">
      <c r="A509" s="111"/>
      <c r="F509" s="123">
        <f t="shared" si="8"/>
        <v>508</v>
      </c>
      <c r="G509" s="179"/>
      <c r="H509" s="125" t="s">
        <v>2378</v>
      </c>
      <c r="I509" s="155">
        <f t="shared" si="27"/>
        <v>507</v>
      </c>
      <c r="J509" s="127" t="str">
        <f t="shared" si="1"/>
        <v>PE25-507</v>
      </c>
      <c r="K509" s="173"/>
      <c r="L509" s="174"/>
      <c r="M509" s="174"/>
      <c r="N509" s="157"/>
      <c r="O509" s="157"/>
      <c r="P509" s="154"/>
      <c r="Q509" s="188"/>
      <c r="R509" s="189"/>
      <c r="S509" s="186"/>
      <c r="T509" s="187"/>
      <c r="U509" s="186"/>
      <c r="V509" s="157"/>
      <c r="W509" s="157"/>
      <c r="X509" s="134"/>
      <c r="Y509" s="135"/>
      <c r="Z509" s="136"/>
      <c r="AA509" s="157"/>
      <c r="AB509" s="157"/>
    </row>
    <row r="510" ht="12.0" customHeight="1">
      <c r="A510" s="111"/>
      <c r="F510" s="123">
        <f t="shared" si="8"/>
        <v>509</v>
      </c>
      <c r="G510" s="179"/>
      <c r="H510" s="125" t="s">
        <v>2378</v>
      </c>
      <c r="I510" s="155">
        <f t="shared" si="27"/>
        <v>508</v>
      </c>
      <c r="J510" s="127" t="str">
        <f t="shared" si="1"/>
        <v>PE25-508</v>
      </c>
      <c r="K510" s="173"/>
      <c r="L510" s="174"/>
      <c r="M510" s="174"/>
      <c r="N510" s="157"/>
      <c r="O510" s="157"/>
      <c r="P510" s="154"/>
      <c r="Q510" s="188"/>
      <c r="R510" s="189"/>
      <c r="S510" s="186"/>
      <c r="T510" s="187"/>
      <c r="U510" s="186"/>
      <c r="V510" s="157"/>
      <c r="W510" s="157"/>
      <c r="X510" s="134"/>
      <c r="Y510" s="135"/>
      <c r="Z510" s="136"/>
      <c r="AA510" s="157"/>
      <c r="AB510" s="157"/>
    </row>
    <row r="511" ht="12.0" customHeight="1">
      <c r="A511" s="111"/>
      <c r="F511" s="123">
        <f t="shared" si="8"/>
        <v>510</v>
      </c>
      <c r="G511" s="179"/>
      <c r="H511" s="125" t="s">
        <v>2378</v>
      </c>
      <c r="I511" s="155">
        <f t="shared" si="27"/>
        <v>509</v>
      </c>
      <c r="J511" s="127" t="str">
        <f t="shared" si="1"/>
        <v>PE25-509</v>
      </c>
      <c r="K511" s="173"/>
      <c r="L511" s="174"/>
      <c r="M511" s="174"/>
      <c r="N511" s="157"/>
      <c r="O511" s="157"/>
      <c r="P511" s="154"/>
      <c r="Q511" s="188"/>
      <c r="R511" s="189"/>
      <c r="S511" s="186"/>
      <c r="T511" s="187"/>
      <c r="U511" s="186"/>
      <c r="V511" s="157"/>
      <c r="W511" s="157"/>
      <c r="X511" s="134"/>
      <c r="Y511" s="135"/>
      <c r="Z511" s="136"/>
      <c r="AA511" s="157"/>
      <c r="AB511" s="157"/>
    </row>
    <row r="512" ht="12.0" customHeight="1">
      <c r="A512" s="111"/>
      <c r="F512" s="123">
        <f t="shared" si="8"/>
        <v>511</v>
      </c>
      <c r="G512" s="179"/>
      <c r="H512" s="125" t="s">
        <v>2378</v>
      </c>
      <c r="I512" s="155">
        <f t="shared" si="27"/>
        <v>510</v>
      </c>
      <c r="J512" s="127" t="str">
        <f t="shared" si="1"/>
        <v>PE25-510</v>
      </c>
      <c r="K512" s="173"/>
      <c r="L512" s="174"/>
      <c r="M512" s="174"/>
      <c r="N512" s="157"/>
      <c r="O512" s="157"/>
      <c r="P512" s="154"/>
      <c r="Q512" s="188"/>
      <c r="R512" s="189"/>
      <c r="S512" s="186"/>
      <c r="T512" s="187"/>
      <c r="U512" s="186"/>
      <c r="V512" s="157"/>
      <c r="W512" s="157"/>
      <c r="X512" s="134"/>
      <c r="Y512" s="135"/>
      <c r="Z512" s="136"/>
      <c r="AA512" s="157"/>
      <c r="AB512" s="157"/>
    </row>
    <row r="513" ht="12.0" customHeight="1">
      <c r="A513" s="111"/>
      <c r="F513" s="123">
        <f t="shared" si="8"/>
        <v>512</v>
      </c>
      <c r="G513" s="179"/>
      <c r="H513" s="125" t="s">
        <v>2378</v>
      </c>
      <c r="I513" s="155">
        <f t="shared" si="27"/>
        <v>511</v>
      </c>
      <c r="J513" s="127" t="str">
        <f t="shared" si="1"/>
        <v>PE25-511</v>
      </c>
      <c r="K513" s="173"/>
      <c r="L513" s="174"/>
      <c r="M513" s="174"/>
      <c r="N513" s="157"/>
      <c r="O513" s="157"/>
      <c r="P513" s="154"/>
      <c r="Q513" s="188"/>
      <c r="R513" s="189"/>
      <c r="S513" s="186"/>
      <c r="T513" s="187"/>
      <c r="U513" s="186"/>
      <c r="V513" s="157"/>
      <c r="W513" s="157"/>
      <c r="X513" s="134"/>
      <c r="Y513" s="135"/>
      <c r="Z513" s="136"/>
      <c r="AA513" s="157"/>
      <c r="AB513" s="157"/>
    </row>
    <row r="514" ht="12.0" customHeight="1">
      <c r="A514" s="111"/>
      <c r="F514" s="123">
        <f t="shared" si="8"/>
        <v>513</v>
      </c>
      <c r="G514" s="179"/>
      <c r="H514" s="125" t="s">
        <v>2378</v>
      </c>
      <c r="I514" s="155">
        <f t="shared" si="27"/>
        <v>512</v>
      </c>
      <c r="J514" s="127" t="str">
        <f t="shared" si="1"/>
        <v>PE25-512</v>
      </c>
      <c r="K514" s="178"/>
      <c r="L514" s="174"/>
      <c r="M514" s="174"/>
      <c r="N514" s="157"/>
      <c r="O514" s="157"/>
      <c r="P514" s="154"/>
      <c r="Q514" s="188"/>
      <c r="R514" s="189"/>
      <c r="S514" s="189"/>
      <c r="T514" s="189"/>
      <c r="U514" s="189"/>
      <c r="V514" s="157"/>
      <c r="W514" s="157"/>
      <c r="X514" s="157"/>
      <c r="Y514" s="135"/>
      <c r="Z514" s="157"/>
      <c r="AA514" s="157"/>
      <c r="AB514" s="157"/>
    </row>
    <row r="515" ht="12.0" customHeight="1">
      <c r="A515" s="111"/>
      <c r="F515" s="123">
        <f t="shared" si="8"/>
        <v>514</v>
      </c>
      <c r="G515" s="179"/>
      <c r="H515" s="125" t="s">
        <v>2378</v>
      </c>
      <c r="I515" s="155">
        <f t="shared" si="27"/>
        <v>513</v>
      </c>
      <c r="J515" s="127" t="str">
        <f t="shared" si="1"/>
        <v>PE25-513</v>
      </c>
      <c r="K515" s="178"/>
      <c r="L515" s="174"/>
      <c r="M515" s="174"/>
      <c r="N515" s="157"/>
      <c r="O515" s="157"/>
      <c r="P515" s="154"/>
      <c r="Q515" s="188"/>
      <c r="R515" s="189"/>
      <c r="S515" s="189"/>
      <c r="T515" s="189"/>
      <c r="U515" s="189"/>
      <c r="V515" s="157"/>
      <c r="W515" s="157"/>
      <c r="X515" s="157"/>
      <c r="Y515" s="135"/>
      <c r="Z515" s="157"/>
      <c r="AA515" s="157"/>
      <c r="AB515" s="157"/>
    </row>
    <row r="516" ht="12.0" customHeight="1">
      <c r="A516" s="111"/>
      <c r="F516" s="123">
        <f t="shared" si="8"/>
        <v>515</v>
      </c>
      <c r="G516" s="179"/>
      <c r="H516" s="125" t="s">
        <v>2378</v>
      </c>
      <c r="I516" s="155">
        <f t="shared" si="27"/>
        <v>514</v>
      </c>
      <c r="J516" s="127" t="str">
        <f t="shared" si="1"/>
        <v>PE25-514</v>
      </c>
      <c r="K516" s="178"/>
      <c r="L516" s="174"/>
      <c r="M516" s="174"/>
      <c r="N516" s="157"/>
      <c r="O516" s="157"/>
      <c r="P516" s="154"/>
      <c r="Q516" s="188"/>
      <c r="R516" s="189"/>
      <c r="S516" s="189"/>
      <c r="T516" s="189"/>
      <c r="U516" s="189"/>
      <c r="V516" s="157"/>
      <c r="W516" s="157"/>
      <c r="X516" s="157"/>
      <c r="Y516" s="135"/>
      <c r="Z516" s="157"/>
      <c r="AA516" s="157"/>
      <c r="AB516" s="157"/>
    </row>
    <row r="517" ht="12.0" customHeight="1">
      <c r="A517" s="111"/>
      <c r="F517" s="111"/>
      <c r="K517" s="38"/>
      <c r="L517" s="38"/>
      <c r="M517" s="38"/>
      <c r="N517" s="38"/>
      <c r="O517" s="38"/>
    </row>
    <row r="518" ht="12.0" customHeight="1">
      <c r="A518" s="111"/>
      <c r="F518" s="111"/>
      <c r="K518" s="38"/>
      <c r="L518" s="38"/>
      <c r="M518" s="38"/>
      <c r="N518" s="38"/>
      <c r="O518" s="38"/>
    </row>
    <row r="519" ht="12.0" customHeight="1">
      <c r="A519" s="111"/>
      <c r="F519" s="111"/>
      <c r="K519" s="38"/>
      <c r="L519" s="38"/>
      <c r="M519" s="38"/>
      <c r="N519" s="38"/>
      <c r="O519" s="38"/>
    </row>
    <row r="520" ht="12.0" customHeight="1">
      <c r="A520" s="111"/>
      <c r="F520" s="111"/>
      <c r="K520" s="38"/>
      <c r="L520" s="38"/>
      <c r="M520" s="38"/>
      <c r="N520" s="38"/>
      <c r="O520" s="38"/>
    </row>
    <row r="521" ht="12.0" customHeight="1">
      <c r="A521" s="111"/>
      <c r="F521" s="111"/>
      <c r="K521" s="38"/>
      <c r="L521" s="38"/>
      <c r="M521" s="38"/>
      <c r="N521" s="38"/>
      <c r="O521" s="38"/>
    </row>
    <row r="522" ht="12.0" customHeight="1">
      <c r="A522" s="111"/>
      <c r="F522" s="111"/>
      <c r="K522" s="38"/>
      <c r="L522" s="38"/>
      <c r="M522" s="38"/>
      <c r="N522" s="38"/>
      <c r="O522" s="38"/>
    </row>
    <row r="523" ht="12.0" customHeight="1">
      <c r="A523" s="111"/>
      <c r="F523" s="111"/>
      <c r="K523" s="38"/>
      <c r="L523" s="38"/>
      <c r="M523" s="38"/>
      <c r="N523" s="38"/>
      <c r="O523" s="38"/>
    </row>
    <row r="524" ht="12.0" customHeight="1">
      <c r="A524" s="111"/>
      <c r="F524" s="111"/>
      <c r="K524" s="38"/>
      <c r="L524" s="38"/>
      <c r="M524" s="38"/>
      <c r="N524" s="38"/>
      <c r="O524" s="38"/>
    </row>
    <row r="525" ht="12.0" customHeight="1">
      <c r="A525" s="111"/>
      <c r="F525" s="111"/>
      <c r="K525" s="38"/>
      <c r="L525" s="38"/>
      <c r="M525" s="38"/>
      <c r="N525" s="38"/>
      <c r="O525" s="38"/>
    </row>
    <row r="526" ht="12.0" customHeight="1">
      <c r="A526" s="111"/>
      <c r="F526" s="111"/>
      <c r="K526" s="38"/>
      <c r="L526" s="38"/>
      <c r="M526" s="38"/>
      <c r="N526" s="38"/>
      <c r="O526" s="38"/>
    </row>
    <row r="527" ht="12.0" customHeight="1">
      <c r="A527" s="111"/>
      <c r="F527" s="111"/>
      <c r="K527" s="38"/>
      <c r="L527" s="38"/>
      <c r="M527" s="38"/>
      <c r="N527" s="38"/>
      <c r="O527" s="38"/>
    </row>
    <row r="528" ht="12.0" customHeight="1">
      <c r="A528" s="111"/>
      <c r="F528" s="111"/>
      <c r="K528" s="38"/>
      <c r="L528" s="38"/>
      <c r="M528" s="38"/>
      <c r="N528" s="38"/>
      <c r="O528" s="38"/>
    </row>
    <row r="529" ht="12.0" customHeight="1">
      <c r="A529" s="111"/>
      <c r="F529" s="111"/>
      <c r="K529" s="38"/>
      <c r="L529" s="38"/>
      <c r="M529" s="38"/>
      <c r="N529" s="38"/>
      <c r="O529" s="38"/>
    </row>
    <row r="530" ht="12.0" customHeight="1">
      <c r="A530" s="111"/>
      <c r="F530" s="111"/>
      <c r="K530" s="38"/>
      <c r="L530" s="38"/>
      <c r="M530" s="38"/>
      <c r="N530" s="38"/>
      <c r="O530" s="38"/>
    </row>
    <row r="531" ht="12.0" customHeight="1">
      <c r="A531" s="111"/>
      <c r="F531" s="111"/>
      <c r="K531" s="38"/>
      <c r="L531" s="38"/>
      <c r="M531" s="38"/>
      <c r="N531" s="38"/>
      <c r="O531" s="38"/>
    </row>
    <row r="532" ht="12.0" customHeight="1">
      <c r="A532" s="111"/>
      <c r="F532" s="111"/>
      <c r="K532" s="38"/>
      <c r="L532" s="38"/>
      <c r="M532" s="38"/>
      <c r="N532" s="38"/>
      <c r="O532" s="38"/>
    </row>
    <row r="533" ht="12.0" customHeight="1">
      <c r="A533" s="111"/>
      <c r="F533" s="111"/>
      <c r="K533" s="38"/>
      <c r="L533" s="38"/>
      <c r="M533" s="38"/>
      <c r="N533" s="38"/>
      <c r="O533" s="38"/>
    </row>
    <row r="534" ht="12.0" customHeight="1">
      <c r="A534" s="111"/>
      <c r="F534" s="111"/>
      <c r="K534" s="38"/>
      <c r="L534" s="38"/>
      <c r="M534" s="38"/>
      <c r="N534" s="38"/>
      <c r="O534" s="38"/>
    </row>
    <row r="535" ht="12.0" customHeight="1">
      <c r="A535" s="111"/>
      <c r="F535" s="111"/>
      <c r="K535" s="38"/>
      <c r="L535" s="38"/>
      <c r="M535" s="38"/>
      <c r="N535" s="38"/>
      <c r="O535" s="38"/>
    </row>
    <row r="536" ht="12.0" customHeight="1">
      <c r="A536" s="111"/>
      <c r="F536" s="111"/>
      <c r="K536" s="38"/>
      <c r="L536" s="38"/>
      <c r="M536" s="38"/>
      <c r="N536" s="38"/>
      <c r="O536" s="38"/>
    </row>
    <row r="537" ht="12.0" customHeight="1">
      <c r="A537" s="111"/>
      <c r="F537" s="111"/>
      <c r="K537" s="38"/>
      <c r="L537" s="38"/>
      <c r="M537" s="38"/>
      <c r="N537" s="38"/>
      <c r="O537" s="38"/>
    </row>
    <row r="538" ht="12.0" customHeight="1">
      <c r="A538" s="111"/>
      <c r="F538" s="111"/>
      <c r="K538" s="38"/>
      <c r="L538" s="38"/>
      <c r="M538" s="38"/>
      <c r="N538" s="38"/>
      <c r="O538" s="38"/>
    </row>
    <row r="539" ht="12.0" customHeight="1">
      <c r="A539" s="111"/>
      <c r="F539" s="111"/>
      <c r="K539" s="38"/>
      <c r="L539" s="38"/>
      <c r="M539" s="38"/>
      <c r="N539" s="38"/>
      <c r="O539" s="38"/>
    </row>
    <row r="540" ht="12.0" customHeight="1">
      <c r="A540" s="111"/>
      <c r="F540" s="111"/>
      <c r="K540" s="38"/>
      <c r="L540" s="38"/>
      <c r="M540" s="38"/>
      <c r="N540" s="38"/>
      <c r="O540" s="38"/>
    </row>
    <row r="541" ht="12.0" customHeight="1">
      <c r="A541" s="111"/>
      <c r="F541" s="111"/>
      <c r="K541" s="38"/>
      <c r="L541" s="38"/>
      <c r="M541" s="38"/>
      <c r="N541" s="38"/>
      <c r="O541" s="38"/>
    </row>
    <row r="542" ht="12.0" customHeight="1">
      <c r="A542" s="111"/>
      <c r="F542" s="111"/>
      <c r="K542" s="38"/>
      <c r="L542" s="38"/>
      <c r="M542" s="38"/>
      <c r="N542" s="38"/>
      <c r="O542" s="38"/>
    </row>
    <row r="543" ht="12.0" customHeight="1">
      <c r="A543" s="111"/>
      <c r="F543" s="111"/>
      <c r="K543" s="38"/>
      <c r="L543" s="38"/>
      <c r="M543" s="38"/>
      <c r="N543" s="38"/>
      <c r="O543" s="38"/>
    </row>
    <row r="544" ht="12.0" customHeight="1">
      <c r="A544" s="111"/>
      <c r="F544" s="111"/>
      <c r="K544" s="38"/>
      <c r="L544" s="38"/>
      <c r="M544" s="38"/>
      <c r="N544" s="38"/>
      <c r="O544" s="38"/>
    </row>
    <row r="545" ht="12.0" customHeight="1">
      <c r="A545" s="111"/>
      <c r="F545" s="111"/>
      <c r="K545" s="38"/>
      <c r="L545" s="38"/>
      <c r="M545" s="38"/>
      <c r="N545" s="38"/>
      <c r="O545" s="38"/>
    </row>
    <row r="546" ht="12.0" customHeight="1">
      <c r="A546" s="111"/>
      <c r="F546" s="111"/>
      <c r="K546" s="38"/>
      <c r="L546" s="38"/>
      <c r="M546" s="38"/>
      <c r="N546" s="38"/>
      <c r="O546" s="38"/>
    </row>
    <row r="547" ht="12.0" customHeight="1">
      <c r="A547" s="111"/>
      <c r="F547" s="111"/>
      <c r="K547" s="38"/>
      <c r="L547" s="38"/>
      <c r="M547" s="38"/>
      <c r="N547" s="38"/>
      <c r="O547" s="38"/>
    </row>
    <row r="548" ht="12.0" customHeight="1">
      <c r="A548" s="111"/>
      <c r="F548" s="111"/>
      <c r="K548" s="38"/>
      <c r="L548" s="38"/>
      <c r="M548" s="38"/>
      <c r="N548" s="38"/>
      <c r="O548" s="38"/>
    </row>
    <row r="549" ht="12.0" customHeight="1">
      <c r="A549" s="111"/>
      <c r="F549" s="111"/>
      <c r="K549" s="38"/>
      <c r="L549" s="38"/>
      <c r="M549" s="38"/>
      <c r="N549" s="38"/>
      <c r="O549" s="38"/>
    </row>
    <row r="550" ht="12.0" customHeight="1">
      <c r="A550" s="111"/>
      <c r="F550" s="111"/>
      <c r="K550" s="38"/>
      <c r="L550" s="38"/>
      <c r="M550" s="38"/>
      <c r="N550" s="38"/>
      <c r="O550" s="38"/>
    </row>
    <row r="551" ht="12.0" customHeight="1">
      <c r="A551" s="111"/>
      <c r="F551" s="111"/>
      <c r="K551" s="38"/>
      <c r="L551" s="38"/>
      <c r="M551" s="38"/>
      <c r="N551" s="38"/>
      <c r="O551" s="38"/>
    </row>
    <row r="552" ht="12.0" customHeight="1">
      <c r="A552" s="111"/>
      <c r="F552" s="111"/>
      <c r="K552" s="38"/>
      <c r="L552" s="38"/>
      <c r="M552" s="38"/>
      <c r="N552" s="38"/>
      <c r="O552" s="38"/>
    </row>
    <row r="553" ht="12.0" customHeight="1">
      <c r="A553" s="111"/>
      <c r="F553" s="111"/>
      <c r="K553" s="38"/>
      <c r="L553" s="38"/>
      <c r="M553" s="38"/>
      <c r="N553" s="38"/>
      <c r="O553" s="38"/>
    </row>
    <row r="554" ht="12.0" customHeight="1">
      <c r="A554" s="111"/>
      <c r="F554" s="111"/>
      <c r="K554" s="38"/>
      <c r="L554" s="38"/>
      <c r="M554" s="38"/>
      <c r="N554" s="38"/>
      <c r="O554" s="38"/>
    </row>
    <row r="555" ht="12.0" customHeight="1">
      <c r="A555" s="111"/>
      <c r="F555" s="111"/>
      <c r="K555" s="38"/>
      <c r="L555" s="38"/>
      <c r="M555" s="38"/>
      <c r="N555" s="38"/>
      <c r="O555" s="38"/>
    </row>
    <row r="556" ht="12.0" customHeight="1">
      <c r="A556" s="111"/>
      <c r="F556" s="111"/>
      <c r="K556" s="38"/>
      <c r="L556" s="38"/>
      <c r="M556" s="38"/>
      <c r="N556" s="38"/>
      <c r="O556" s="38"/>
    </row>
    <row r="557" ht="12.0" customHeight="1">
      <c r="A557" s="111"/>
      <c r="F557" s="111"/>
      <c r="K557" s="38"/>
      <c r="L557" s="38"/>
      <c r="M557" s="38"/>
      <c r="N557" s="38"/>
      <c r="O557" s="38"/>
    </row>
    <row r="558" ht="12.0" customHeight="1">
      <c r="A558" s="111"/>
      <c r="F558" s="111"/>
      <c r="K558" s="38"/>
      <c r="L558" s="38"/>
      <c r="M558" s="38"/>
      <c r="N558" s="38"/>
      <c r="O558" s="38"/>
    </row>
    <row r="559" ht="12.0" customHeight="1">
      <c r="A559" s="111"/>
      <c r="F559" s="111"/>
      <c r="K559" s="38"/>
      <c r="L559" s="38"/>
      <c r="M559" s="38"/>
      <c r="N559" s="38"/>
      <c r="O559" s="38"/>
    </row>
    <row r="560" ht="12.0" customHeight="1">
      <c r="A560" s="111"/>
      <c r="F560" s="111"/>
      <c r="K560" s="38"/>
      <c r="L560" s="38"/>
      <c r="M560" s="38"/>
      <c r="N560" s="38"/>
      <c r="O560" s="38"/>
    </row>
    <row r="561" ht="12.0" customHeight="1">
      <c r="A561" s="111"/>
      <c r="F561" s="111"/>
      <c r="K561" s="38"/>
      <c r="L561" s="38"/>
      <c r="M561" s="38"/>
      <c r="N561" s="38"/>
      <c r="O561" s="38"/>
    </row>
    <row r="562" ht="12.0" customHeight="1">
      <c r="A562" s="111"/>
      <c r="F562" s="111"/>
      <c r="K562" s="38"/>
      <c r="L562" s="38"/>
      <c r="M562" s="38"/>
      <c r="N562" s="38"/>
      <c r="O562" s="38"/>
    </row>
    <row r="563" ht="12.0" customHeight="1">
      <c r="A563" s="111"/>
      <c r="F563" s="111"/>
      <c r="K563" s="38"/>
      <c r="L563" s="38"/>
      <c r="M563" s="38"/>
      <c r="N563" s="38"/>
      <c r="O563" s="38"/>
    </row>
    <row r="564" ht="12.0" customHeight="1">
      <c r="A564" s="111"/>
      <c r="F564" s="111"/>
      <c r="K564" s="38"/>
      <c r="L564" s="38"/>
      <c r="M564" s="38"/>
      <c r="N564" s="38"/>
      <c r="O564" s="38"/>
    </row>
    <row r="565" ht="12.0" customHeight="1">
      <c r="A565" s="111"/>
      <c r="F565" s="111"/>
      <c r="K565" s="38"/>
      <c r="L565" s="38"/>
      <c r="M565" s="38"/>
      <c r="N565" s="38"/>
      <c r="O565" s="38"/>
    </row>
    <row r="566" ht="12.0" customHeight="1">
      <c r="A566" s="111"/>
      <c r="F566" s="111"/>
      <c r="K566" s="38"/>
      <c r="L566" s="38"/>
      <c r="M566" s="38"/>
      <c r="N566" s="38"/>
      <c r="O566" s="38"/>
    </row>
    <row r="567" ht="12.0" customHeight="1">
      <c r="A567" s="111"/>
      <c r="F567" s="111"/>
      <c r="K567" s="38"/>
      <c r="L567" s="38"/>
      <c r="M567" s="38"/>
      <c r="N567" s="38"/>
      <c r="O567" s="38"/>
    </row>
    <row r="568" ht="12.0" customHeight="1">
      <c r="A568" s="111"/>
      <c r="F568" s="111"/>
      <c r="K568" s="38"/>
      <c r="L568" s="38"/>
      <c r="M568" s="38"/>
      <c r="N568" s="38"/>
      <c r="O568" s="38"/>
    </row>
    <row r="569" ht="12.0" customHeight="1">
      <c r="A569" s="111"/>
      <c r="F569" s="111"/>
      <c r="K569" s="38"/>
      <c r="L569" s="38"/>
      <c r="M569" s="38"/>
      <c r="N569" s="38"/>
      <c r="O569" s="38"/>
    </row>
    <row r="570" ht="12.0" customHeight="1">
      <c r="A570" s="111"/>
      <c r="F570" s="111"/>
      <c r="K570" s="38"/>
      <c r="L570" s="38"/>
      <c r="M570" s="38"/>
      <c r="N570" s="38"/>
      <c r="O570" s="38"/>
    </row>
    <row r="571" ht="12.0" customHeight="1">
      <c r="A571" s="111"/>
      <c r="F571" s="111"/>
      <c r="K571" s="38"/>
      <c r="L571" s="38"/>
      <c r="M571" s="38"/>
      <c r="N571" s="38"/>
      <c r="O571" s="38"/>
    </row>
    <row r="572" ht="12.0" customHeight="1">
      <c r="A572" s="111"/>
      <c r="F572" s="111"/>
      <c r="K572" s="38"/>
      <c r="L572" s="38"/>
      <c r="M572" s="38"/>
      <c r="N572" s="38"/>
      <c r="O572" s="38"/>
    </row>
    <row r="573" ht="12.0" customHeight="1">
      <c r="A573" s="111"/>
      <c r="F573" s="111"/>
      <c r="K573" s="38"/>
      <c r="L573" s="38"/>
      <c r="M573" s="38"/>
      <c r="N573" s="38"/>
      <c r="O573" s="38"/>
    </row>
    <row r="574" ht="12.0" customHeight="1">
      <c r="A574" s="111"/>
      <c r="F574" s="111"/>
      <c r="K574" s="38"/>
      <c r="L574" s="38"/>
      <c r="M574" s="38"/>
      <c r="N574" s="38"/>
      <c r="O574" s="38"/>
    </row>
    <row r="575" ht="12.0" customHeight="1">
      <c r="A575" s="111"/>
      <c r="F575" s="111"/>
      <c r="K575" s="38"/>
      <c r="L575" s="38"/>
      <c r="M575" s="38"/>
      <c r="N575" s="38"/>
      <c r="O575" s="38"/>
    </row>
    <row r="576" ht="12.0" customHeight="1">
      <c r="A576" s="111"/>
      <c r="F576" s="111"/>
      <c r="K576" s="38"/>
      <c r="L576" s="38"/>
      <c r="M576" s="38"/>
      <c r="N576" s="38"/>
      <c r="O576" s="38"/>
    </row>
    <row r="577" ht="12.0" customHeight="1">
      <c r="A577" s="111"/>
      <c r="F577" s="111"/>
      <c r="K577" s="38"/>
      <c r="L577" s="38"/>
      <c r="M577" s="38"/>
      <c r="N577" s="38"/>
      <c r="O577" s="38"/>
    </row>
    <row r="578" ht="12.0" customHeight="1">
      <c r="A578" s="111"/>
      <c r="F578" s="111"/>
      <c r="K578" s="38"/>
      <c r="L578" s="38"/>
      <c r="M578" s="38"/>
      <c r="N578" s="38"/>
      <c r="O578" s="38"/>
    </row>
    <row r="579" ht="12.0" customHeight="1">
      <c r="A579" s="111"/>
      <c r="F579" s="111"/>
      <c r="K579" s="38"/>
      <c r="L579" s="38"/>
      <c r="M579" s="38"/>
      <c r="N579" s="38"/>
      <c r="O579" s="38"/>
    </row>
    <row r="580" ht="12.0" customHeight="1">
      <c r="A580" s="111"/>
      <c r="F580" s="111"/>
      <c r="K580" s="38"/>
      <c r="L580" s="38"/>
      <c r="M580" s="38"/>
      <c r="N580" s="38"/>
      <c r="O580" s="38"/>
    </row>
    <row r="581" ht="12.0" customHeight="1">
      <c r="A581" s="111"/>
      <c r="F581" s="111"/>
      <c r="K581" s="38"/>
      <c r="L581" s="38"/>
      <c r="M581" s="38"/>
      <c r="N581" s="38"/>
      <c r="O581" s="38"/>
    </row>
    <row r="582" ht="12.0" customHeight="1">
      <c r="A582" s="111"/>
      <c r="F582" s="111"/>
      <c r="K582" s="38"/>
      <c r="L582" s="38"/>
      <c r="M582" s="38"/>
      <c r="N582" s="38"/>
      <c r="O582" s="38"/>
    </row>
    <row r="583" ht="12.0" customHeight="1">
      <c r="A583" s="111"/>
      <c r="F583" s="111"/>
      <c r="K583" s="38"/>
      <c r="L583" s="38"/>
      <c r="M583" s="38"/>
      <c r="N583" s="38"/>
      <c r="O583" s="38"/>
    </row>
    <row r="584" ht="12.0" customHeight="1">
      <c r="A584" s="111"/>
      <c r="F584" s="111"/>
      <c r="K584" s="38"/>
      <c r="L584" s="38"/>
      <c r="M584" s="38"/>
      <c r="N584" s="38"/>
      <c r="O584" s="38"/>
    </row>
    <row r="585" ht="12.0" customHeight="1">
      <c r="A585" s="111"/>
      <c r="F585" s="111"/>
      <c r="K585" s="38"/>
      <c r="L585" s="38"/>
      <c r="M585" s="38"/>
      <c r="N585" s="38"/>
      <c r="O585" s="38"/>
    </row>
    <row r="586" ht="12.0" customHeight="1">
      <c r="A586" s="111"/>
      <c r="F586" s="111"/>
      <c r="K586" s="38"/>
      <c r="L586" s="38"/>
      <c r="M586" s="38"/>
      <c r="N586" s="38"/>
      <c r="O586" s="38"/>
    </row>
    <row r="587" ht="12.0" customHeight="1">
      <c r="A587" s="111"/>
      <c r="F587" s="111"/>
      <c r="K587" s="38"/>
      <c r="L587" s="38"/>
      <c r="M587" s="38"/>
      <c r="N587" s="38"/>
      <c r="O587" s="38"/>
    </row>
    <row r="588" ht="12.0" customHeight="1">
      <c r="A588" s="111"/>
      <c r="F588" s="111"/>
      <c r="K588" s="38"/>
      <c r="L588" s="38"/>
      <c r="M588" s="38"/>
      <c r="N588" s="38"/>
      <c r="O588" s="38"/>
    </row>
    <row r="589" ht="12.0" customHeight="1">
      <c r="A589" s="111"/>
      <c r="F589" s="111"/>
      <c r="K589" s="38"/>
      <c r="L589" s="38"/>
      <c r="M589" s="38"/>
      <c r="N589" s="38"/>
      <c r="O589" s="38"/>
    </row>
    <row r="590" ht="12.0" customHeight="1">
      <c r="A590" s="111"/>
      <c r="F590" s="111"/>
      <c r="K590" s="38"/>
      <c r="L590" s="38"/>
      <c r="M590" s="38"/>
      <c r="N590" s="38"/>
      <c r="O590" s="38"/>
    </row>
    <row r="591" ht="12.0" customHeight="1">
      <c r="A591" s="111"/>
      <c r="F591" s="111"/>
      <c r="K591" s="38"/>
      <c r="L591" s="38"/>
      <c r="M591" s="38"/>
      <c r="N591" s="38"/>
      <c r="O591" s="38"/>
    </row>
    <row r="592" ht="12.0" customHeight="1">
      <c r="A592" s="111"/>
      <c r="F592" s="111"/>
      <c r="K592" s="38"/>
      <c r="L592" s="38"/>
      <c r="M592" s="38"/>
      <c r="N592" s="38"/>
      <c r="O592" s="38"/>
    </row>
    <row r="593" ht="12.0" customHeight="1">
      <c r="A593" s="111"/>
      <c r="F593" s="111"/>
      <c r="K593" s="38"/>
      <c r="L593" s="38"/>
      <c r="M593" s="38"/>
      <c r="N593" s="38"/>
      <c r="O593" s="38"/>
    </row>
    <row r="594" ht="12.0" customHeight="1">
      <c r="A594" s="111"/>
      <c r="F594" s="111"/>
      <c r="K594" s="38"/>
      <c r="L594" s="38"/>
      <c r="M594" s="38"/>
      <c r="N594" s="38"/>
      <c r="O594" s="38"/>
    </row>
    <row r="595" ht="12.0" customHeight="1">
      <c r="A595" s="111"/>
      <c r="F595" s="111"/>
      <c r="K595" s="38"/>
      <c r="L595" s="38"/>
      <c r="M595" s="38"/>
      <c r="N595" s="38"/>
      <c r="O595" s="38"/>
    </row>
    <row r="596" ht="12.0" customHeight="1">
      <c r="A596" s="111"/>
      <c r="F596" s="111"/>
      <c r="K596" s="38"/>
      <c r="L596" s="38"/>
      <c r="M596" s="38"/>
      <c r="N596" s="38"/>
      <c r="O596" s="38"/>
    </row>
    <row r="597" ht="12.0" customHeight="1">
      <c r="A597" s="111"/>
      <c r="F597" s="111"/>
      <c r="K597" s="38"/>
      <c r="L597" s="38"/>
      <c r="M597" s="38"/>
      <c r="N597" s="38"/>
      <c r="O597" s="38"/>
    </row>
    <row r="598" ht="12.0" customHeight="1">
      <c r="A598" s="111"/>
      <c r="F598" s="111"/>
      <c r="K598" s="38"/>
      <c r="L598" s="38"/>
      <c r="M598" s="38"/>
      <c r="N598" s="38"/>
      <c r="O598" s="38"/>
    </row>
    <row r="599" ht="12.0" customHeight="1">
      <c r="A599" s="111"/>
      <c r="F599" s="111"/>
      <c r="K599" s="38"/>
      <c r="L599" s="38"/>
      <c r="M599" s="38"/>
      <c r="N599" s="38"/>
      <c r="O599" s="38"/>
    </row>
    <row r="600" ht="12.0" customHeight="1">
      <c r="A600" s="111"/>
      <c r="F600" s="111"/>
      <c r="K600" s="38"/>
      <c r="L600" s="38"/>
      <c r="M600" s="38"/>
      <c r="N600" s="38"/>
      <c r="O600" s="38"/>
    </row>
    <row r="601" ht="12.0" customHeight="1">
      <c r="A601" s="111"/>
      <c r="F601" s="111"/>
      <c r="K601" s="38"/>
      <c r="L601" s="38"/>
      <c r="M601" s="38"/>
      <c r="N601" s="38"/>
      <c r="O601" s="38"/>
    </row>
    <row r="602" ht="12.0" customHeight="1">
      <c r="A602" s="111"/>
      <c r="F602" s="111"/>
      <c r="K602" s="38"/>
      <c r="L602" s="38"/>
      <c r="M602" s="38"/>
      <c r="N602" s="38"/>
      <c r="O602" s="38"/>
    </row>
    <row r="603" ht="12.0" customHeight="1">
      <c r="A603" s="111"/>
      <c r="F603" s="111"/>
      <c r="K603" s="38"/>
      <c r="L603" s="38"/>
      <c r="M603" s="38"/>
      <c r="N603" s="38"/>
      <c r="O603" s="38"/>
    </row>
    <row r="604" ht="12.0" customHeight="1">
      <c r="A604" s="111"/>
      <c r="F604" s="111"/>
      <c r="K604" s="38"/>
      <c r="L604" s="38"/>
      <c r="M604" s="38"/>
      <c r="N604" s="38"/>
      <c r="O604" s="38"/>
    </row>
    <row r="605" ht="12.0" customHeight="1">
      <c r="A605" s="111"/>
      <c r="F605" s="111"/>
      <c r="K605" s="38"/>
      <c r="L605" s="38"/>
      <c r="M605" s="38"/>
      <c r="N605" s="38"/>
      <c r="O605" s="38"/>
    </row>
    <row r="606" ht="12.0" customHeight="1">
      <c r="A606" s="111"/>
      <c r="F606" s="111"/>
      <c r="K606" s="38"/>
      <c r="L606" s="38"/>
      <c r="M606" s="38"/>
      <c r="N606" s="38"/>
      <c r="O606" s="38"/>
    </row>
    <row r="607" ht="12.0" customHeight="1">
      <c r="A607" s="111"/>
      <c r="F607" s="111"/>
      <c r="K607" s="38"/>
      <c r="L607" s="38"/>
      <c r="M607" s="38"/>
      <c r="N607" s="38"/>
      <c r="O607" s="38"/>
    </row>
    <row r="608" ht="12.0" customHeight="1">
      <c r="A608" s="111"/>
      <c r="F608" s="111"/>
      <c r="K608" s="38"/>
      <c r="L608" s="38"/>
      <c r="M608" s="38"/>
      <c r="N608" s="38"/>
      <c r="O608" s="38"/>
    </row>
    <row r="609" ht="12.0" customHeight="1">
      <c r="A609" s="111"/>
      <c r="F609" s="111"/>
      <c r="K609" s="38"/>
      <c r="L609" s="38"/>
      <c r="M609" s="38"/>
      <c r="N609" s="38"/>
      <c r="O609" s="38"/>
    </row>
    <row r="610" ht="12.0" customHeight="1">
      <c r="A610" s="111"/>
      <c r="F610" s="111"/>
      <c r="K610" s="38"/>
      <c r="L610" s="38"/>
      <c r="M610" s="38"/>
      <c r="N610" s="38"/>
      <c r="O610" s="38"/>
    </row>
    <row r="611" ht="12.0" customHeight="1">
      <c r="A611" s="111"/>
      <c r="F611" s="111"/>
      <c r="K611" s="38"/>
      <c r="L611" s="38"/>
      <c r="M611" s="38"/>
      <c r="N611" s="38"/>
      <c r="O611" s="38"/>
    </row>
    <row r="612" ht="12.0" customHeight="1">
      <c r="A612" s="111"/>
      <c r="F612" s="111"/>
      <c r="K612" s="38"/>
      <c r="L612" s="38"/>
      <c r="M612" s="38"/>
      <c r="N612" s="38"/>
      <c r="O612" s="38"/>
    </row>
    <row r="613" ht="12.0" customHeight="1">
      <c r="A613" s="111"/>
      <c r="F613" s="111"/>
      <c r="K613" s="38"/>
      <c r="L613" s="38"/>
      <c r="M613" s="38"/>
      <c r="N613" s="38"/>
      <c r="O613" s="38"/>
    </row>
    <row r="614" ht="12.0" customHeight="1">
      <c r="A614" s="111"/>
      <c r="F614" s="111"/>
      <c r="K614" s="38"/>
      <c r="L614" s="38"/>
      <c r="M614" s="38"/>
      <c r="N614" s="38"/>
      <c r="O614" s="38"/>
    </row>
    <row r="615" ht="12.0" customHeight="1">
      <c r="A615" s="111"/>
      <c r="F615" s="111"/>
      <c r="K615" s="38"/>
      <c r="L615" s="38"/>
      <c r="M615" s="38"/>
      <c r="N615" s="38"/>
      <c r="O615" s="38"/>
    </row>
    <row r="616" ht="12.0" customHeight="1">
      <c r="A616" s="111"/>
      <c r="F616" s="111"/>
      <c r="K616" s="38"/>
      <c r="L616" s="38"/>
      <c r="M616" s="38"/>
      <c r="N616" s="38"/>
      <c r="O616" s="38"/>
    </row>
    <row r="617" ht="12.0" customHeight="1">
      <c r="A617" s="111"/>
      <c r="F617" s="111"/>
      <c r="K617" s="38"/>
      <c r="L617" s="38"/>
      <c r="M617" s="38"/>
      <c r="N617" s="38"/>
      <c r="O617" s="38"/>
    </row>
    <row r="618" ht="12.0" customHeight="1">
      <c r="A618" s="111"/>
      <c r="F618" s="111"/>
      <c r="K618" s="38"/>
      <c r="L618" s="38"/>
      <c r="M618" s="38"/>
      <c r="N618" s="38"/>
      <c r="O618" s="38"/>
    </row>
    <row r="619" ht="12.0" customHeight="1">
      <c r="A619" s="111"/>
      <c r="F619" s="111"/>
      <c r="K619" s="38"/>
      <c r="L619" s="38"/>
      <c r="M619" s="38"/>
      <c r="N619" s="38"/>
      <c r="O619" s="38"/>
    </row>
    <row r="620" ht="12.0" customHeight="1">
      <c r="A620" s="111"/>
      <c r="F620" s="111"/>
      <c r="K620" s="38"/>
      <c r="L620" s="38"/>
      <c r="M620" s="38"/>
      <c r="N620" s="38"/>
      <c r="O620" s="38"/>
    </row>
    <row r="621" ht="12.0" customHeight="1">
      <c r="A621" s="111"/>
      <c r="F621" s="111"/>
      <c r="K621" s="38"/>
      <c r="L621" s="38"/>
      <c r="M621" s="38"/>
      <c r="N621" s="38"/>
      <c r="O621" s="38"/>
    </row>
    <row r="622" ht="12.0" customHeight="1">
      <c r="A622" s="111"/>
      <c r="F622" s="111"/>
      <c r="K622" s="38"/>
      <c r="L622" s="38"/>
      <c r="M622" s="38"/>
      <c r="N622" s="38"/>
      <c r="O622" s="38"/>
    </row>
    <row r="623" ht="12.0" customHeight="1">
      <c r="A623" s="111"/>
      <c r="F623" s="111"/>
      <c r="K623" s="38"/>
      <c r="L623" s="38"/>
      <c r="M623" s="38"/>
      <c r="N623" s="38"/>
      <c r="O623" s="38"/>
    </row>
    <row r="624" ht="12.0" customHeight="1">
      <c r="A624" s="111"/>
      <c r="F624" s="111"/>
      <c r="K624" s="38"/>
      <c r="L624" s="38"/>
      <c r="M624" s="38"/>
      <c r="N624" s="38"/>
      <c r="O624" s="38"/>
    </row>
    <row r="625" ht="12.0" customHeight="1">
      <c r="A625" s="111"/>
      <c r="F625" s="111"/>
      <c r="K625" s="38"/>
      <c r="L625" s="38"/>
      <c r="M625" s="38"/>
      <c r="N625" s="38"/>
      <c r="O625" s="38"/>
    </row>
    <row r="626" ht="12.0" customHeight="1">
      <c r="A626" s="111"/>
      <c r="F626" s="111"/>
      <c r="K626" s="38"/>
      <c r="L626" s="38"/>
      <c r="M626" s="38"/>
      <c r="N626" s="38"/>
      <c r="O626" s="38"/>
    </row>
    <row r="627" ht="12.0" customHeight="1">
      <c r="A627" s="111"/>
      <c r="F627" s="111"/>
      <c r="K627" s="38"/>
      <c r="L627" s="38"/>
      <c r="M627" s="38"/>
      <c r="N627" s="38"/>
      <c r="O627" s="38"/>
    </row>
    <row r="628" ht="12.0" customHeight="1">
      <c r="A628" s="111"/>
      <c r="F628" s="111"/>
      <c r="K628" s="38"/>
      <c r="L628" s="38"/>
      <c r="M628" s="38"/>
      <c r="N628" s="38"/>
      <c r="O628" s="38"/>
    </row>
    <row r="629" ht="12.0" customHeight="1">
      <c r="A629" s="111"/>
      <c r="F629" s="111"/>
      <c r="K629" s="38"/>
      <c r="L629" s="38"/>
      <c r="M629" s="38"/>
      <c r="N629" s="38"/>
      <c r="O629" s="38"/>
    </row>
    <row r="630" ht="12.0" customHeight="1">
      <c r="A630" s="111"/>
      <c r="F630" s="111"/>
      <c r="K630" s="38"/>
      <c r="L630" s="38"/>
      <c r="M630" s="38"/>
      <c r="N630" s="38"/>
      <c r="O630" s="38"/>
    </row>
    <row r="631" ht="12.0" customHeight="1">
      <c r="A631" s="111"/>
      <c r="F631" s="111"/>
      <c r="K631" s="38"/>
      <c r="L631" s="38"/>
      <c r="M631" s="38"/>
      <c r="N631" s="38"/>
      <c r="O631" s="38"/>
    </row>
    <row r="632" ht="12.0" customHeight="1">
      <c r="A632" s="111"/>
      <c r="F632" s="111"/>
      <c r="K632" s="38"/>
      <c r="L632" s="38"/>
      <c r="M632" s="38"/>
      <c r="N632" s="38"/>
      <c r="O632" s="38"/>
    </row>
    <row r="633" ht="12.0" customHeight="1">
      <c r="A633" s="111"/>
      <c r="F633" s="111"/>
      <c r="K633" s="38"/>
      <c r="L633" s="38"/>
      <c r="M633" s="38"/>
      <c r="N633" s="38"/>
      <c r="O633" s="38"/>
    </row>
    <row r="634" ht="12.0" customHeight="1">
      <c r="A634" s="111"/>
      <c r="F634" s="111"/>
      <c r="K634" s="38"/>
      <c r="L634" s="38"/>
      <c r="M634" s="38"/>
      <c r="N634" s="38"/>
      <c r="O634" s="38"/>
    </row>
    <row r="635" ht="12.0" customHeight="1">
      <c r="A635" s="111"/>
      <c r="F635" s="111"/>
      <c r="K635" s="38"/>
      <c r="L635" s="38"/>
      <c r="M635" s="38"/>
      <c r="N635" s="38"/>
      <c r="O635" s="38"/>
    </row>
    <row r="636" ht="12.0" customHeight="1">
      <c r="A636" s="111"/>
      <c r="F636" s="111"/>
      <c r="K636" s="38"/>
      <c r="L636" s="38"/>
      <c r="M636" s="38"/>
      <c r="N636" s="38"/>
      <c r="O636" s="38"/>
    </row>
    <row r="637" ht="12.0" customHeight="1">
      <c r="A637" s="111"/>
      <c r="F637" s="111"/>
      <c r="K637" s="38"/>
      <c r="L637" s="38"/>
      <c r="M637" s="38"/>
      <c r="N637" s="38"/>
      <c r="O637" s="38"/>
    </row>
    <row r="638" ht="12.0" customHeight="1">
      <c r="A638" s="111"/>
      <c r="F638" s="111"/>
      <c r="K638" s="38"/>
      <c r="L638" s="38"/>
      <c r="M638" s="38"/>
      <c r="N638" s="38"/>
      <c r="O638" s="38"/>
    </row>
    <row r="639" ht="12.0" customHeight="1">
      <c r="A639" s="111"/>
      <c r="F639" s="111"/>
      <c r="K639" s="38"/>
      <c r="L639" s="38"/>
      <c r="M639" s="38"/>
      <c r="N639" s="38"/>
      <c r="O639" s="38"/>
    </row>
    <row r="640" ht="12.0" customHeight="1">
      <c r="A640" s="111"/>
      <c r="F640" s="111"/>
      <c r="K640" s="38"/>
      <c r="L640" s="38"/>
      <c r="M640" s="38"/>
      <c r="N640" s="38"/>
      <c r="O640" s="38"/>
    </row>
    <row r="641" ht="12.0" customHeight="1">
      <c r="A641" s="111"/>
      <c r="F641" s="111"/>
      <c r="K641" s="38"/>
      <c r="L641" s="38"/>
      <c r="M641" s="38"/>
      <c r="N641" s="38"/>
      <c r="O641" s="38"/>
    </row>
    <row r="642" ht="12.0" customHeight="1">
      <c r="A642" s="111"/>
      <c r="F642" s="111"/>
      <c r="K642" s="38"/>
      <c r="L642" s="38"/>
      <c r="M642" s="38"/>
      <c r="N642" s="38"/>
      <c r="O642" s="38"/>
    </row>
    <row r="643" ht="12.0" customHeight="1">
      <c r="A643" s="111"/>
      <c r="F643" s="111"/>
      <c r="K643" s="38"/>
      <c r="L643" s="38"/>
      <c r="M643" s="38"/>
      <c r="N643" s="38"/>
      <c r="O643" s="38"/>
    </row>
    <row r="644" ht="12.0" customHeight="1">
      <c r="A644" s="111"/>
      <c r="F644" s="111"/>
      <c r="K644" s="38"/>
      <c r="L644" s="38"/>
      <c r="M644" s="38"/>
      <c r="N644" s="38"/>
      <c r="O644" s="38"/>
    </row>
    <row r="645" ht="12.0" customHeight="1">
      <c r="A645" s="111"/>
      <c r="F645" s="111"/>
      <c r="K645" s="38"/>
      <c r="L645" s="38"/>
      <c r="M645" s="38"/>
      <c r="N645" s="38"/>
      <c r="O645" s="38"/>
    </row>
    <row r="646" ht="12.0" customHeight="1">
      <c r="A646" s="111"/>
      <c r="F646" s="111"/>
      <c r="K646" s="38"/>
      <c r="L646" s="38"/>
      <c r="M646" s="38"/>
      <c r="N646" s="38"/>
      <c r="O646" s="38"/>
    </row>
    <row r="647" ht="12.0" customHeight="1">
      <c r="A647" s="111"/>
      <c r="F647" s="111"/>
      <c r="K647" s="38"/>
      <c r="L647" s="38"/>
      <c r="M647" s="38"/>
      <c r="N647" s="38"/>
      <c r="O647" s="38"/>
    </row>
    <row r="648" ht="12.0" customHeight="1">
      <c r="A648" s="111"/>
      <c r="F648" s="111"/>
      <c r="K648" s="38"/>
      <c r="L648" s="38"/>
      <c r="M648" s="38"/>
      <c r="N648" s="38"/>
      <c r="O648" s="38"/>
    </row>
    <row r="649" ht="12.0" customHeight="1">
      <c r="A649" s="111"/>
      <c r="F649" s="111"/>
      <c r="K649" s="38"/>
      <c r="L649" s="38"/>
      <c r="M649" s="38"/>
      <c r="N649" s="38"/>
      <c r="O649" s="38"/>
    </row>
    <row r="650" ht="12.0" customHeight="1">
      <c r="A650" s="111"/>
      <c r="F650" s="111"/>
      <c r="K650" s="38"/>
      <c r="L650" s="38"/>
      <c r="M650" s="38"/>
      <c r="N650" s="38"/>
      <c r="O650" s="38"/>
    </row>
    <row r="651" ht="12.0" customHeight="1">
      <c r="A651" s="111"/>
      <c r="F651" s="111"/>
      <c r="K651" s="38"/>
      <c r="L651" s="38"/>
      <c r="M651" s="38"/>
      <c r="N651" s="38"/>
      <c r="O651" s="38"/>
    </row>
    <row r="652" ht="12.0" customHeight="1">
      <c r="A652" s="111"/>
      <c r="F652" s="111"/>
      <c r="K652" s="38"/>
      <c r="L652" s="38"/>
      <c r="M652" s="38"/>
      <c r="N652" s="38"/>
      <c r="O652" s="38"/>
    </row>
    <row r="653" ht="12.0" customHeight="1">
      <c r="A653" s="111"/>
      <c r="F653" s="111"/>
      <c r="K653" s="38"/>
      <c r="L653" s="38"/>
      <c r="M653" s="38"/>
      <c r="N653" s="38"/>
      <c r="O653" s="38"/>
    </row>
    <row r="654" ht="12.0" customHeight="1">
      <c r="A654" s="111"/>
      <c r="F654" s="111"/>
      <c r="K654" s="38"/>
      <c r="L654" s="38"/>
      <c r="M654" s="38"/>
      <c r="N654" s="38"/>
      <c r="O654" s="38"/>
    </row>
    <row r="655" ht="12.0" customHeight="1">
      <c r="A655" s="111"/>
      <c r="F655" s="111"/>
      <c r="K655" s="38"/>
      <c r="L655" s="38"/>
      <c r="M655" s="38"/>
      <c r="N655" s="38"/>
      <c r="O655" s="38"/>
    </row>
    <row r="656" ht="12.0" customHeight="1">
      <c r="A656" s="111"/>
      <c r="F656" s="111"/>
      <c r="K656" s="38"/>
      <c r="L656" s="38"/>
      <c r="M656" s="38"/>
      <c r="N656" s="38"/>
      <c r="O656" s="38"/>
    </row>
    <row r="657" ht="12.0" customHeight="1">
      <c r="A657" s="111"/>
      <c r="F657" s="111"/>
      <c r="K657" s="38"/>
      <c r="L657" s="38"/>
      <c r="M657" s="38"/>
      <c r="N657" s="38"/>
      <c r="O657" s="38"/>
    </row>
    <row r="658" ht="12.0" customHeight="1">
      <c r="A658" s="111"/>
      <c r="F658" s="111"/>
      <c r="K658" s="38"/>
      <c r="L658" s="38"/>
      <c r="M658" s="38"/>
      <c r="N658" s="38"/>
      <c r="O658" s="38"/>
    </row>
    <row r="659" ht="12.0" customHeight="1">
      <c r="A659" s="111"/>
      <c r="F659" s="111"/>
      <c r="K659" s="38"/>
      <c r="L659" s="38"/>
      <c r="M659" s="38"/>
      <c r="N659" s="38"/>
      <c r="O659" s="38"/>
    </row>
    <row r="660" ht="12.0" customHeight="1">
      <c r="A660" s="111"/>
      <c r="F660" s="111"/>
      <c r="K660" s="38"/>
      <c r="L660" s="38"/>
      <c r="M660" s="38"/>
      <c r="N660" s="38"/>
      <c r="O660" s="38"/>
    </row>
    <row r="661" ht="12.0" customHeight="1">
      <c r="A661" s="111"/>
      <c r="F661" s="111"/>
      <c r="K661" s="38"/>
      <c r="L661" s="38"/>
      <c r="M661" s="38"/>
      <c r="N661" s="38"/>
      <c r="O661" s="38"/>
    </row>
    <row r="662" ht="12.0" customHeight="1">
      <c r="A662" s="111"/>
      <c r="F662" s="111"/>
      <c r="K662" s="38"/>
      <c r="L662" s="38"/>
      <c r="M662" s="38"/>
      <c r="N662" s="38"/>
      <c r="O662" s="38"/>
    </row>
    <row r="663" ht="12.0" customHeight="1">
      <c r="A663" s="111"/>
      <c r="F663" s="111"/>
      <c r="K663" s="38"/>
      <c r="L663" s="38"/>
      <c r="M663" s="38"/>
      <c r="N663" s="38"/>
      <c r="O663" s="38"/>
    </row>
    <row r="664" ht="12.0" customHeight="1">
      <c r="A664" s="111"/>
      <c r="F664" s="111"/>
      <c r="K664" s="38"/>
      <c r="L664" s="38"/>
      <c r="M664" s="38"/>
      <c r="N664" s="38"/>
      <c r="O664" s="38"/>
    </row>
    <row r="665" ht="12.0" customHeight="1">
      <c r="A665" s="111"/>
      <c r="F665" s="111"/>
      <c r="K665" s="38"/>
      <c r="L665" s="38"/>
      <c r="M665" s="38"/>
      <c r="N665" s="38"/>
      <c r="O665" s="38"/>
    </row>
    <row r="666" ht="12.0" customHeight="1">
      <c r="A666" s="111"/>
      <c r="F666" s="111"/>
      <c r="K666" s="38"/>
      <c r="L666" s="38"/>
      <c r="M666" s="38"/>
      <c r="N666" s="38"/>
      <c r="O666" s="38"/>
    </row>
    <row r="667" ht="12.0" customHeight="1">
      <c r="A667" s="111"/>
      <c r="F667" s="111"/>
      <c r="K667" s="38"/>
      <c r="L667" s="38"/>
      <c r="M667" s="38"/>
      <c r="N667" s="38"/>
      <c r="O667" s="38"/>
    </row>
    <row r="668" ht="12.0" customHeight="1">
      <c r="A668" s="111"/>
      <c r="F668" s="111"/>
      <c r="K668" s="38"/>
      <c r="L668" s="38"/>
      <c r="M668" s="38"/>
      <c r="N668" s="38"/>
      <c r="O668" s="38"/>
    </row>
    <row r="669" ht="12.0" customHeight="1">
      <c r="A669" s="111"/>
      <c r="F669" s="111"/>
      <c r="K669" s="38"/>
      <c r="L669" s="38"/>
      <c r="M669" s="38"/>
      <c r="N669" s="38"/>
      <c r="O669" s="38"/>
    </row>
    <row r="670" ht="12.0" customHeight="1">
      <c r="A670" s="111"/>
      <c r="F670" s="111"/>
      <c r="K670" s="38"/>
      <c r="L670" s="38"/>
      <c r="M670" s="38"/>
      <c r="N670" s="38"/>
      <c r="O670" s="38"/>
    </row>
    <row r="671" ht="12.0" customHeight="1">
      <c r="A671" s="111"/>
      <c r="F671" s="111"/>
      <c r="K671" s="38"/>
      <c r="L671" s="38"/>
      <c r="M671" s="38"/>
      <c r="N671" s="38"/>
      <c r="O671" s="38"/>
    </row>
    <row r="672" ht="12.0" customHeight="1">
      <c r="A672" s="111"/>
      <c r="F672" s="111"/>
      <c r="K672" s="38"/>
      <c r="L672" s="38"/>
      <c r="M672" s="38"/>
      <c r="N672" s="38"/>
      <c r="O672" s="38"/>
    </row>
    <row r="673" ht="12.0" customHeight="1">
      <c r="A673" s="111"/>
      <c r="F673" s="111"/>
      <c r="K673" s="38"/>
      <c r="L673" s="38"/>
      <c r="M673" s="38"/>
      <c r="N673" s="38"/>
      <c r="O673" s="38"/>
    </row>
    <row r="674" ht="12.0" customHeight="1">
      <c r="A674" s="111"/>
      <c r="F674" s="111"/>
      <c r="K674" s="38"/>
      <c r="L674" s="38"/>
      <c r="M674" s="38"/>
      <c r="N674" s="38"/>
      <c r="O674" s="38"/>
    </row>
    <row r="675" ht="12.0" customHeight="1">
      <c r="A675" s="111"/>
      <c r="F675" s="111"/>
      <c r="K675" s="38"/>
      <c r="L675" s="38"/>
      <c r="M675" s="38"/>
      <c r="N675" s="38"/>
      <c r="O675" s="38"/>
    </row>
    <row r="676" ht="12.0" customHeight="1">
      <c r="A676" s="111"/>
      <c r="F676" s="111"/>
      <c r="K676" s="38"/>
      <c r="L676" s="38"/>
      <c r="M676" s="38"/>
      <c r="N676" s="38"/>
      <c r="O676" s="38"/>
    </row>
    <row r="677" ht="12.0" customHeight="1">
      <c r="A677" s="111"/>
      <c r="F677" s="111"/>
      <c r="K677" s="38"/>
      <c r="L677" s="38"/>
      <c r="M677" s="38"/>
      <c r="N677" s="38"/>
      <c r="O677" s="38"/>
    </row>
    <row r="678" ht="12.0" customHeight="1">
      <c r="A678" s="111"/>
      <c r="F678" s="111"/>
      <c r="K678" s="38"/>
      <c r="L678" s="38"/>
      <c r="M678" s="38"/>
      <c r="N678" s="38"/>
      <c r="O678" s="38"/>
    </row>
    <row r="679" ht="12.0" customHeight="1">
      <c r="A679" s="111"/>
      <c r="F679" s="111"/>
      <c r="K679" s="38"/>
      <c r="L679" s="38"/>
      <c r="M679" s="38"/>
      <c r="N679" s="38"/>
      <c r="O679" s="38"/>
    </row>
    <row r="680" ht="12.0" customHeight="1">
      <c r="A680" s="111"/>
      <c r="F680" s="111"/>
      <c r="K680" s="38"/>
      <c r="L680" s="38"/>
      <c r="M680" s="38"/>
      <c r="N680" s="38"/>
      <c r="O680" s="38"/>
    </row>
    <row r="681" ht="12.0" customHeight="1">
      <c r="A681" s="111"/>
      <c r="F681" s="111"/>
      <c r="K681" s="38"/>
      <c r="L681" s="38"/>
      <c r="M681" s="38"/>
      <c r="N681" s="38"/>
      <c r="O681" s="38"/>
    </row>
    <row r="682" ht="12.0" customHeight="1">
      <c r="A682" s="111"/>
      <c r="F682" s="111"/>
      <c r="K682" s="38"/>
      <c r="L682" s="38"/>
      <c r="M682" s="38"/>
      <c r="N682" s="38"/>
      <c r="O682" s="38"/>
    </row>
    <row r="683" ht="12.0" customHeight="1">
      <c r="A683" s="111"/>
      <c r="F683" s="111"/>
      <c r="K683" s="38"/>
      <c r="L683" s="38"/>
      <c r="M683" s="38"/>
      <c r="N683" s="38"/>
      <c r="O683" s="38"/>
    </row>
    <row r="684" ht="12.0" customHeight="1">
      <c r="A684" s="111"/>
      <c r="F684" s="111"/>
      <c r="K684" s="38"/>
      <c r="L684" s="38"/>
      <c r="M684" s="38"/>
      <c r="N684" s="38"/>
      <c r="O684" s="38"/>
    </row>
    <row r="685" ht="12.0" customHeight="1">
      <c r="A685" s="111"/>
      <c r="F685" s="111"/>
      <c r="K685" s="38"/>
      <c r="L685" s="38"/>
      <c r="M685" s="38"/>
      <c r="N685" s="38"/>
      <c r="O685" s="38"/>
    </row>
    <row r="686" ht="12.0" customHeight="1">
      <c r="A686" s="111"/>
      <c r="F686" s="111"/>
      <c r="K686" s="38"/>
      <c r="L686" s="38"/>
      <c r="M686" s="38"/>
      <c r="N686" s="38"/>
      <c r="O686" s="38"/>
    </row>
    <row r="687" ht="12.0" customHeight="1">
      <c r="A687" s="111"/>
      <c r="F687" s="111"/>
      <c r="K687" s="38"/>
      <c r="L687" s="38"/>
      <c r="M687" s="38"/>
      <c r="N687" s="38"/>
      <c r="O687" s="38"/>
    </row>
    <row r="688" ht="12.0" customHeight="1">
      <c r="A688" s="111"/>
      <c r="F688" s="111"/>
      <c r="K688" s="38"/>
      <c r="L688" s="38"/>
      <c r="M688" s="38"/>
      <c r="N688" s="38"/>
      <c r="O688" s="38"/>
    </row>
    <row r="689" ht="12.0" customHeight="1">
      <c r="A689" s="111"/>
      <c r="F689" s="111"/>
      <c r="K689" s="38"/>
      <c r="L689" s="38"/>
      <c r="M689" s="38"/>
      <c r="N689" s="38"/>
      <c r="O689" s="38"/>
    </row>
    <row r="690" ht="12.0" customHeight="1">
      <c r="A690" s="111"/>
      <c r="F690" s="111"/>
      <c r="K690" s="38"/>
      <c r="L690" s="38"/>
      <c r="M690" s="38"/>
      <c r="N690" s="38"/>
      <c r="O690" s="38"/>
    </row>
    <row r="691" ht="12.0" customHeight="1">
      <c r="A691" s="111"/>
      <c r="F691" s="111"/>
      <c r="K691" s="38"/>
      <c r="L691" s="38"/>
      <c r="M691" s="38"/>
      <c r="N691" s="38"/>
      <c r="O691" s="38"/>
    </row>
    <row r="692" ht="12.0" customHeight="1">
      <c r="A692" s="111"/>
      <c r="F692" s="111"/>
      <c r="K692" s="38"/>
      <c r="L692" s="38"/>
      <c r="M692" s="38"/>
      <c r="N692" s="38"/>
      <c r="O692" s="38"/>
    </row>
    <row r="693" ht="12.0" customHeight="1">
      <c r="A693" s="111"/>
      <c r="F693" s="111"/>
      <c r="K693" s="38"/>
      <c r="L693" s="38"/>
      <c r="M693" s="38"/>
      <c r="N693" s="38"/>
      <c r="O693" s="38"/>
    </row>
    <row r="694" ht="12.0" customHeight="1">
      <c r="A694" s="111"/>
      <c r="F694" s="111"/>
      <c r="K694" s="38"/>
      <c r="L694" s="38"/>
      <c r="M694" s="38"/>
      <c r="N694" s="38"/>
      <c r="O694" s="38"/>
    </row>
    <row r="695" ht="12.0" customHeight="1">
      <c r="A695" s="111"/>
      <c r="F695" s="111"/>
      <c r="K695" s="38"/>
      <c r="L695" s="38"/>
      <c r="M695" s="38"/>
      <c r="N695" s="38"/>
      <c r="O695" s="38"/>
    </row>
    <row r="696" ht="12.0" customHeight="1">
      <c r="A696" s="111"/>
      <c r="F696" s="111"/>
      <c r="K696" s="38"/>
      <c r="L696" s="38"/>
      <c r="M696" s="38"/>
      <c r="N696" s="38"/>
      <c r="O696" s="38"/>
    </row>
    <row r="697" ht="12.0" customHeight="1">
      <c r="A697" s="111"/>
      <c r="F697" s="111"/>
      <c r="K697" s="38"/>
      <c r="L697" s="38"/>
      <c r="M697" s="38"/>
      <c r="N697" s="38"/>
      <c r="O697" s="38"/>
    </row>
    <row r="698" ht="12.0" customHeight="1">
      <c r="A698" s="111"/>
      <c r="F698" s="111"/>
      <c r="K698" s="38"/>
      <c r="L698" s="38"/>
      <c r="M698" s="38"/>
      <c r="N698" s="38"/>
      <c r="O698" s="38"/>
    </row>
    <row r="699" ht="12.0" customHeight="1">
      <c r="A699" s="111"/>
      <c r="F699" s="111"/>
      <c r="K699" s="38"/>
      <c r="L699" s="38"/>
      <c r="M699" s="38"/>
      <c r="N699" s="38"/>
      <c r="O699" s="38"/>
    </row>
    <row r="700" ht="12.0" customHeight="1">
      <c r="A700" s="111"/>
      <c r="F700" s="111"/>
      <c r="K700" s="38"/>
      <c r="L700" s="38"/>
      <c r="M700" s="38"/>
      <c r="N700" s="38"/>
      <c r="O700" s="38"/>
    </row>
    <row r="701" ht="12.0" customHeight="1">
      <c r="A701" s="111"/>
      <c r="F701" s="111"/>
      <c r="K701" s="38"/>
      <c r="L701" s="38"/>
      <c r="M701" s="38"/>
      <c r="N701" s="38"/>
      <c r="O701" s="38"/>
    </row>
    <row r="702" ht="12.0" customHeight="1">
      <c r="A702" s="111"/>
      <c r="F702" s="111"/>
      <c r="K702" s="38"/>
      <c r="L702" s="38"/>
      <c r="M702" s="38"/>
      <c r="N702" s="38"/>
      <c r="O702" s="38"/>
    </row>
    <row r="703" ht="12.0" customHeight="1">
      <c r="A703" s="111"/>
      <c r="F703" s="111"/>
      <c r="K703" s="38"/>
      <c r="L703" s="38"/>
      <c r="M703" s="38"/>
      <c r="N703" s="38"/>
      <c r="O703" s="38"/>
    </row>
    <row r="704" ht="12.0" customHeight="1">
      <c r="A704" s="111"/>
      <c r="F704" s="111"/>
      <c r="K704" s="38"/>
      <c r="L704" s="38"/>
      <c r="M704" s="38"/>
      <c r="N704" s="38"/>
      <c r="O704" s="38"/>
    </row>
    <row r="705" ht="12.0" customHeight="1">
      <c r="A705" s="111"/>
      <c r="F705" s="111"/>
      <c r="K705" s="38"/>
      <c r="L705" s="38"/>
      <c r="M705" s="38"/>
      <c r="N705" s="38"/>
      <c r="O705" s="38"/>
    </row>
    <row r="706" ht="12.0" customHeight="1">
      <c r="A706" s="111"/>
      <c r="F706" s="111"/>
      <c r="K706" s="38"/>
      <c r="L706" s="38"/>
      <c r="M706" s="38"/>
      <c r="N706" s="38"/>
      <c r="O706" s="38"/>
    </row>
    <row r="707" ht="12.0" customHeight="1">
      <c r="A707" s="111"/>
      <c r="F707" s="111"/>
      <c r="K707" s="38"/>
      <c r="L707" s="38"/>
      <c r="M707" s="38"/>
      <c r="N707" s="38"/>
      <c r="O707" s="38"/>
    </row>
    <row r="708" ht="12.0" customHeight="1">
      <c r="A708" s="111"/>
      <c r="F708" s="111"/>
      <c r="K708" s="38"/>
      <c r="L708" s="38"/>
      <c r="M708" s="38"/>
      <c r="N708" s="38"/>
      <c r="O708" s="38"/>
    </row>
    <row r="709" ht="12.0" customHeight="1">
      <c r="A709" s="111"/>
      <c r="F709" s="111"/>
      <c r="K709" s="38"/>
      <c r="L709" s="38"/>
      <c r="M709" s="38"/>
      <c r="N709" s="38"/>
      <c r="O709" s="38"/>
    </row>
    <row r="710" ht="12.0" customHeight="1">
      <c r="A710" s="111"/>
      <c r="F710" s="111"/>
      <c r="K710" s="38"/>
      <c r="L710" s="38"/>
      <c r="M710" s="38"/>
      <c r="N710" s="38"/>
      <c r="O710" s="38"/>
    </row>
    <row r="711" ht="12.0" customHeight="1">
      <c r="A711" s="111"/>
      <c r="F711" s="111"/>
      <c r="K711" s="38"/>
      <c r="L711" s="38"/>
      <c r="M711" s="38"/>
      <c r="N711" s="38"/>
      <c r="O711" s="38"/>
    </row>
    <row r="712" ht="12.0" customHeight="1">
      <c r="A712" s="111"/>
      <c r="F712" s="111"/>
      <c r="K712" s="38"/>
      <c r="L712" s="38"/>
      <c r="M712" s="38"/>
      <c r="N712" s="38"/>
      <c r="O712" s="38"/>
    </row>
    <row r="713" ht="12.0" customHeight="1">
      <c r="A713" s="111"/>
      <c r="F713" s="111"/>
      <c r="K713" s="38"/>
      <c r="L713" s="38"/>
      <c r="M713" s="38"/>
      <c r="N713" s="38"/>
      <c r="O713" s="38"/>
    </row>
    <row r="714" ht="12.0" customHeight="1">
      <c r="A714" s="111"/>
      <c r="F714" s="111"/>
      <c r="K714" s="38"/>
      <c r="L714" s="38"/>
      <c r="M714" s="38"/>
      <c r="N714" s="38"/>
      <c r="O714" s="38"/>
    </row>
    <row r="715" ht="12.0" customHeight="1">
      <c r="A715" s="111"/>
      <c r="F715" s="111"/>
      <c r="K715" s="38"/>
      <c r="L715" s="38"/>
      <c r="M715" s="38"/>
      <c r="N715" s="38"/>
      <c r="O715" s="38"/>
    </row>
    <row r="716" ht="12.0" customHeight="1">
      <c r="A716" s="111"/>
      <c r="F716" s="111"/>
      <c r="K716" s="38"/>
      <c r="L716" s="38"/>
      <c r="M716" s="38"/>
      <c r="N716" s="38"/>
      <c r="O716" s="38"/>
    </row>
    <row r="717" ht="12.0" customHeight="1">
      <c r="A717" s="111"/>
      <c r="F717" s="111"/>
      <c r="K717" s="38"/>
      <c r="L717" s="38"/>
      <c r="M717" s="38"/>
      <c r="N717" s="38"/>
      <c r="O717" s="38"/>
    </row>
    <row r="718" ht="12.0" customHeight="1">
      <c r="A718" s="111"/>
      <c r="F718" s="111"/>
      <c r="K718" s="38"/>
      <c r="L718" s="38"/>
      <c r="M718" s="38"/>
      <c r="N718" s="38"/>
      <c r="O718" s="38"/>
    </row>
    <row r="719" ht="12.0" customHeight="1">
      <c r="A719" s="111"/>
      <c r="F719" s="111"/>
      <c r="K719" s="38"/>
      <c r="L719" s="38"/>
      <c r="M719" s="38"/>
      <c r="N719" s="38"/>
      <c r="O719" s="38"/>
    </row>
    <row r="720" ht="12.0" customHeight="1">
      <c r="A720" s="111"/>
      <c r="F720" s="111"/>
      <c r="K720" s="38"/>
      <c r="L720" s="38"/>
      <c r="M720" s="38"/>
      <c r="N720" s="38"/>
      <c r="O720" s="38"/>
    </row>
    <row r="721" ht="12.0" customHeight="1">
      <c r="A721" s="111"/>
      <c r="F721" s="111"/>
      <c r="K721" s="38"/>
      <c r="L721" s="38"/>
      <c r="M721" s="38"/>
      <c r="N721" s="38"/>
      <c r="O721" s="38"/>
    </row>
    <row r="722" ht="12.0" customHeight="1">
      <c r="A722" s="111"/>
      <c r="F722" s="111"/>
      <c r="K722" s="38"/>
      <c r="L722" s="38"/>
      <c r="M722" s="38"/>
      <c r="N722" s="38"/>
      <c r="O722" s="38"/>
    </row>
    <row r="723" ht="12.0" customHeight="1">
      <c r="A723" s="111"/>
      <c r="F723" s="111"/>
      <c r="K723" s="38"/>
      <c r="L723" s="38"/>
      <c r="M723" s="38"/>
      <c r="N723" s="38"/>
      <c r="O723" s="38"/>
    </row>
    <row r="724" ht="12.0" customHeight="1">
      <c r="A724" s="111"/>
      <c r="F724" s="111"/>
      <c r="K724" s="38"/>
      <c r="L724" s="38"/>
      <c r="M724" s="38"/>
      <c r="N724" s="38"/>
      <c r="O724" s="38"/>
    </row>
    <row r="725" ht="12.0" customHeight="1">
      <c r="A725" s="111"/>
      <c r="F725" s="111"/>
      <c r="K725" s="38"/>
      <c r="L725" s="38"/>
      <c r="M725" s="38"/>
      <c r="N725" s="38"/>
      <c r="O725" s="38"/>
    </row>
    <row r="726" ht="12.0" customHeight="1">
      <c r="A726" s="111"/>
      <c r="F726" s="111"/>
      <c r="K726" s="38"/>
      <c r="L726" s="38"/>
      <c r="M726" s="38"/>
      <c r="N726" s="38"/>
      <c r="O726" s="38"/>
    </row>
    <row r="727" ht="12.0" customHeight="1">
      <c r="A727" s="111"/>
      <c r="F727" s="111"/>
      <c r="K727" s="38"/>
      <c r="L727" s="38"/>
      <c r="M727" s="38"/>
      <c r="N727" s="38"/>
      <c r="O727" s="38"/>
    </row>
    <row r="728" ht="12.0" customHeight="1">
      <c r="A728" s="111"/>
      <c r="F728" s="111"/>
      <c r="K728" s="38"/>
      <c r="L728" s="38"/>
      <c r="M728" s="38"/>
      <c r="N728" s="38"/>
      <c r="O728" s="38"/>
    </row>
    <row r="729" ht="12.0" customHeight="1">
      <c r="A729" s="111"/>
      <c r="F729" s="111"/>
      <c r="K729" s="38"/>
      <c r="L729" s="38"/>
      <c r="M729" s="38"/>
      <c r="N729" s="38"/>
      <c r="O729" s="38"/>
    </row>
    <row r="730" ht="12.0" customHeight="1">
      <c r="A730" s="111"/>
      <c r="F730" s="111"/>
      <c r="K730" s="38"/>
      <c r="L730" s="38"/>
      <c r="M730" s="38"/>
      <c r="N730" s="38"/>
      <c r="O730" s="38"/>
    </row>
    <row r="731" ht="12.0" customHeight="1">
      <c r="A731" s="111"/>
      <c r="F731" s="111"/>
      <c r="K731" s="38"/>
      <c r="L731" s="38"/>
      <c r="M731" s="38"/>
      <c r="N731" s="38"/>
      <c r="O731" s="38"/>
    </row>
    <row r="732" ht="12.0" customHeight="1">
      <c r="A732" s="111"/>
      <c r="F732" s="111"/>
      <c r="K732" s="38"/>
      <c r="L732" s="38"/>
      <c r="M732" s="38"/>
      <c r="N732" s="38"/>
      <c r="O732" s="38"/>
    </row>
    <row r="733" ht="12.0" customHeight="1">
      <c r="A733" s="111"/>
      <c r="F733" s="111"/>
      <c r="K733" s="38"/>
      <c r="L733" s="38"/>
      <c r="M733" s="38"/>
      <c r="N733" s="38"/>
      <c r="O733" s="38"/>
    </row>
    <row r="734" ht="12.0" customHeight="1">
      <c r="A734" s="111"/>
      <c r="F734" s="111"/>
      <c r="K734" s="38"/>
      <c r="L734" s="38"/>
      <c r="M734" s="38"/>
      <c r="N734" s="38"/>
      <c r="O734" s="38"/>
    </row>
    <row r="735" ht="12.0" customHeight="1">
      <c r="A735" s="111"/>
      <c r="F735" s="111"/>
      <c r="K735" s="38"/>
      <c r="L735" s="38"/>
      <c r="M735" s="38"/>
      <c r="N735" s="38"/>
      <c r="O735" s="38"/>
    </row>
    <row r="736" ht="12.0" customHeight="1">
      <c r="A736" s="111"/>
      <c r="F736" s="111"/>
      <c r="K736" s="38"/>
      <c r="L736" s="38"/>
      <c r="M736" s="38"/>
      <c r="N736" s="38"/>
      <c r="O736" s="38"/>
    </row>
    <row r="737" ht="12.0" customHeight="1">
      <c r="A737" s="111"/>
      <c r="F737" s="111"/>
      <c r="K737" s="38"/>
      <c r="L737" s="38"/>
      <c r="M737" s="38"/>
      <c r="N737" s="38"/>
      <c r="O737" s="38"/>
    </row>
    <row r="738" ht="12.0" customHeight="1">
      <c r="A738" s="111"/>
      <c r="F738" s="111"/>
      <c r="K738" s="38"/>
      <c r="L738" s="38"/>
      <c r="M738" s="38"/>
      <c r="N738" s="38"/>
      <c r="O738" s="38"/>
    </row>
    <row r="739" ht="12.0" customHeight="1">
      <c r="A739" s="111"/>
      <c r="F739" s="111"/>
      <c r="K739" s="38"/>
      <c r="L739" s="38"/>
      <c r="M739" s="38"/>
      <c r="N739" s="38"/>
      <c r="O739" s="38"/>
    </row>
    <row r="740" ht="12.0" customHeight="1">
      <c r="A740" s="111"/>
      <c r="F740" s="111"/>
      <c r="K740" s="38"/>
      <c r="L740" s="38"/>
      <c r="M740" s="38"/>
      <c r="N740" s="38"/>
      <c r="O740" s="38"/>
    </row>
    <row r="741" ht="12.0" customHeight="1">
      <c r="A741" s="111"/>
      <c r="F741" s="111"/>
      <c r="K741" s="38"/>
      <c r="L741" s="38"/>
      <c r="M741" s="38"/>
      <c r="N741" s="38"/>
      <c r="O741" s="38"/>
    </row>
    <row r="742" ht="12.0" customHeight="1">
      <c r="A742" s="111"/>
      <c r="F742" s="111"/>
      <c r="K742" s="38"/>
      <c r="L742" s="38"/>
      <c r="M742" s="38"/>
      <c r="N742" s="38"/>
      <c r="O742" s="38"/>
    </row>
    <row r="743" ht="12.0" customHeight="1">
      <c r="A743" s="111"/>
      <c r="F743" s="111"/>
      <c r="K743" s="38"/>
      <c r="L743" s="38"/>
      <c r="M743" s="38"/>
      <c r="N743" s="38"/>
      <c r="O743" s="38"/>
    </row>
    <row r="744" ht="12.0" customHeight="1">
      <c r="A744" s="111"/>
      <c r="F744" s="111"/>
      <c r="K744" s="38"/>
      <c r="L744" s="38"/>
      <c r="M744" s="38"/>
      <c r="N744" s="38"/>
      <c r="O744" s="38"/>
    </row>
    <row r="745" ht="12.0" customHeight="1">
      <c r="A745" s="111"/>
      <c r="F745" s="111"/>
      <c r="K745" s="38"/>
      <c r="L745" s="38"/>
      <c r="M745" s="38"/>
      <c r="N745" s="38"/>
      <c r="O745" s="38"/>
    </row>
    <row r="746" ht="12.0" customHeight="1">
      <c r="A746" s="111"/>
      <c r="F746" s="111"/>
      <c r="K746" s="38"/>
      <c r="L746" s="38"/>
      <c r="M746" s="38"/>
      <c r="N746" s="38"/>
      <c r="O746" s="38"/>
    </row>
    <row r="747" ht="12.0" customHeight="1">
      <c r="A747" s="111"/>
      <c r="F747" s="111"/>
      <c r="K747" s="38"/>
      <c r="L747" s="38"/>
      <c r="M747" s="38"/>
      <c r="N747" s="38"/>
      <c r="O747" s="38"/>
    </row>
    <row r="748" ht="12.0" customHeight="1">
      <c r="A748" s="111"/>
      <c r="F748" s="111"/>
      <c r="K748" s="38"/>
      <c r="L748" s="38"/>
      <c r="M748" s="38"/>
      <c r="N748" s="38"/>
      <c r="O748" s="38"/>
    </row>
    <row r="749" ht="12.0" customHeight="1">
      <c r="A749" s="111"/>
      <c r="F749" s="111"/>
      <c r="K749" s="38"/>
      <c r="L749" s="38"/>
      <c r="M749" s="38"/>
      <c r="N749" s="38"/>
      <c r="O749" s="38"/>
    </row>
    <row r="750" ht="12.0" customHeight="1">
      <c r="A750" s="111"/>
      <c r="F750" s="111"/>
      <c r="K750" s="38"/>
      <c r="L750" s="38"/>
      <c r="M750" s="38"/>
      <c r="N750" s="38"/>
      <c r="O750" s="38"/>
    </row>
    <row r="751" ht="12.0" customHeight="1">
      <c r="A751" s="111"/>
      <c r="F751" s="111"/>
      <c r="K751" s="38"/>
      <c r="L751" s="38"/>
      <c r="M751" s="38"/>
      <c r="N751" s="38"/>
      <c r="O751" s="38"/>
    </row>
    <row r="752" ht="12.0" customHeight="1">
      <c r="A752" s="111"/>
      <c r="F752" s="111"/>
      <c r="K752" s="38"/>
      <c r="L752" s="38"/>
      <c r="M752" s="38"/>
      <c r="N752" s="38"/>
      <c r="O752" s="38"/>
    </row>
    <row r="753" ht="12.0" customHeight="1">
      <c r="A753" s="111"/>
      <c r="F753" s="111"/>
      <c r="K753" s="38"/>
      <c r="L753" s="38"/>
      <c r="M753" s="38"/>
      <c r="N753" s="38"/>
      <c r="O753" s="38"/>
    </row>
    <row r="754" ht="12.0" customHeight="1">
      <c r="A754" s="111"/>
      <c r="F754" s="111"/>
      <c r="K754" s="38"/>
      <c r="L754" s="38"/>
      <c r="M754" s="38"/>
      <c r="N754" s="38"/>
      <c r="O754" s="38"/>
    </row>
    <row r="755" ht="12.0" customHeight="1">
      <c r="A755" s="111"/>
      <c r="F755" s="111"/>
      <c r="K755" s="38"/>
      <c r="L755" s="38"/>
      <c r="M755" s="38"/>
      <c r="N755" s="38"/>
      <c r="O755" s="38"/>
    </row>
    <row r="756" ht="12.0" customHeight="1">
      <c r="A756" s="111"/>
      <c r="F756" s="111"/>
      <c r="K756" s="38"/>
      <c r="L756" s="38"/>
      <c r="M756" s="38"/>
      <c r="N756" s="38"/>
      <c r="O756" s="38"/>
    </row>
    <row r="757" ht="12.0" customHeight="1">
      <c r="A757" s="111"/>
      <c r="F757" s="111"/>
      <c r="K757" s="38"/>
      <c r="L757" s="38"/>
      <c r="M757" s="38"/>
      <c r="N757" s="38"/>
      <c r="O757" s="38"/>
    </row>
    <row r="758" ht="12.0" customHeight="1">
      <c r="A758" s="111"/>
      <c r="F758" s="111"/>
      <c r="K758" s="38"/>
      <c r="L758" s="38"/>
      <c r="M758" s="38"/>
      <c r="N758" s="38"/>
      <c r="O758" s="38"/>
    </row>
    <row r="759" ht="12.0" customHeight="1">
      <c r="A759" s="111"/>
      <c r="F759" s="111"/>
      <c r="K759" s="38"/>
      <c r="L759" s="38"/>
      <c r="M759" s="38"/>
      <c r="N759" s="38"/>
      <c r="O759" s="38"/>
    </row>
    <row r="760" ht="12.0" customHeight="1">
      <c r="A760" s="111"/>
      <c r="F760" s="111"/>
      <c r="K760" s="38"/>
      <c r="L760" s="38"/>
      <c r="M760" s="38"/>
      <c r="N760" s="38"/>
      <c r="O760" s="38"/>
    </row>
    <row r="761" ht="12.0" customHeight="1">
      <c r="A761" s="111"/>
      <c r="F761" s="111"/>
      <c r="K761" s="38"/>
      <c r="L761" s="38"/>
      <c r="M761" s="38"/>
      <c r="N761" s="38"/>
      <c r="O761" s="38"/>
    </row>
    <row r="762" ht="12.0" customHeight="1">
      <c r="A762" s="111"/>
      <c r="F762" s="111"/>
      <c r="K762" s="38"/>
      <c r="L762" s="38"/>
      <c r="M762" s="38"/>
      <c r="N762" s="38"/>
      <c r="O762" s="38"/>
    </row>
    <row r="763" ht="12.0" customHeight="1">
      <c r="A763" s="111"/>
      <c r="F763" s="111"/>
      <c r="K763" s="38"/>
      <c r="L763" s="38"/>
      <c r="M763" s="38"/>
      <c r="N763" s="38"/>
      <c r="O763" s="38"/>
    </row>
    <row r="764" ht="12.0" customHeight="1">
      <c r="A764" s="111"/>
      <c r="F764" s="111"/>
      <c r="K764" s="38"/>
      <c r="L764" s="38"/>
      <c r="M764" s="38"/>
      <c r="N764" s="38"/>
      <c r="O764" s="38"/>
    </row>
    <row r="765" ht="12.0" customHeight="1">
      <c r="A765" s="111"/>
      <c r="F765" s="111"/>
      <c r="K765" s="38"/>
      <c r="L765" s="38"/>
      <c r="M765" s="38"/>
      <c r="N765" s="38"/>
      <c r="O765" s="38"/>
    </row>
    <row r="766" ht="12.0" customHeight="1">
      <c r="A766" s="111"/>
      <c r="F766" s="111"/>
      <c r="K766" s="38"/>
      <c r="L766" s="38"/>
      <c r="M766" s="38"/>
      <c r="N766" s="38"/>
      <c r="O766" s="38"/>
    </row>
    <row r="767" ht="12.0" customHeight="1">
      <c r="A767" s="111"/>
      <c r="F767" s="111"/>
      <c r="K767" s="38"/>
      <c r="L767" s="38"/>
      <c r="M767" s="38"/>
      <c r="N767" s="38"/>
      <c r="O767" s="38"/>
    </row>
    <row r="768" ht="12.0" customHeight="1">
      <c r="A768" s="111"/>
      <c r="F768" s="111"/>
      <c r="K768" s="38"/>
      <c r="L768" s="38"/>
      <c r="M768" s="38"/>
      <c r="N768" s="38"/>
      <c r="O768" s="38"/>
    </row>
    <row r="769" ht="12.0" customHeight="1">
      <c r="A769" s="111"/>
      <c r="F769" s="111"/>
      <c r="K769" s="38"/>
      <c r="L769" s="38"/>
      <c r="M769" s="38"/>
      <c r="N769" s="38"/>
      <c r="O769" s="38"/>
    </row>
    <row r="770" ht="12.0" customHeight="1">
      <c r="A770" s="111"/>
      <c r="F770" s="111"/>
      <c r="K770" s="38"/>
      <c r="L770" s="38"/>
      <c r="M770" s="38"/>
      <c r="N770" s="38"/>
      <c r="O770" s="38"/>
    </row>
    <row r="771" ht="12.0" customHeight="1">
      <c r="A771" s="111"/>
      <c r="F771" s="111"/>
      <c r="K771" s="38"/>
      <c r="L771" s="38"/>
      <c r="M771" s="38"/>
      <c r="N771" s="38"/>
      <c r="O771" s="38"/>
    </row>
    <row r="772" ht="12.0" customHeight="1">
      <c r="A772" s="111"/>
      <c r="F772" s="111"/>
      <c r="K772" s="38"/>
      <c r="L772" s="38"/>
      <c r="M772" s="38"/>
      <c r="N772" s="38"/>
      <c r="O772" s="38"/>
    </row>
    <row r="773" ht="12.0" customHeight="1">
      <c r="A773" s="111"/>
      <c r="F773" s="111"/>
      <c r="K773" s="38"/>
      <c r="L773" s="38"/>
      <c r="M773" s="38"/>
      <c r="N773" s="38"/>
      <c r="O773" s="38"/>
    </row>
    <row r="774" ht="12.0" customHeight="1">
      <c r="A774" s="111"/>
      <c r="F774" s="111"/>
      <c r="K774" s="38"/>
      <c r="L774" s="38"/>
      <c r="M774" s="38"/>
      <c r="N774" s="38"/>
      <c r="O774" s="38"/>
    </row>
    <row r="775" ht="12.0" customHeight="1">
      <c r="A775" s="111"/>
      <c r="F775" s="111"/>
      <c r="K775" s="38"/>
      <c r="L775" s="38"/>
      <c r="M775" s="38"/>
      <c r="N775" s="38"/>
      <c r="O775" s="38"/>
    </row>
    <row r="776" ht="12.0" customHeight="1">
      <c r="A776" s="111"/>
      <c r="F776" s="111"/>
      <c r="K776" s="38"/>
      <c r="L776" s="38"/>
      <c r="M776" s="38"/>
      <c r="N776" s="38"/>
      <c r="O776" s="38"/>
    </row>
    <row r="777" ht="12.0" customHeight="1">
      <c r="A777" s="111"/>
      <c r="F777" s="111"/>
      <c r="K777" s="38"/>
      <c r="L777" s="38"/>
      <c r="M777" s="38"/>
      <c r="N777" s="38"/>
      <c r="O777" s="38"/>
    </row>
    <row r="778" ht="12.0" customHeight="1">
      <c r="A778" s="111"/>
      <c r="F778" s="111"/>
      <c r="K778" s="38"/>
      <c r="L778" s="38"/>
      <c r="M778" s="38"/>
      <c r="N778" s="38"/>
      <c r="O778" s="38"/>
    </row>
    <row r="779" ht="12.0" customHeight="1">
      <c r="A779" s="111"/>
      <c r="F779" s="111"/>
      <c r="K779" s="38"/>
      <c r="L779" s="38"/>
      <c r="M779" s="38"/>
      <c r="N779" s="38"/>
      <c r="O779" s="38"/>
    </row>
    <row r="780" ht="12.0" customHeight="1">
      <c r="A780" s="111"/>
      <c r="F780" s="111"/>
      <c r="K780" s="38"/>
      <c r="L780" s="38"/>
      <c r="M780" s="38"/>
      <c r="N780" s="38"/>
      <c r="O780" s="38"/>
    </row>
    <row r="781" ht="12.0" customHeight="1">
      <c r="A781" s="111"/>
      <c r="F781" s="111"/>
      <c r="K781" s="38"/>
      <c r="L781" s="38"/>
      <c r="M781" s="38"/>
      <c r="N781" s="38"/>
      <c r="O781" s="38"/>
    </row>
    <row r="782" ht="12.0" customHeight="1">
      <c r="A782" s="111"/>
      <c r="F782" s="111"/>
      <c r="K782" s="38"/>
      <c r="L782" s="38"/>
      <c r="M782" s="38"/>
      <c r="N782" s="38"/>
      <c r="O782" s="38"/>
    </row>
    <row r="783" ht="12.0" customHeight="1">
      <c r="A783" s="111"/>
      <c r="F783" s="111"/>
      <c r="K783" s="38"/>
      <c r="L783" s="38"/>
      <c r="M783" s="38"/>
      <c r="N783" s="38"/>
      <c r="O783" s="38"/>
    </row>
    <row r="784" ht="12.0" customHeight="1">
      <c r="A784" s="111"/>
      <c r="F784" s="111"/>
      <c r="K784" s="38"/>
      <c r="L784" s="38"/>
      <c r="M784" s="38"/>
      <c r="N784" s="38"/>
      <c r="O784" s="38"/>
    </row>
    <row r="785" ht="12.0" customHeight="1">
      <c r="A785" s="111"/>
      <c r="F785" s="111"/>
      <c r="K785" s="38"/>
      <c r="L785" s="38"/>
      <c r="M785" s="38"/>
      <c r="N785" s="38"/>
      <c r="O785" s="38"/>
    </row>
    <row r="786" ht="12.0" customHeight="1">
      <c r="A786" s="111"/>
      <c r="F786" s="111"/>
      <c r="K786" s="38"/>
      <c r="L786" s="38"/>
      <c r="M786" s="38"/>
      <c r="N786" s="38"/>
      <c r="O786" s="38"/>
    </row>
    <row r="787" ht="12.0" customHeight="1">
      <c r="A787" s="111"/>
      <c r="F787" s="111"/>
      <c r="K787" s="38"/>
      <c r="L787" s="38"/>
      <c r="M787" s="38"/>
      <c r="N787" s="38"/>
      <c r="O787" s="38"/>
    </row>
    <row r="788" ht="12.0" customHeight="1">
      <c r="A788" s="111"/>
      <c r="F788" s="111"/>
      <c r="K788" s="38"/>
      <c r="L788" s="38"/>
      <c r="M788" s="38"/>
      <c r="N788" s="38"/>
      <c r="O788" s="38"/>
    </row>
    <row r="789" ht="12.0" customHeight="1">
      <c r="A789" s="111"/>
      <c r="F789" s="111"/>
      <c r="K789" s="38"/>
      <c r="L789" s="38"/>
      <c r="M789" s="38"/>
      <c r="N789" s="38"/>
      <c r="O789" s="38"/>
    </row>
    <row r="790" ht="12.0" customHeight="1">
      <c r="A790" s="111"/>
      <c r="F790" s="111"/>
      <c r="K790" s="38"/>
      <c r="L790" s="38"/>
      <c r="M790" s="38"/>
      <c r="N790" s="38"/>
      <c r="O790" s="38"/>
    </row>
    <row r="791" ht="12.0" customHeight="1">
      <c r="A791" s="111"/>
      <c r="F791" s="111"/>
      <c r="K791" s="38"/>
      <c r="L791" s="38"/>
      <c r="M791" s="38"/>
      <c r="N791" s="38"/>
      <c r="O791" s="38"/>
    </row>
    <row r="792" ht="12.0" customHeight="1">
      <c r="A792" s="111"/>
      <c r="F792" s="111"/>
      <c r="K792" s="38"/>
      <c r="L792" s="38"/>
      <c r="M792" s="38"/>
      <c r="N792" s="38"/>
      <c r="O792" s="38"/>
    </row>
    <row r="793" ht="12.0" customHeight="1">
      <c r="A793" s="111"/>
      <c r="F793" s="111"/>
      <c r="K793" s="38"/>
      <c r="L793" s="38"/>
      <c r="M793" s="38"/>
      <c r="N793" s="38"/>
      <c r="O793" s="38"/>
    </row>
    <row r="794" ht="12.0" customHeight="1">
      <c r="A794" s="111"/>
      <c r="F794" s="111"/>
      <c r="K794" s="38"/>
      <c r="L794" s="38"/>
      <c r="M794" s="38"/>
      <c r="N794" s="38"/>
      <c r="O794" s="38"/>
    </row>
    <row r="795" ht="12.0" customHeight="1">
      <c r="A795" s="111"/>
      <c r="F795" s="111"/>
      <c r="K795" s="38"/>
      <c r="L795" s="38"/>
      <c r="M795" s="38"/>
      <c r="N795" s="38"/>
      <c r="O795" s="38"/>
    </row>
    <row r="796" ht="12.0" customHeight="1">
      <c r="A796" s="111"/>
      <c r="F796" s="111"/>
      <c r="K796" s="38"/>
      <c r="L796" s="38"/>
      <c r="M796" s="38"/>
      <c r="N796" s="38"/>
      <c r="O796" s="38"/>
    </row>
    <row r="797" ht="12.0" customHeight="1">
      <c r="A797" s="111"/>
      <c r="F797" s="111"/>
      <c r="K797" s="38"/>
      <c r="L797" s="38"/>
      <c r="M797" s="38"/>
      <c r="N797" s="38"/>
      <c r="O797" s="38"/>
    </row>
    <row r="798" ht="12.0" customHeight="1">
      <c r="A798" s="111"/>
      <c r="F798" s="111"/>
      <c r="K798" s="38"/>
      <c r="L798" s="38"/>
      <c r="M798" s="38"/>
      <c r="N798" s="38"/>
      <c r="O798" s="38"/>
    </row>
    <row r="799" ht="12.0" customHeight="1">
      <c r="A799" s="111"/>
      <c r="F799" s="111"/>
      <c r="K799" s="38"/>
      <c r="L799" s="38"/>
      <c r="M799" s="38"/>
      <c r="N799" s="38"/>
      <c r="O799" s="38"/>
    </row>
    <row r="800" ht="12.0" customHeight="1">
      <c r="A800" s="111"/>
      <c r="F800" s="111"/>
      <c r="K800" s="38"/>
      <c r="L800" s="38"/>
      <c r="M800" s="38"/>
      <c r="N800" s="38"/>
      <c r="O800" s="38"/>
    </row>
    <row r="801" ht="12.0" customHeight="1">
      <c r="A801" s="111"/>
      <c r="F801" s="111"/>
      <c r="K801" s="38"/>
      <c r="L801" s="38"/>
      <c r="M801" s="38"/>
      <c r="N801" s="38"/>
      <c r="O801" s="38"/>
    </row>
    <row r="802" ht="12.0" customHeight="1">
      <c r="A802" s="111"/>
      <c r="F802" s="111"/>
      <c r="K802" s="38"/>
      <c r="L802" s="38"/>
      <c r="M802" s="38"/>
      <c r="N802" s="38"/>
      <c r="O802" s="38"/>
    </row>
    <row r="803" ht="12.0" customHeight="1">
      <c r="A803" s="111"/>
      <c r="F803" s="111"/>
      <c r="K803" s="38"/>
      <c r="L803" s="38"/>
      <c r="M803" s="38"/>
      <c r="N803" s="38"/>
      <c r="O803" s="38"/>
    </row>
    <row r="804" ht="12.0" customHeight="1">
      <c r="A804" s="111"/>
      <c r="F804" s="111"/>
      <c r="K804" s="38"/>
      <c r="L804" s="38"/>
      <c r="M804" s="38"/>
      <c r="N804" s="38"/>
      <c r="O804" s="38"/>
    </row>
    <row r="805" ht="12.0" customHeight="1">
      <c r="A805" s="111"/>
      <c r="F805" s="111"/>
      <c r="K805" s="38"/>
      <c r="L805" s="38"/>
      <c r="M805" s="38"/>
      <c r="N805" s="38"/>
      <c r="O805" s="38"/>
    </row>
    <row r="806" ht="12.0" customHeight="1">
      <c r="A806" s="111"/>
      <c r="F806" s="111"/>
      <c r="K806" s="38"/>
      <c r="L806" s="38"/>
      <c r="M806" s="38"/>
      <c r="N806" s="38"/>
      <c r="O806" s="38"/>
    </row>
    <row r="807" ht="12.0" customHeight="1">
      <c r="A807" s="111"/>
      <c r="F807" s="111"/>
      <c r="K807" s="38"/>
      <c r="L807" s="38"/>
      <c r="M807" s="38"/>
      <c r="N807" s="38"/>
      <c r="O807" s="38"/>
    </row>
    <row r="808" ht="12.0" customHeight="1">
      <c r="A808" s="111"/>
      <c r="F808" s="111"/>
      <c r="K808" s="38"/>
      <c r="L808" s="38"/>
      <c r="M808" s="38"/>
      <c r="N808" s="38"/>
      <c r="O808" s="38"/>
    </row>
    <row r="809" ht="12.0" customHeight="1">
      <c r="A809" s="111"/>
      <c r="F809" s="111"/>
      <c r="K809" s="38"/>
      <c r="L809" s="38"/>
      <c r="M809" s="38"/>
      <c r="N809" s="38"/>
      <c r="O809" s="38"/>
    </row>
    <row r="810" ht="12.0" customHeight="1">
      <c r="A810" s="111"/>
      <c r="F810" s="111"/>
      <c r="K810" s="38"/>
      <c r="L810" s="38"/>
      <c r="M810" s="38"/>
      <c r="N810" s="38"/>
      <c r="O810" s="38"/>
    </row>
    <row r="811" ht="12.0" customHeight="1">
      <c r="A811" s="111"/>
      <c r="F811" s="111"/>
      <c r="K811" s="38"/>
      <c r="L811" s="38"/>
      <c r="M811" s="38"/>
      <c r="N811" s="38"/>
      <c r="O811" s="38"/>
    </row>
    <row r="812" ht="12.0" customHeight="1">
      <c r="A812" s="111"/>
      <c r="F812" s="111"/>
      <c r="K812" s="38"/>
      <c r="L812" s="38"/>
      <c r="M812" s="38"/>
      <c r="N812" s="38"/>
      <c r="O812" s="38"/>
    </row>
    <row r="813" ht="12.0" customHeight="1">
      <c r="A813" s="111"/>
      <c r="F813" s="111"/>
      <c r="K813" s="38"/>
      <c r="L813" s="38"/>
      <c r="M813" s="38"/>
      <c r="N813" s="38"/>
      <c r="O813" s="38"/>
    </row>
    <row r="814" ht="12.0" customHeight="1">
      <c r="A814" s="111"/>
      <c r="F814" s="111"/>
      <c r="K814" s="38"/>
      <c r="L814" s="38"/>
      <c r="M814" s="38"/>
      <c r="N814" s="38"/>
      <c r="O814" s="38"/>
    </row>
    <row r="815" ht="12.0" customHeight="1">
      <c r="A815" s="111"/>
      <c r="F815" s="111"/>
      <c r="K815" s="38"/>
      <c r="L815" s="38"/>
      <c r="M815" s="38"/>
      <c r="N815" s="38"/>
      <c r="O815" s="38"/>
    </row>
    <row r="816" ht="12.0" customHeight="1">
      <c r="A816" s="111"/>
      <c r="F816" s="111"/>
      <c r="K816" s="38"/>
      <c r="L816" s="38"/>
      <c r="M816" s="38"/>
      <c r="N816" s="38"/>
      <c r="O816" s="38"/>
    </row>
    <row r="817" ht="12.0" customHeight="1">
      <c r="A817" s="111"/>
      <c r="F817" s="111"/>
      <c r="K817" s="38"/>
      <c r="L817" s="38"/>
      <c r="M817" s="38"/>
      <c r="N817" s="38"/>
      <c r="O817" s="38"/>
    </row>
    <row r="818" ht="12.0" customHeight="1">
      <c r="A818" s="111"/>
      <c r="F818" s="111"/>
      <c r="K818" s="38"/>
      <c r="L818" s="38"/>
      <c r="M818" s="38"/>
      <c r="N818" s="38"/>
      <c r="O818" s="38"/>
    </row>
    <row r="819" ht="12.0" customHeight="1">
      <c r="A819" s="111"/>
      <c r="F819" s="111"/>
      <c r="K819" s="38"/>
      <c r="L819" s="38"/>
      <c r="M819" s="38"/>
      <c r="N819" s="38"/>
      <c r="O819" s="38"/>
    </row>
    <row r="820" ht="12.0" customHeight="1">
      <c r="A820" s="111"/>
      <c r="F820" s="111"/>
      <c r="K820" s="38"/>
      <c r="L820" s="38"/>
      <c r="M820" s="38"/>
      <c r="N820" s="38"/>
      <c r="O820" s="38"/>
    </row>
    <row r="821" ht="12.0" customHeight="1">
      <c r="A821" s="111"/>
      <c r="F821" s="111"/>
      <c r="K821" s="38"/>
      <c r="L821" s="38"/>
      <c r="M821" s="38"/>
      <c r="N821" s="38"/>
      <c r="O821" s="38"/>
    </row>
    <row r="822" ht="12.0" customHeight="1">
      <c r="A822" s="111"/>
      <c r="F822" s="111"/>
      <c r="K822" s="38"/>
      <c r="L822" s="38"/>
      <c r="M822" s="38"/>
      <c r="N822" s="38"/>
      <c r="O822" s="38"/>
    </row>
    <row r="823" ht="12.0" customHeight="1">
      <c r="A823" s="111"/>
      <c r="F823" s="111"/>
      <c r="K823" s="38"/>
      <c r="L823" s="38"/>
      <c r="M823" s="38"/>
      <c r="N823" s="38"/>
      <c r="O823" s="38"/>
    </row>
    <row r="824" ht="12.0" customHeight="1">
      <c r="A824" s="111"/>
      <c r="F824" s="111"/>
      <c r="K824" s="38"/>
      <c r="L824" s="38"/>
      <c r="M824" s="38"/>
      <c r="N824" s="38"/>
      <c r="O824" s="38"/>
    </row>
    <row r="825" ht="12.0" customHeight="1">
      <c r="A825" s="111"/>
      <c r="F825" s="111"/>
      <c r="K825" s="38"/>
      <c r="L825" s="38"/>
      <c r="M825" s="38"/>
      <c r="N825" s="38"/>
      <c r="O825" s="38"/>
    </row>
    <row r="826" ht="12.0" customHeight="1">
      <c r="A826" s="111"/>
      <c r="F826" s="111"/>
      <c r="K826" s="38"/>
      <c r="L826" s="38"/>
      <c r="M826" s="38"/>
      <c r="N826" s="38"/>
      <c r="O826" s="38"/>
    </row>
    <row r="827" ht="12.0" customHeight="1">
      <c r="A827" s="111"/>
      <c r="F827" s="111"/>
      <c r="K827" s="38"/>
      <c r="L827" s="38"/>
      <c r="M827" s="38"/>
      <c r="N827" s="38"/>
      <c r="O827" s="38"/>
    </row>
    <row r="828" ht="12.0" customHeight="1">
      <c r="A828" s="111"/>
      <c r="F828" s="111"/>
      <c r="K828" s="38"/>
      <c r="L828" s="38"/>
      <c r="M828" s="38"/>
      <c r="N828" s="38"/>
      <c r="O828" s="38"/>
    </row>
    <row r="829" ht="12.0" customHeight="1">
      <c r="A829" s="111"/>
      <c r="F829" s="111"/>
      <c r="K829" s="38"/>
      <c r="L829" s="38"/>
      <c r="M829" s="38"/>
      <c r="N829" s="38"/>
      <c r="O829" s="38"/>
    </row>
    <row r="830" ht="12.0" customHeight="1">
      <c r="A830" s="111"/>
      <c r="F830" s="111"/>
      <c r="K830" s="38"/>
      <c r="L830" s="38"/>
      <c r="M830" s="38"/>
      <c r="N830" s="38"/>
      <c r="O830" s="38"/>
    </row>
    <row r="831" ht="12.0" customHeight="1">
      <c r="A831" s="111"/>
      <c r="F831" s="111"/>
      <c r="K831" s="38"/>
      <c r="L831" s="38"/>
      <c r="M831" s="38"/>
      <c r="N831" s="38"/>
      <c r="O831" s="38"/>
    </row>
    <row r="832" ht="12.0" customHeight="1">
      <c r="A832" s="111"/>
      <c r="F832" s="111"/>
      <c r="K832" s="38"/>
      <c r="L832" s="38"/>
      <c r="M832" s="38"/>
      <c r="N832" s="38"/>
      <c r="O832" s="38"/>
    </row>
    <row r="833" ht="12.0" customHeight="1">
      <c r="A833" s="111"/>
      <c r="F833" s="111"/>
      <c r="K833" s="38"/>
      <c r="L833" s="38"/>
      <c r="M833" s="38"/>
      <c r="N833" s="38"/>
      <c r="O833" s="38"/>
    </row>
    <row r="834" ht="12.0" customHeight="1">
      <c r="A834" s="111"/>
      <c r="F834" s="111"/>
      <c r="K834" s="38"/>
      <c r="L834" s="38"/>
      <c r="M834" s="38"/>
      <c r="N834" s="38"/>
      <c r="O834" s="38"/>
    </row>
    <row r="835" ht="12.0" customHeight="1">
      <c r="A835" s="111"/>
      <c r="F835" s="111"/>
      <c r="K835" s="38"/>
      <c r="L835" s="38"/>
      <c r="M835" s="38"/>
      <c r="N835" s="38"/>
      <c r="O835" s="38"/>
    </row>
    <row r="836" ht="12.0" customHeight="1">
      <c r="A836" s="111"/>
      <c r="F836" s="111"/>
      <c r="K836" s="38"/>
      <c r="L836" s="38"/>
      <c r="M836" s="38"/>
      <c r="N836" s="38"/>
      <c r="O836" s="38"/>
    </row>
    <row r="837" ht="12.0" customHeight="1">
      <c r="A837" s="111"/>
      <c r="F837" s="111"/>
      <c r="K837" s="38"/>
      <c r="L837" s="38"/>
      <c r="M837" s="38"/>
      <c r="N837" s="38"/>
      <c r="O837" s="38"/>
    </row>
    <row r="838" ht="12.0" customHeight="1">
      <c r="A838" s="111"/>
      <c r="F838" s="111"/>
      <c r="K838" s="38"/>
      <c r="L838" s="38"/>
      <c r="M838" s="38"/>
      <c r="N838" s="38"/>
      <c r="O838" s="38"/>
    </row>
    <row r="839" ht="12.0" customHeight="1">
      <c r="A839" s="111"/>
      <c r="F839" s="111"/>
      <c r="K839" s="38"/>
      <c r="L839" s="38"/>
      <c r="M839" s="38"/>
      <c r="N839" s="38"/>
      <c r="O839" s="38"/>
    </row>
    <row r="840" ht="12.0" customHeight="1">
      <c r="A840" s="111"/>
      <c r="F840" s="111"/>
      <c r="K840" s="38"/>
      <c r="L840" s="38"/>
      <c r="M840" s="38"/>
      <c r="N840" s="38"/>
      <c r="O840" s="38"/>
    </row>
    <row r="841" ht="12.0" customHeight="1">
      <c r="A841" s="111"/>
      <c r="F841" s="111"/>
      <c r="K841" s="38"/>
      <c r="L841" s="38"/>
      <c r="M841" s="38"/>
      <c r="N841" s="38"/>
      <c r="O841" s="38"/>
    </row>
    <row r="842" ht="12.0" customHeight="1">
      <c r="A842" s="111"/>
      <c r="F842" s="111"/>
      <c r="K842" s="38"/>
      <c r="L842" s="38"/>
      <c r="M842" s="38"/>
      <c r="N842" s="38"/>
      <c r="O842" s="38"/>
    </row>
    <row r="843" ht="12.0" customHeight="1">
      <c r="A843" s="111"/>
      <c r="F843" s="111"/>
      <c r="K843" s="38"/>
      <c r="L843" s="38"/>
      <c r="M843" s="38"/>
      <c r="N843" s="38"/>
      <c r="O843" s="38"/>
    </row>
    <row r="844" ht="12.0" customHeight="1">
      <c r="A844" s="111"/>
      <c r="F844" s="111"/>
      <c r="K844" s="38"/>
      <c r="L844" s="38"/>
      <c r="M844" s="38"/>
      <c r="N844" s="38"/>
      <c r="O844" s="38"/>
    </row>
    <row r="845" ht="12.0" customHeight="1">
      <c r="A845" s="111"/>
      <c r="F845" s="111"/>
      <c r="K845" s="38"/>
      <c r="L845" s="38"/>
      <c r="M845" s="38"/>
      <c r="N845" s="38"/>
      <c r="O845" s="38"/>
    </row>
    <row r="846" ht="12.0" customHeight="1">
      <c r="A846" s="111"/>
      <c r="F846" s="111"/>
      <c r="K846" s="38"/>
      <c r="L846" s="38"/>
      <c r="M846" s="38"/>
      <c r="N846" s="38"/>
      <c r="O846" s="38"/>
    </row>
    <row r="847" ht="12.0" customHeight="1">
      <c r="A847" s="111"/>
      <c r="F847" s="111"/>
      <c r="K847" s="38"/>
      <c r="L847" s="38"/>
      <c r="M847" s="38"/>
      <c r="N847" s="38"/>
      <c r="O847" s="38"/>
    </row>
    <row r="848" ht="12.0" customHeight="1">
      <c r="A848" s="111"/>
      <c r="F848" s="111"/>
      <c r="K848" s="38"/>
      <c r="L848" s="38"/>
      <c r="M848" s="38"/>
      <c r="N848" s="38"/>
      <c r="O848" s="38"/>
    </row>
    <row r="849" ht="12.0" customHeight="1">
      <c r="A849" s="111"/>
      <c r="F849" s="111"/>
      <c r="K849" s="38"/>
      <c r="L849" s="38"/>
      <c r="M849" s="38"/>
      <c r="N849" s="38"/>
      <c r="O849" s="38"/>
    </row>
    <row r="850" ht="12.0" customHeight="1">
      <c r="A850" s="111"/>
      <c r="F850" s="111"/>
      <c r="K850" s="38"/>
      <c r="L850" s="38"/>
      <c r="M850" s="38"/>
      <c r="N850" s="38"/>
      <c r="O850" s="38"/>
    </row>
    <row r="851" ht="12.0" customHeight="1">
      <c r="A851" s="111"/>
      <c r="F851" s="111"/>
      <c r="K851" s="38"/>
      <c r="L851" s="38"/>
      <c r="M851" s="38"/>
      <c r="N851" s="38"/>
      <c r="O851" s="38"/>
    </row>
    <row r="852" ht="12.0" customHeight="1">
      <c r="A852" s="111"/>
      <c r="F852" s="111"/>
      <c r="K852" s="38"/>
      <c r="L852" s="38"/>
      <c r="M852" s="38"/>
      <c r="N852" s="38"/>
      <c r="O852" s="38"/>
    </row>
    <row r="853" ht="12.0" customHeight="1">
      <c r="A853" s="111"/>
      <c r="F853" s="111"/>
      <c r="K853" s="38"/>
      <c r="L853" s="38"/>
      <c r="M853" s="38"/>
      <c r="N853" s="38"/>
      <c r="O853" s="38"/>
    </row>
    <row r="854" ht="12.0" customHeight="1">
      <c r="A854" s="111"/>
      <c r="F854" s="111"/>
      <c r="K854" s="38"/>
      <c r="L854" s="38"/>
      <c r="M854" s="38"/>
      <c r="N854" s="38"/>
      <c r="O854" s="38"/>
    </row>
    <row r="855" ht="12.0" customHeight="1">
      <c r="A855" s="111"/>
      <c r="F855" s="111"/>
      <c r="K855" s="38"/>
      <c r="L855" s="38"/>
      <c r="M855" s="38"/>
      <c r="N855" s="38"/>
      <c r="O855" s="38"/>
    </row>
    <row r="856" ht="12.0" customHeight="1">
      <c r="A856" s="111"/>
      <c r="F856" s="111"/>
      <c r="K856" s="38"/>
      <c r="L856" s="38"/>
      <c r="M856" s="38"/>
      <c r="N856" s="38"/>
      <c r="O856" s="38"/>
    </row>
    <row r="857" ht="12.0" customHeight="1">
      <c r="A857" s="111"/>
      <c r="F857" s="111"/>
      <c r="K857" s="38"/>
      <c r="L857" s="38"/>
      <c r="M857" s="38"/>
      <c r="N857" s="38"/>
      <c r="O857" s="38"/>
    </row>
    <row r="858" ht="12.0" customHeight="1">
      <c r="A858" s="111"/>
      <c r="F858" s="111"/>
      <c r="K858" s="38"/>
      <c r="L858" s="38"/>
      <c r="M858" s="38"/>
      <c r="N858" s="38"/>
      <c r="O858" s="38"/>
    </row>
    <row r="859" ht="12.0" customHeight="1">
      <c r="A859" s="111"/>
      <c r="F859" s="111"/>
      <c r="K859" s="38"/>
      <c r="L859" s="38"/>
      <c r="M859" s="38"/>
      <c r="N859" s="38"/>
      <c r="O859" s="38"/>
    </row>
    <row r="860" ht="12.0" customHeight="1">
      <c r="A860" s="111"/>
      <c r="F860" s="111"/>
      <c r="K860" s="38"/>
      <c r="L860" s="38"/>
      <c r="M860" s="38"/>
      <c r="N860" s="38"/>
      <c r="O860" s="38"/>
    </row>
    <row r="861" ht="12.0" customHeight="1">
      <c r="A861" s="111"/>
      <c r="F861" s="111"/>
      <c r="K861" s="38"/>
      <c r="L861" s="38"/>
      <c r="M861" s="38"/>
      <c r="N861" s="38"/>
      <c r="O861" s="38"/>
    </row>
    <row r="862" ht="12.0" customHeight="1">
      <c r="A862" s="111"/>
      <c r="F862" s="111"/>
      <c r="K862" s="38"/>
      <c r="L862" s="38"/>
      <c r="M862" s="38"/>
      <c r="N862" s="38"/>
      <c r="O862" s="38"/>
    </row>
    <row r="863" ht="12.0" customHeight="1">
      <c r="A863" s="111"/>
      <c r="F863" s="111"/>
      <c r="K863" s="38"/>
      <c r="L863" s="38"/>
      <c r="M863" s="38"/>
      <c r="N863" s="38"/>
      <c r="O863" s="38"/>
    </row>
    <row r="864" ht="12.0" customHeight="1">
      <c r="A864" s="111"/>
      <c r="F864" s="111"/>
      <c r="K864" s="38"/>
      <c r="L864" s="38"/>
      <c r="M864" s="38"/>
      <c r="N864" s="38"/>
      <c r="O864" s="38"/>
    </row>
    <row r="865" ht="12.0" customHeight="1">
      <c r="A865" s="111"/>
      <c r="F865" s="111"/>
      <c r="K865" s="38"/>
      <c r="L865" s="38"/>
      <c r="M865" s="38"/>
      <c r="N865" s="38"/>
      <c r="O865" s="38"/>
    </row>
    <row r="866" ht="12.0" customHeight="1">
      <c r="A866" s="111"/>
      <c r="F866" s="111"/>
      <c r="K866" s="38"/>
      <c r="L866" s="38"/>
      <c r="M866" s="38"/>
      <c r="N866" s="38"/>
      <c r="O866" s="38"/>
    </row>
    <row r="867" ht="12.0" customHeight="1">
      <c r="A867" s="111"/>
      <c r="F867" s="111"/>
      <c r="K867" s="38"/>
      <c r="L867" s="38"/>
      <c r="M867" s="38"/>
      <c r="N867" s="38"/>
      <c r="O867" s="38"/>
    </row>
    <row r="868" ht="12.0" customHeight="1">
      <c r="A868" s="111"/>
      <c r="F868" s="111"/>
      <c r="K868" s="38"/>
      <c r="L868" s="38"/>
      <c r="M868" s="38"/>
      <c r="N868" s="38"/>
      <c r="O868" s="38"/>
    </row>
    <row r="869" ht="12.0" customHeight="1">
      <c r="A869" s="111"/>
      <c r="F869" s="111"/>
      <c r="K869" s="38"/>
      <c r="L869" s="38"/>
      <c r="M869" s="38"/>
      <c r="N869" s="38"/>
      <c r="O869" s="38"/>
    </row>
    <row r="870" ht="12.0" customHeight="1">
      <c r="A870" s="111"/>
      <c r="F870" s="111"/>
      <c r="K870" s="38"/>
      <c r="L870" s="38"/>
      <c r="M870" s="38"/>
      <c r="N870" s="38"/>
      <c r="O870" s="38"/>
    </row>
    <row r="871" ht="12.0" customHeight="1">
      <c r="A871" s="111"/>
      <c r="F871" s="111"/>
      <c r="K871" s="38"/>
      <c r="L871" s="38"/>
      <c r="M871" s="38"/>
      <c r="N871" s="38"/>
      <c r="O871" s="38"/>
    </row>
    <row r="872" ht="12.0" customHeight="1">
      <c r="A872" s="111"/>
      <c r="F872" s="111"/>
      <c r="K872" s="38"/>
      <c r="L872" s="38"/>
      <c r="M872" s="38"/>
      <c r="N872" s="38"/>
      <c r="O872" s="38"/>
    </row>
    <row r="873" ht="12.0" customHeight="1">
      <c r="A873" s="111"/>
      <c r="F873" s="111"/>
      <c r="K873" s="38"/>
      <c r="L873" s="38"/>
      <c r="M873" s="38"/>
      <c r="N873" s="38"/>
      <c r="O873" s="38"/>
    </row>
    <row r="874" ht="12.0" customHeight="1">
      <c r="A874" s="111"/>
      <c r="F874" s="111"/>
      <c r="K874" s="38"/>
      <c r="L874" s="38"/>
      <c r="M874" s="38"/>
      <c r="N874" s="38"/>
      <c r="O874" s="38"/>
    </row>
    <row r="875" ht="12.0" customHeight="1">
      <c r="A875" s="111"/>
      <c r="F875" s="111"/>
      <c r="K875" s="38"/>
      <c r="L875" s="38"/>
      <c r="M875" s="38"/>
      <c r="N875" s="38"/>
      <c r="O875" s="38"/>
    </row>
    <row r="876" ht="12.0" customHeight="1">
      <c r="A876" s="111"/>
      <c r="F876" s="111"/>
      <c r="K876" s="38"/>
      <c r="L876" s="38"/>
      <c r="M876" s="38"/>
      <c r="N876" s="38"/>
      <c r="O876" s="38"/>
    </row>
    <row r="877" ht="12.0" customHeight="1">
      <c r="A877" s="111"/>
      <c r="F877" s="111"/>
      <c r="K877" s="38"/>
      <c r="L877" s="38"/>
      <c r="M877" s="38"/>
      <c r="N877" s="38"/>
      <c r="O877" s="38"/>
    </row>
    <row r="878" ht="12.0" customHeight="1">
      <c r="A878" s="111"/>
      <c r="F878" s="111"/>
      <c r="K878" s="38"/>
      <c r="L878" s="38"/>
      <c r="M878" s="38"/>
      <c r="N878" s="38"/>
      <c r="O878" s="38"/>
    </row>
    <row r="879" ht="12.0" customHeight="1">
      <c r="A879" s="111"/>
      <c r="F879" s="111"/>
      <c r="K879" s="38"/>
      <c r="L879" s="38"/>
      <c r="M879" s="38"/>
      <c r="N879" s="38"/>
      <c r="O879" s="38"/>
    </row>
    <row r="880" ht="12.0" customHeight="1">
      <c r="A880" s="111"/>
      <c r="F880" s="111"/>
      <c r="K880" s="38"/>
      <c r="L880" s="38"/>
      <c r="M880" s="38"/>
      <c r="N880" s="38"/>
      <c r="O880" s="38"/>
    </row>
    <row r="881" ht="12.0" customHeight="1">
      <c r="A881" s="111"/>
      <c r="F881" s="111"/>
      <c r="K881" s="38"/>
      <c r="L881" s="38"/>
      <c r="M881" s="38"/>
      <c r="N881" s="38"/>
      <c r="O881" s="38"/>
    </row>
    <row r="882" ht="12.0" customHeight="1">
      <c r="A882" s="111"/>
      <c r="F882" s="111"/>
      <c r="K882" s="38"/>
      <c r="L882" s="38"/>
      <c r="M882" s="38"/>
      <c r="N882" s="38"/>
      <c r="O882" s="38"/>
    </row>
    <row r="883" ht="12.0" customHeight="1">
      <c r="A883" s="111"/>
      <c r="F883" s="111"/>
      <c r="K883" s="38"/>
      <c r="L883" s="38"/>
      <c r="M883" s="38"/>
      <c r="N883" s="38"/>
      <c r="O883" s="38"/>
    </row>
    <row r="884" ht="12.0" customHeight="1">
      <c r="A884" s="111"/>
      <c r="F884" s="111"/>
      <c r="K884" s="38"/>
      <c r="L884" s="38"/>
      <c r="M884" s="38"/>
      <c r="N884" s="38"/>
      <c r="O884" s="38"/>
    </row>
    <row r="885" ht="12.0" customHeight="1">
      <c r="A885" s="111"/>
      <c r="F885" s="111"/>
      <c r="K885" s="38"/>
      <c r="L885" s="38"/>
      <c r="M885" s="38"/>
      <c r="N885" s="38"/>
      <c r="O885" s="38"/>
    </row>
    <row r="886" ht="12.0" customHeight="1">
      <c r="A886" s="111"/>
      <c r="F886" s="111"/>
      <c r="K886" s="38"/>
      <c r="L886" s="38"/>
      <c r="M886" s="38"/>
      <c r="N886" s="38"/>
      <c r="O886" s="38"/>
    </row>
    <row r="887" ht="12.0" customHeight="1">
      <c r="A887" s="111"/>
      <c r="F887" s="111"/>
      <c r="K887" s="38"/>
      <c r="L887" s="38"/>
      <c r="M887" s="38"/>
      <c r="N887" s="38"/>
      <c r="O887" s="38"/>
    </row>
    <row r="888" ht="12.0" customHeight="1">
      <c r="A888" s="111"/>
      <c r="F888" s="111"/>
      <c r="K888" s="38"/>
      <c r="L888" s="38"/>
      <c r="M888" s="38"/>
      <c r="N888" s="38"/>
      <c r="O888" s="38"/>
    </row>
    <row r="889" ht="12.0" customHeight="1">
      <c r="A889" s="111"/>
      <c r="F889" s="111"/>
      <c r="K889" s="38"/>
      <c r="L889" s="38"/>
      <c r="M889" s="38"/>
      <c r="N889" s="38"/>
      <c r="O889" s="38"/>
    </row>
    <row r="890" ht="12.0" customHeight="1">
      <c r="A890" s="111"/>
      <c r="F890" s="111"/>
      <c r="K890" s="38"/>
      <c r="L890" s="38"/>
      <c r="M890" s="38"/>
      <c r="N890" s="38"/>
      <c r="O890" s="38"/>
    </row>
    <row r="891" ht="12.0" customHeight="1">
      <c r="A891" s="111"/>
      <c r="F891" s="111"/>
      <c r="K891" s="38"/>
      <c r="L891" s="38"/>
      <c r="M891" s="38"/>
      <c r="N891" s="38"/>
      <c r="O891" s="38"/>
    </row>
    <row r="892" ht="12.0" customHeight="1">
      <c r="A892" s="111"/>
      <c r="F892" s="111"/>
      <c r="K892" s="38"/>
      <c r="L892" s="38"/>
      <c r="M892" s="38"/>
      <c r="N892" s="38"/>
      <c r="O892" s="38"/>
    </row>
    <row r="893" ht="12.0" customHeight="1">
      <c r="A893" s="111"/>
      <c r="F893" s="111"/>
      <c r="K893" s="38"/>
      <c r="L893" s="38"/>
      <c r="M893" s="38"/>
      <c r="N893" s="38"/>
      <c r="O893" s="38"/>
    </row>
    <row r="894" ht="12.0" customHeight="1">
      <c r="A894" s="111"/>
      <c r="F894" s="111"/>
      <c r="K894" s="38"/>
      <c r="L894" s="38"/>
      <c r="M894" s="38"/>
      <c r="N894" s="38"/>
      <c r="O894" s="38"/>
    </row>
    <row r="895" ht="12.0" customHeight="1">
      <c r="A895" s="111"/>
      <c r="F895" s="111"/>
      <c r="K895" s="38"/>
      <c r="L895" s="38"/>
      <c r="M895" s="38"/>
      <c r="N895" s="38"/>
      <c r="O895" s="38"/>
    </row>
    <row r="896" ht="12.0" customHeight="1">
      <c r="A896" s="111"/>
      <c r="F896" s="111"/>
      <c r="K896" s="38"/>
      <c r="L896" s="38"/>
      <c r="M896" s="38"/>
      <c r="N896" s="38"/>
      <c r="O896" s="38"/>
    </row>
    <row r="897" ht="12.0" customHeight="1">
      <c r="A897" s="111"/>
      <c r="F897" s="111"/>
      <c r="K897" s="38"/>
      <c r="L897" s="38"/>
      <c r="M897" s="38"/>
      <c r="N897" s="38"/>
      <c r="O897" s="38"/>
    </row>
    <row r="898" ht="12.0" customHeight="1">
      <c r="A898" s="111"/>
      <c r="F898" s="111"/>
      <c r="K898" s="38"/>
      <c r="L898" s="38"/>
      <c r="M898" s="38"/>
      <c r="N898" s="38"/>
      <c r="O898" s="38"/>
    </row>
    <row r="899" ht="12.0" customHeight="1">
      <c r="A899" s="111"/>
      <c r="F899" s="111"/>
      <c r="K899" s="38"/>
      <c r="L899" s="38"/>
      <c r="M899" s="38"/>
      <c r="N899" s="38"/>
      <c r="O899" s="38"/>
    </row>
    <row r="900" ht="12.0" customHeight="1">
      <c r="A900" s="111"/>
      <c r="F900" s="111"/>
      <c r="K900" s="38"/>
      <c r="L900" s="38"/>
      <c r="M900" s="38"/>
      <c r="N900" s="38"/>
      <c r="O900" s="38"/>
    </row>
    <row r="901" ht="12.0" customHeight="1">
      <c r="A901" s="111"/>
      <c r="F901" s="111"/>
      <c r="K901" s="38"/>
      <c r="L901" s="38"/>
      <c r="M901" s="38"/>
      <c r="N901" s="38"/>
      <c r="O901" s="38"/>
    </row>
    <row r="902" ht="12.0" customHeight="1">
      <c r="A902" s="111"/>
      <c r="F902" s="111"/>
      <c r="K902" s="38"/>
      <c r="L902" s="38"/>
      <c r="M902" s="38"/>
      <c r="N902" s="38"/>
      <c r="O902" s="38"/>
    </row>
    <row r="903" ht="12.0" customHeight="1">
      <c r="A903" s="111"/>
      <c r="F903" s="111"/>
      <c r="K903" s="38"/>
      <c r="L903" s="38"/>
      <c r="M903" s="38"/>
      <c r="N903" s="38"/>
      <c r="O903" s="38"/>
    </row>
    <row r="904" ht="12.0" customHeight="1">
      <c r="A904" s="111"/>
      <c r="F904" s="111"/>
      <c r="K904" s="38"/>
      <c r="L904" s="38"/>
      <c r="M904" s="38"/>
      <c r="N904" s="38"/>
      <c r="O904" s="38"/>
    </row>
    <row r="905" ht="12.0" customHeight="1">
      <c r="A905" s="111"/>
      <c r="F905" s="111"/>
      <c r="K905" s="38"/>
      <c r="L905" s="38"/>
      <c r="M905" s="38"/>
      <c r="N905" s="38"/>
      <c r="O905" s="38"/>
    </row>
    <row r="906" ht="12.0" customHeight="1">
      <c r="A906" s="111"/>
      <c r="F906" s="111"/>
      <c r="K906" s="38"/>
      <c r="L906" s="38"/>
      <c r="M906" s="38"/>
      <c r="N906" s="38"/>
      <c r="O906" s="38"/>
    </row>
    <row r="907" ht="12.0" customHeight="1">
      <c r="A907" s="111"/>
      <c r="F907" s="111"/>
      <c r="K907" s="38"/>
      <c r="L907" s="38"/>
      <c r="M907" s="38"/>
      <c r="N907" s="38"/>
      <c r="O907" s="38"/>
    </row>
    <row r="908" ht="12.0" customHeight="1">
      <c r="A908" s="111"/>
      <c r="F908" s="111"/>
      <c r="K908" s="38"/>
      <c r="L908" s="38"/>
      <c r="M908" s="38"/>
      <c r="N908" s="38"/>
      <c r="O908" s="38"/>
    </row>
    <row r="909" ht="12.0" customHeight="1">
      <c r="A909" s="111"/>
      <c r="F909" s="111"/>
      <c r="K909" s="38"/>
      <c r="L909" s="38"/>
      <c r="M909" s="38"/>
      <c r="N909" s="38"/>
      <c r="O909" s="38"/>
    </row>
    <row r="910" ht="12.0" customHeight="1">
      <c r="A910" s="111"/>
      <c r="F910" s="111"/>
      <c r="K910" s="38"/>
      <c r="L910" s="38"/>
      <c r="M910" s="38"/>
      <c r="N910" s="38"/>
      <c r="O910" s="38"/>
    </row>
    <row r="911" ht="12.0" customHeight="1">
      <c r="A911" s="111"/>
      <c r="F911" s="111"/>
      <c r="K911" s="38"/>
      <c r="L911" s="38"/>
      <c r="M911" s="38"/>
      <c r="N911" s="38"/>
      <c r="O911" s="38"/>
    </row>
    <row r="912" ht="12.0" customHeight="1">
      <c r="A912" s="111"/>
      <c r="F912" s="111"/>
      <c r="K912" s="38"/>
      <c r="L912" s="38"/>
      <c r="M912" s="38"/>
      <c r="N912" s="38"/>
      <c r="O912" s="38"/>
    </row>
    <row r="913" ht="12.0" customHeight="1">
      <c r="A913" s="111"/>
      <c r="F913" s="111"/>
      <c r="K913" s="38"/>
      <c r="L913" s="38"/>
      <c r="M913" s="38"/>
      <c r="N913" s="38"/>
      <c r="O913" s="38"/>
    </row>
    <row r="914" ht="12.0" customHeight="1">
      <c r="A914" s="111"/>
      <c r="F914" s="111"/>
      <c r="K914" s="38"/>
      <c r="L914" s="38"/>
      <c r="M914" s="38"/>
      <c r="N914" s="38"/>
      <c r="O914" s="38"/>
    </row>
    <row r="915" ht="12.0" customHeight="1">
      <c r="A915" s="111"/>
      <c r="F915" s="111"/>
      <c r="K915" s="38"/>
      <c r="L915" s="38"/>
      <c r="M915" s="38"/>
      <c r="N915" s="38"/>
      <c r="O915" s="38"/>
    </row>
    <row r="916" ht="12.0" customHeight="1">
      <c r="A916" s="111"/>
      <c r="F916" s="111"/>
      <c r="K916" s="38"/>
      <c r="L916" s="38"/>
      <c r="M916" s="38"/>
      <c r="N916" s="38"/>
      <c r="O916" s="38"/>
    </row>
    <row r="917" ht="12.0" customHeight="1">
      <c r="A917" s="111"/>
      <c r="F917" s="111"/>
      <c r="K917" s="38"/>
      <c r="L917" s="38"/>
      <c r="M917" s="38"/>
      <c r="N917" s="38"/>
      <c r="O917" s="38"/>
    </row>
    <row r="918" ht="12.0" customHeight="1">
      <c r="A918" s="111"/>
      <c r="F918" s="111"/>
      <c r="K918" s="38"/>
      <c r="L918" s="38"/>
      <c r="M918" s="38"/>
      <c r="N918" s="38"/>
      <c r="O918" s="38"/>
    </row>
    <row r="919" ht="12.0" customHeight="1">
      <c r="A919" s="111"/>
      <c r="F919" s="111"/>
      <c r="K919" s="38"/>
      <c r="L919" s="38"/>
      <c r="M919" s="38"/>
      <c r="N919" s="38"/>
      <c r="O919" s="38"/>
    </row>
    <row r="920" ht="12.0" customHeight="1">
      <c r="A920" s="111"/>
      <c r="F920" s="111"/>
      <c r="K920" s="38"/>
      <c r="L920" s="38"/>
      <c r="M920" s="38"/>
      <c r="N920" s="38"/>
      <c r="O920" s="38"/>
    </row>
    <row r="921" ht="12.0" customHeight="1">
      <c r="A921" s="111"/>
      <c r="F921" s="111"/>
      <c r="K921" s="38"/>
      <c r="L921" s="38"/>
      <c r="M921" s="38"/>
      <c r="N921" s="38"/>
      <c r="O921" s="38"/>
    </row>
    <row r="922" ht="12.0" customHeight="1">
      <c r="A922" s="111"/>
      <c r="F922" s="111"/>
      <c r="K922" s="38"/>
      <c r="L922" s="38"/>
      <c r="M922" s="38"/>
      <c r="N922" s="38"/>
      <c r="O922" s="38"/>
    </row>
    <row r="923" ht="12.0" customHeight="1">
      <c r="A923" s="111"/>
      <c r="F923" s="111"/>
      <c r="K923" s="38"/>
      <c r="L923" s="38"/>
      <c r="M923" s="38"/>
      <c r="N923" s="38"/>
      <c r="O923" s="38"/>
    </row>
    <row r="924" ht="12.0" customHeight="1">
      <c r="A924" s="111"/>
      <c r="F924" s="111"/>
      <c r="K924" s="38"/>
      <c r="L924" s="38"/>
      <c r="M924" s="38"/>
      <c r="N924" s="38"/>
      <c r="O924" s="38"/>
    </row>
    <row r="925" ht="12.0" customHeight="1">
      <c r="A925" s="111"/>
      <c r="F925" s="111"/>
      <c r="K925" s="38"/>
      <c r="L925" s="38"/>
      <c r="M925" s="38"/>
      <c r="N925" s="38"/>
      <c r="O925" s="38"/>
    </row>
    <row r="926" ht="12.0" customHeight="1">
      <c r="A926" s="111"/>
      <c r="F926" s="111"/>
      <c r="K926" s="38"/>
      <c r="L926" s="38"/>
      <c r="M926" s="38"/>
      <c r="N926" s="38"/>
      <c r="O926" s="38"/>
    </row>
    <row r="927" ht="12.0" customHeight="1">
      <c r="A927" s="111"/>
      <c r="F927" s="111"/>
      <c r="K927" s="38"/>
      <c r="L927" s="38"/>
      <c r="M927" s="38"/>
      <c r="N927" s="38"/>
      <c r="O927" s="38"/>
    </row>
    <row r="928" ht="12.0" customHeight="1">
      <c r="A928" s="111"/>
      <c r="F928" s="111"/>
      <c r="K928" s="38"/>
      <c r="L928" s="38"/>
      <c r="M928" s="38"/>
      <c r="N928" s="38"/>
      <c r="O928" s="38"/>
    </row>
    <row r="929" ht="12.0" customHeight="1">
      <c r="A929" s="111"/>
      <c r="F929" s="111"/>
      <c r="K929" s="38"/>
      <c r="L929" s="38"/>
      <c r="M929" s="38"/>
      <c r="N929" s="38"/>
      <c r="O929" s="38"/>
    </row>
    <row r="930" ht="12.0" customHeight="1">
      <c r="A930" s="111"/>
      <c r="F930" s="111"/>
      <c r="K930" s="38"/>
      <c r="L930" s="38"/>
      <c r="M930" s="38"/>
      <c r="N930" s="38"/>
      <c r="O930" s="38"/>
    </row>
    <row r="931" ht="12.0" customHeight="1">
      <c r="A931" s="111"/>
      <c r="F931" s="111"/>
      <c r="K931" s="38"/>
      <c r="L931" s="38"/>
      <c r="M931" s="38"/>
      <c r="N931" s="38"/>
      <c r="O931" s="38"/>
    </row>
    <row r="932" ht="12.0" customHeight="1">
      <c r="A932" s="111"/>
      <c r="F932" s="111"/>
      <c r="K932" s="38"/>
      <c r="L932" s="38"/>
      <c r="M932" s="38"/>
      <c r="N932" s="38"/>
      <c r="O932" s="38"/>
    </row>
    <row r="933" ht="12.0" customHeight="1">
      <c r="A933" s="111"/>
      <c r="F933" s="111"/>
      <c r="K933" s="38"/>
      <c r="L933" s="38"/>
      <c r="M933" s="38"/>
      <c r="N933" s="38"/>
      <c r="O933" s="38"/>
    </row>
    <row r="934" ht="12.0" customHeight="1">
      <c r="A934" s="111"/>
      <c r="F934" s="111"/>
      <c r="K934" s="38"/>
      <c r="L934" s="38"/>
      <c r="M934" s="38"/>
      <c r="N934" s="38"/>
      <c r="O934" s="38"/>
    </row>
    <row r="935" ht="12.0" customHeight="1">
      <c r="A935" s="111"/>
      <c r="F935" s="111"/>
      <c r="K935" s="38"/>
      <c r="L935" s="38"/>
      <c r="M935" s="38"/>
      <c r="N935" s="38"/>
      <c r="O935" s="38"/>
    </row>
    <row r="936" ht="12.0" customHeight="1">
      <c r="A936" s="111"/>
      <c r="F936" s="111"/>
      <c r="K936" s="38"/>
      <c r="L936" s="38"/>
      <c r="M936" s="38"/>
      <c r="N936" s="38"/>
      <c r="O936" s="38"/>
    </row>
    <row r="937" ht="12.0" customHeight="1">
      <c r="A937" s="111"/>
      <c r="F937" s="111"/>
      <c r="K937" s="38"/>
      <c r="L937" s="38"/>
      <c r="M937" s="38"/>
      <c r="N937" s="38"/>
      <c r="O937" s="38"/>
    </row>
    <row r="938" ht="12.0" customHeight="1">
      <c r="A938" s="111"/>
      <c r="F938" s="111"/>
      <c r="K938" s="38"/>
      <c r="L938" s="38"/>
      <c r="M938" s="38"/>
      <c r="N938" s="38"/>
      <c r="O938" s="38"/>
    </row>
    <row r="939" ht="12.0" customHeight="1">
      <c r="A939" s="111"/>
      <c r="F939" s="111"/>
      <c r="K939" s="38"/>
      <c r="L939" s="38"/>
      <c r="M939" s="38"/>
      <c r="N939" s="38"/>
      <c r="O939" s="38"/>
    </row>
    <row r="940" ht="12.0" customHeight="1">
      <c r="A940" s="111"/>
      <c r="F940" s="111"/>
      <c r="K940" s="38"/>
      <c r="L940" s="38"/>
      <c r="M940" s="38"/>
      <c r="N940" s="38"/>
      <c r="O940" s="38"/>
    </row>
    <row r="941" ht="12.0" customHeight="1">
      <c r="A941" s="111"/>
      <c r="F941" s="111"/>
      <c r="K941" s="38"/>
      <c r="L941" s="38"/>
      <c r="M941" s="38"/>
      <c r="N941" s="38"/>
      <c r="O941" s="38"/>
    </row>
    <row r="942" ht="12.0" customHeight="1">
      <c r="A942" s="111"/>
      <c r="F942" s="111"/>
      <c r="K942" s="38"/>
      <c r="L942" s="38"/>
      <c r="M942" s="38"/>
      <c r="N942" s="38"/>
      <c r="O942" s="38"/>
    </row>
    <row r="943" ht="12.0" customHeight="1">
      <c r="A943" s="111"/>
      <c r="F943" s="111"/>
      <c r="K943" s="38"/>
      <c r="L943" s="38"/>
      <c r="M943" s="38"/>
      <c r="N943" s="38"/>
      <c r="O943" s="38"/>
    </row>
    <row r="944" ht="12.0" customHeight="1">
      <c r="A944" s="111"/>
      <c r="F944" s="111"/>
      <c r="K944" s="38"/>
      <c r="L944" s="38"/>
      <c r="M944" s="38"/>
      <c r="N944" s="38"/>
      <c r="O944" s="38"/>
    </row>
    <row r="945" ht="12.0" customHeight="1">
      <c r="A945" s="111"/>
      <c r="F945" s="111"/>
      <c r="K945" s="38"/>
      <c r="L945" s="38"/>
      <c r="M945" s="38"/>
      <c r="N945" s="38"/>
      <c r="O945" s="38"/>
    </row>
    <row r="946" ht="12.0" customHeight="1">
      <c r="A946" s="111"/>
      <c r="F946" s="111"/>
      <c r="K946" s="38"/>
      <c r="L946" s="38"/>
      <c r="M946" s="38"/>
      <c r="N946" s="38"/>
      <c r="O946" s="38"/>
    </row>
    <row r="947" ht="12.0" customHeight="1">
      <c r="A947" s="111"/>
      <c r="F947" s="111"/>
      <c r="K947" s="38"/>
      <c r="L947" s="38"/>
      <c r="M947" s="38"/>
      <c r="N947" s="38"/>
      <c r="O947" s="38"/>
    </row>
    <row r="948" ht="12.0" customHeight="1">
      <c r="A948" s="111"/>
      <c r="F948" s="111"/>
      <c r="K948" s="38"/>
      <c r="L948" s="38"/>
      <c r="M948" s="38"/>
      <c r="N948" s="38"/>
      <c r="O948" s="38"/>
    </row>
    <row r="949" ht="12.0" customHeight="1">
      <c r="A949" s="111"/>
      <c r="F949" s="111"/>
      <c r="K949" s="38"/>
      <c r="L949" s="38"/>
      <c r="M949" s="38"/>
      <c r="N949" s="38"/>
      <c r="O949" s="38"/>
    </row>
    <row r="950" ht="12.0" customHeight="1">
      <c r="A950" s="111"/>
      <c r="F950" s="111"/>
      <c r="K950" s="38"/>
      <c r="L950" s="38"/>
      <c r="M950" s="38"/>
      <c r="N950" s="38"/>
      <c r="O950" s="38"/>
    </row>
    <row r="951" ht="12.0" customHeight="1">
      <c r="A951" s="111"/>
      <c r="F951" s="111"/>
      <c r="K951" s="38"/>
      <c r="L951" s="38"/>
      <c r="M951" s="38"/>
      <c r="N951" s="38"/>
      <c r="O951" s="38"/>
    </row>
    <row r="952" ht="12.0" customHeight="1">
      <c r="A952" s="111"/>
      <c r="F952" s="111"/>
      <c r="K952" s="38"/>
      <c r="L952" s="38"/>
      <c r="M952" s="38"/>
      <c r="N952" s="38"/>
      <c r="O952" s="38"/>
    </row>
    <row r="953" ht="12.0" customHeight="1">
      <c r="A953" s="111"/>
      <c r="F953" s="111"/>
      <c r="K953" s="38"/>
      <c r="L953" s="38"/>
      <c r="M953" s="38"/>
      <c r="N953" s="38"/>
      <c r="O953" s="38"/>
    </row>
    <row r="954" ht="12.0" customHeight="1">
      <c r="A954" s="111"/>
      <c r="F954" s="111"/>
      <c r="K954" s="38"/>
      <c r="L954" s="38"/>
      <c r="M954" s="38"/>
      <c r="N954" s="38"/>
      <c r="O954" s="38"/>
    </row>
    <row r="955" ht="12.0" customHeight="1">
      <c r="A955" s="111"/>
      <c r="F955" s="111"/>
      <c r="K955" s="38"/>
      <c r="L955" s="38"/>
      <c r="M955" s="38"/>
      <c r="N955" s="38"/>
      <c r="O955" s="38"/>
    </row>
    <row r="956" ht="12.0" customHeight="1">
      <c r="A956" s="111"/>
      <c r="F956" s="111"/>
      <c r="K956" s="38"/>
      <c r="L956" s="38"/>
      <c r="M956" s="38"/>
      <c r="N956" s="38"/>
      <c r="O956" s="38"/>
    </row>
    <row r="957" ht="12.0" customHeight="1">
      <c r="A957" s="111"/>
      <c r="F957" s="111"/>
      <c r="K957" s="38"/>
      <c r="L957" s="38"/>
      <c r="M957" s="38"/>
      <c r="N957" s="38"/>
      <c r="O957" s="38"/>
    </row>
    <row r="958" ht="12.0" customHeight="1">
      <c r="A958" s="111"/>
      <c r="F958" s="111"/>
      <c r="K958" s="38"/>
      <c r="L958" s="38"/>
      <c r="M958" s="38"/>
      <c r="N958" s="38"/>
      <c r="O958" s="38"/>
    </row>
    <row r="959" ht="12.0" customHeight="1">
      <c r="A959" s="111"/>
      <c r="F959" s="111"/>
      <c r="K959" s="38"/>
      <c r="L959" s="38"/>
      <c r="M959" s="38"/>
      <c r="N959" s="38"/>
      <c r="O959" s="38"/>
    </row>
    <row r="960" ht="12.0" customHeight="1">
      <c r="A960" s="111"/>
      <c r="F960" s="111"/>
      <c r="K960" s="38"/>
      <c r="L960" s="38"/>
      <c r="M960" s="38"/>
      <c r="N960" s="38"/>
      <c r="O960" s="38"/>
    </row>
    <row r="961" ht="12.0" customHeight="1">
      <c r="A961" s="111"/>
      <c r="F961" s="111"/>
      <c r="K961" s="38"/>
      <c r="L961" s="38"/>
      <c r="M961" s="38"/>
      <c r="N961" s="38"/>
      <c r="O961" s="38"/>
    </row>
    <row r="962" ht="12.0" customHeight="1">
      <c r="A962" s="111"/>
      <c r="F962" s="111"/>
      <c r="K962" s="38"/>
      <c r="L962" s="38"/>
      <c r="M962" s="38"/>
      <c r="N962" s="38"/>
      <c r="O962" s="38"/>
    </row>
    <row r="963" ht="12.0" customHeight="1">
      <c r="A963" s="111"/>
      <c r="F963" s="111"/>
      <c r="K963" s="38"/>
      <c r="L963" s="38"/>
      <c r="M963" s="38"/>
      <c r="N963" s="38"/>
      <c r="O963" s="38"/>
    </row>
    <row r="964" ht="12.0" customHeight="1">
      <c r="A964" s="111"/>
      <c r="F964" s="111"/>
      <c r="K964" s="38"/>
      <c r="L964" s="38"/>
      <c r="M964" s="38"/>
      <c r="N964" s="38"/>
      <c r="O964" s="38"/>
    </row>
    <row r="965" ht="12.0" customHeight="1">
      <c r="A965" s="111"/>
      <c r="F965" s="111"/>
      <c r="K965" s="38"/>
      <c r="L965" s="38"/>
      <c r="M965" s="38"/>
      <c r="N965" s="38"/>
      <c r="O965" s="38"/>
    </row>
    <row r="966" ht="12.0" customHeight="1">
      <c r="A966" s="111"/>
      <c r="F966" s="111"/>
      <c r="K966" s="38"/>
      <c r="L966" s="38"/>
      <c r="M966" s="38"/>
      <c r="N966" s="38"/>
      <c r="O966" s="38"/>
    </row>
    <row r="967" ht="12.0" customHeight="1">
      <c r="A967" s="111"/>
      <c r="F967" s="111"/>
      <c r="K967" s="38"/>
      <c r="L967" s="38"/>
      <c r="M967" s="38"/>
      <c r="N967" s="38"/>
      <c r="O967" s="38"/>
    </row>
    <row r="968" ht="12.0" customHeight="1">
      <c r="A968" s="111"/>
      <c r="F968" s="111"/>
      <c r="K968" s="38"/>
      <c r="L968" s="38"/>
      <c r="M968" s="38"/>
      <c r="N968" s="38"/>
      <c r="O968" s="38"/>
    </row>
    <row r="969" ht="12.0" customHeight="1">
      <c r="A969" s="111"/>
      <c r="F969" s="111"/>
      <c r="K969" s="38"/>
      <c r="L969" s="38"/>
      <c r="M969" s="38"/>
      <c r="N969" s="38"/>
      <c r="O969" s="38"/>
    </row>
    <row r="970" ht="12.0" customHeight="1">
      <c r="A970" s="111"/>
      <c r="F970" s="111"/>
      <c r="K970" s="38"/>
      <c r="L970" s="38"/>
      <c r="M970" s="38"/>
      <c r="N970" s="38"/>
      <c r="O970" s="38"/>
    </row>
    <row r="971" ht="12.0" customHeight="1">
      <c r="A971" s="111"/>
      <c r="F971" s="111"/>
      <c r="K971" s="38"/>
      <c r="L971" s="38"/>
      <c r="M971" s="38"/>
      <c r="N971" s="38"/>
      <c r="O971" s="38"/>
    </row>
    <row r="972" ht="12.0" customHeight="1">
      <c r="A972" s="111"/>
      <c r="F972" s="111"/>
      <c r="K972" s="38"/>
      <c r="L972" s="38"/>
      <c r="M972" s="38"/>
      <c r="N972" s="38"/>
      <c r="O972" s="38"/>
    </row>
    <row r="973" ht="12.0" customHeight="1">
      <c r="A973" s="111"/>
      <c r="F973" s="111"/>
      <c r="K973" s="38"/>
      <c r="L973" s="38"/>
      <c r="M973" s="38"/>
      <c r="N973" s="38"/>
      <c r="O973" s="38"/>
    </row>
    <row r="974" ht="12.0" customHeight="1">
      <c r="A974" s="111"/>
      <c r="F974" s="111"/>
      <c r="K974" s="38"/>
      <c r="L974" s="38"/>
      <c r="M974" s="38"/>
      <c r="N974" s="38"/>
      <c r="O974" s="38"/>
    </row>
    <row r="975" ht="12.0" customHeight="1">
      <c r="A975" s="111"/>
      <c r="F975" s="111"/>
      <c r="K975" s="38"/>
      <c r="L975" s="38"/>
      <c r="M975" s="38"/>
      <c r="N975" s="38"/>
      <c r="O975" s="38"/>
    </row>
    <row r="976" ht="12.0" customHeight="1">
      <c r="A976" s="111"/>
      <c r="F976" s="111"/>
      <c r="K976" s="38"/>
      <c r="L976" s="38"/>
      <c r="M976" s="38"/>
      <c r="N976" s="38"/>
      <c r="O976" s="38"/>
    </row>
    <row r="977" ht="12.0" customHeight="1">
      <c r="A977" s="111"/>
      <c r="F977" s="111"/>
      <c r="K977" s="38"/>
      <c r="L977" s="38"/>
      <c r="M977" s="38"/>
      <c r="N977" s="38"/>
      <c r="O977" s="38"/>
    </row>
    <row r="978" ht="12.0" customHeight="1">
      <c r="A978" s="111"/>
      <c r="F978" s="111"/>
      <c r="K978" s="38"/>
      <c r="L978" s="38"/>
      <c r="M978" s="38"/>
      <c r="N978" s="38"/>
      <c r="O978" s="38"/>
    </row>
    <row r="979" ht="12.0" customHeight="1">
      <c r="A979" s="111"/>
      <c r="F979" s="111"/>
      <c r="K979" s="38"/>
      <c r="L979" s="38"/>
      <c r="M979" s="38"/>
      <c r="N979" s="38"/>
      <c r="O979" s="38"/>
    </row>
    <row r="980" ht="12.0" customHeight="1">
      <c r="A980" s="111"/>
      <c r="F980" s="111"/>
      <c r="K980" s="38"/>
      <c r="L980" s="38"/>
      <c r="M980" s="38"/>
      <c r="N980" s="38"/>
      <c r="O980" s="38"/>
    </row>
    <row r="981" ht="12.0" customHeight="1">
      <c r="A981" s="111"/>
      <c r="F981" s="111"/>
      <c r="K981" s="38"/>
      <c r="L981" s="38"/>
      <c r="M981" s="38"/>
      <c r="N981" s="38"/>
      <c r="O981" s="38"/>
    </row>
    <row r="982" ht="12.0" customHeight="1">
      <c r="A982" s="111"/>
      <c r="F982" s="111"/>
      <c r="K982" s="38"/>
      <c r="L982" s="38"/>
      <c r="M982" s="38"/>
      <c r="N982" s="38"/>
      <c r="O982" s="38"/>
    </row>
    <row r="983" ht="12.0" customHeight="1">
      <c r="A983" s="111"/>
      <c r="F983" s="111"/>
      <c r="K983" s="38"/>
      <c r="L983" s="38"/>
      <c r="M983" s="38"/>
      <c r="N983" s="38"/>
      <c r="O983" s="38"/>
    </row>
    <row r="984" ht="12.0" customHeight="1">
      <c r="A984" s="111"/>
      <c r="F984" s="111"/>
      <c r="K984" s="38"/>
      <c r="L984" s="38"/>
      <c r="M984" s="38"/>
      <c r="N984" s="38"/>
      <c r="O984" s="38"/>
    </row>
    <row r="985" ht="12.0" customHeight="1">
      <c r="A985" s="111"/>
      <c r="F985" s="111"/>
      <c r="K985" s="38"/>
      <c r="L985" s="38"/>
      <c r="M985" s="38"/>
      <c r="N985" s="38"/>
      <c r="O985" s="38"/>
    </row>
    <row r="986" ht="12.0" customHeight="1">
      <c r="A986" s="111"/>
      <c r="F986" s="111"/>
      <c r="K986" s="38"/>
      <c r="L986" s="38"/>
      <c r="M986" s="38"/>
      <c r="N986" s="38"/>
      <c r="O986" s="38"/>
    </row>
    <row r="987" ht="12.0" customHeight="1">
      <c r="A987" s="111"/>
      <c r="F987" s="111"/>
      <c r="K987" s="38"/>
      <c r="L987" s="38"/>
      <c r="M987" s="38"/>
      <c r="N987" s="38"/>
      <c r="O987" s="38"/>
    </row>
    <row r="988" ht="12.0" customHeight="1">
      <c r="A988" s="111"/>
      <c r="F988" s="111"/>
      <c r="K988" s="38"/>
      <c r="L988" s="38"/>
      <c r="M988" s="38"/>
      <c r="N988" s="38"/>
      <c r="O988" s="38"/>
    </row>
    <row r="989" ht="12.0" customHeight="1">
      <c r="A989" s="111"/>
      <c r="F989" s="111"/>
      <c r="K989" s="38"/>
      <c r="L989" s="38"/>
      <c r="M989" s="38"/>
      <c r="N989" s="38"/>
      <c r="O989" s="38"/>
    </row>
    <row r="990" ht="12.0" customHeight="1">
      <c r="A990" s="111"/>
      <c r="F990" s="111"/>
      <c r="K990" s="38"/>
      <c r="L990" s="38"/>
      <c r="M990" s="38"/>
      <c r="N990" s="38"/>
      <c r="O990" s="38"/>
    </row>
    <row r="991" ht="12.0" customHeight="1">
      <c r="A991" s="111"/>
      <c r="F991" s="111"/>
      <c r="K991" s="38"/>
      <c r="L991" s="38"/>
      <c r="M991" s="38"/>
      <c r="N991" s="38"/>
      <c r="O991" s="38"/>
    </row>
    <row r="992" ht="12.0" customHeight="1">
      <c r="A992" s="111"/>
      <c r="F992" s="111"/>
      <c r="K992" s="38"/>
      <c r="L992" s="38"/>
      <c r="M992" s="38"/>
      <c r="N992" s="38"/>
      <c r="O992" s="38"/>
    </row>
    <row r="993" ht="12.0" customHeight="1">
      <c r="A993" s="111"/>
      <c r="F993" s="111"/>
      <c r="K993" s="38"/>
      <c r="L993" s="38"/>
      <c r="M993" s="38"/>
      <c r="N993" s="38"/>
      <c r="O993" s="38"/>
    </row>
    <row r="994" ht="12.0" customHeight="1">
      <c r="A994" s="111"/>
      <c r="F994" s="111"/>
      <c r="K994" s="38"/>
      <c r="L994" s="38"/>
      <c r="M994" s="38"/>
      <c r="N994" s="38"/>
      <c r="O994" s="38"/>
    </row>
    <row r="995" ht="12.0" customHeight="1">
      <c r="A995" s="111"/>
      <c r="F995" s="111"/>
      <c r="K995" s="38"/>
      <c r="L995" s="38"/>
      <c r="M995" s="38"/>
      <c r="N995" s="38"/>
      <c r="O995" s="38"/>
    </row>
    <row r="996" ht="12.0" customHeight="1">
      <c r="A996" s="111"/>
      <c r="F996" s="111"/>
      <c r="K996" s="38"/>
      <c r="L996" s="38"/>
      <c r="M996" s="38"/>
      <c r="N996" s="38"/>
      <c r="O996" s="38"/>
    </row>
    <row r="997" ht="12.0" customHeight="1">
      <c r="A997" s="111"/>
      <c r="F997" s="111"/>
      <c r="K997" s="38"/>
      <c r="L997" s="38"/>
      <c r="M997" s="38"/>
      <c r="N997" s="38"/>
      <c r="O997" s="38"/>
    </row>
    <row r="998" ht="12.0" customHeight="1">
      <c r="A998" s="111"/>
      <c r="F998" s="111"/>
      <c r="K998" s="38"/>
      <c r="L998" s="38"/>
      <c r="M998" s="38"/>
      <c r="N998" s="38"/>
      <c r="O998" s="38"/>
    </row>
    <row r="999" ht="12.0" customHeight="1">
      <c r="A999" s="111"/>
      <c r="F999" s="111"/>
      <c r="K999" s="38"/>
      <c r="L999" s="38"/>
      <c r="M999" s="38"/>
      <c r="N999" s="38"/>
      <c r="O999" s="38"/>
    </row>
    <row r="1000" ht="12.0" customHeight="1">
      <c r="A1000" s="111"/>
      <c r="F1000" s="111"/>
      <c r="K1000" s="38"/>
      <c r="L1000" s="38"/>
      <c r="M1000" s="38"/>
      <c r="N1000" s="38"/>
      <c r="O1000" s="38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2025-11-03T17:26:16Z</dcterms:created>
  <dc:creator>user</dc:creator>
</cp:coreProperties>
</file>