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Pengadaan" sheetId="1" r:id="rId4"/>
    <sheet state="visible" name="Invoice" sheetId="2" r:id="rId5"/>
    <sheet state="hidden" name="t" sheetId="3" r:id="rId6"/>
  </sheets>
  <externalReferences>
    <externalReference r:id="rId7"/>
  </externalReferences>
  <definedNames>
    <definedName hidden="1" localSheetId="1" name="_xlnm._FilterDatabase">Invoice!$A$1:$Z$405</definedName>
  </definedNames>
  <calcPr/>
  <extLst>
    <ext uri="GoogleSheetsCustomDataVersion2">
      <go:sheetsCustomData xmlns:go="http://customooxmlschemas.google.com/" r:id="rId8" roundtripDataChecksum="zuZf8tCAof55Wld7cstA0PcRJ3FbjZEhHoR8trpHPe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1">
      <text>
        <t xml:space="preserve">======
ID#AAABwtFeR0w
santi    (2023-11-22 06:22:18)
REKON EO sama Wenny</t>
      </text>
    </comment>
  </commentList>
  <extLst>
    <ext uri="GoogleSheetsCustomDataVersion2">
      <go:sheetsCustomData xmlns:go="http://customooxmlschemas.google.com/" r:id="rId1" roundtripDataSignature="AMtx7miJcce1fHbAvIzVUUgljqEBRTVGGA=="/>
    </ext>
  </extLst>
</comments>
</file>

<file path=xl/sharedStrings.xml><?xml version="1.0" encoding="utf-8"?>
<sst xmlns="http://schemas.openxmlformats.org/spreadsheetml/2006/main" count="6692" uniqueCount="3013">
  <si>
    <t>Nama Projek</t>
  </si>
  <si>
    <t>Tanggal Permintaan</t>
  </si>
  <si>
    <t>Nomor Prefix</t>
  </si>
  <si>
    <t>Nomor Registrasi</t>
  </si>
  <si>
    <t>Nomor Projek</t>
  </si>
  <si>
    <t>Dasar Pekerjaan</t>
  </si>
  <si>
    <t>Nilai Projek</t>
  </si>
  <si>
    <t>Tanggal Mulai</t>
  </si>
  <si>
    <t>Tanggal Selesai</t>
  </si>
  <si>
    <t>Client</t>
  </si>
  <si>
    <t>PIC Client</t>
  </si>
  <si>
    <t>PIC Internal</t>
  </si>
  <si>
    <t>JASA KONSULTASI HUKUM DAN PENILAI PUBLIK UNTUK RENCANA KOMERSIALISASI ASET PATEN &amp; LABORATURIUM</t>
  </si>
  <si>
    <t>KP25-</t>
  </si>
  <si>
    <t>001</t>
  </si>
  <si>
    <t>KP25-001</t>
  </si>
  <si>
    <t>437.300.000</t>
  </si>
  <si>
    <t>31/12/24</t>
  </si>
  <si>
    <t>30/1/25</t>
  </si>
  <si>
    <t>PGE</t>
  </si>
  <si>
    <t>OE PGE/ Mas Reza/Mas Jati</t>
  </si>
  <si>
    <t>ROBBY</t>
  </si>
  <si>
    <t>Jasa Pendukung Kegiatan Pengukuran Gravitasi Presisi Monitoring Area Lahendong 2025</t>
  </si>
  <si>
    <t>002</t>
  </si>
  <si>
    <t>KP25-002</t>
  </si>
  <si>
    <t xml:space="preserve">No.005/PGE120/2025-S0
</t>
  </si>
  <si>
    <t>400.000.000</t>
  </si>
  <si>
    <t>20/1/25</t>
  </si>
  <si>
    <t>15/3/25</t>
  </si>
  <si>
    <t>Helmi</t>
  </si>
  <si>
    <t>AGUS</t>
  </si>
  <si>
    <t>Jasa Konsultasi penyusunan Kertas Kerja dan Update Keekonomian proyek PGE</t>
  </si>
  <si>
    <t>003</t>
  </si>
  <si>
    <t>KP25-003</t>
  </si>
  <si>
    <t>No.         /PGE310/2025-S0</t>
  </si>
  <si>
    <t>450.000.000</t>
  </si>
  <si>
    <t>31/12/25</t>
  </si>
  <si>
    <t>KEUANGAN</t>
  </si>
  <si>
    <t>EKO</t>
  </si>
  <si>
    <t>Jasa Pendukung Kegiatan Pengukuran Gravitasi Gradiometri Area Kamojang 2025</t>
  </si>
  <si>
    <t>004</t>
  </si>
  <si>
    <t>KP25-004</t>
  </si>
  <si>
    <t>No.000/PGE120/2025-S0</t>
  </si>
  <si>
    <t>190.000.000</t>
  </si>
  <si>
    <t>20/4/25</t>
  </si>
  <si>
    <t>Helmi/Alam</t>
  </si>
  <si>
    <t>JASA SURVEY PENYIAPAN INFRASTRUKTUR PEMBORAN CLUSTER-C PROYEK GEOTHERMAL SEULAWAH</t>
  </si>
  <si>
    <t>005</t>
  </si>
  <si>
    <t>KP25-005</t>
  </si>
  <si>
    <t>1.060.000.000</t>
  </si>
  <si>
    <t>30/6/25</t>
  </si>
  <si>
    <t>CAD</t>
  </si>
  <si>
    <t>PT. CAKTI ADHI DHANAJAYA / Pak Agung / Pak Zaldy</t>
  </si>
  <si>
    <t>JASA SPONSORSHIP KEGIATAN PENGUKUHAN PENGURUS IMBI YOGYAKARTA 2025-2029</t>
  </si>
  <si>
    <t>006</t>
  </si>
  <si>
    <t>KP25-006</t>
  </si>
  <si>
    <t>55.000.000</t>
  </si>
  <si>
    <t>PGE HLS/Pak Edy/ Pak Zaldy</t>
  </si>
  <si>
    <t>JASA PENILAI INDEPENDEN UNTUK STUDI KELAYAKAN BISNIS ALAT UJI DAN LABORATORIUM</t>
  </si>
  <si>
    <t>2-Mei-25</t>
  </si>
  <si>
    <t>007</t>
  </si>
  <si>
    <t>KP25-007</t>
  </si>
  <si>
    <t>336.000.000</t>
  </si>
  <si>
    <t>OE PGE/Mas Reza/Mas Jati</t>
  </si>
  <si>
    <t>Jasa Pendukung Kegiatan Pengukuran Gravitasi Gravitasi Presisi Monitoring Area Lumut Balai  2025</t>
  </si>
  <si>
    <t>7-Mei-25</t>
  </si>
  <si>
    <t>008</t>
  </si>
  <si>
    <t>KP25-008</t>
  </si>
  <si>
    <t>No. 063/PGE120/2025-S0</t>
  </si>
  <si>
    <t>13/5/25</t>
  </si>
  <si>
    <t>Pembayaran Tahap III (Final) Penerbitan Sertifikat Pendaftaran Paten PGE di negara Islandia dan Filipina</t>
  </si>
  <si>
    <t>009</t>
  </si>
  <si>
    <t>KP25-009</t>
  </si>
  <si>
    <t xml:space="preserve"> 002b/PGE212/2025-S0
		</t>
  </si>
  <si>
    <t>37.334.935</t>
  </si>
  <si>
    <t>21/1/25</t>
  </si>
  <si>
    <t>Tumpal/OE</t>
  </si>
  <si>
    <t>ALIF</t>
  </si>
  <si>
    <t>Jasa Pendukung Implementasi Metode Eksplorasi Geokimia dengan Menggunakan Soil-Gas Adsorben Area Kamojang 2025</t>
  </si>
  <si>
    <t>010</t>
  </si>
  <si>
    <t>KP25-010</t>
  </si>
  <si>
    <t>No. 006/S/PJ.4/CRB-GM/VII/2025</t>
  </si>
  <si>
    <t>200.000.000</t>
  </si>
  <si>
    <t>Persero</t>
  </si>
  <si>
    <t>Wahyu Firmansyah / Persero</t>
  </si>
  <si>
    <t>JASA IDENTIFIKASI, VALIDASI DAN PENGUKURAN LAHAN COOLING POND TAHAP II PERIODE 2 PT PGE PROYEK HULULAIS</t>
  </si>
  <si>
    <t>011</t>
  </si>
  <si>
    <t>KP25-011</t>
  </si>
  <si>
    <t>SPK 042/PGE2201/2025-S7</t>
  </si>
  <si>
    <t>43.456.000</t>
  </si>
  <si>
    <t>31/7/25</t>
  </si>
  <si>
    <t>PGE HLS/Pak Mulyadi</t>
  </si>
  <si>
    <t>Jasa Studi Kelayakan Bisnis Atas Rencana Perubahan Kegiatan Usaha Alat Ukur Dua Fasa dan Laboratorium</t>
  </si>
  <si>
    <t>012</t>
  </si>
  <si>
    <t>KP25-012</t>
  </si>
  <si>
    <t>30/10/25</t>
  </si>
  <si>
    <t>OE Mas Reza</t>
  </si>
  <si>
    <t/>
  </si>
  <si>
    <t xml:space="preserve"> </t>
  </si>
  <si>
    <t>Nomor Invoice</t>
  </si>
  <si>
    <t>Tanggal</t>
  </si>
  <si>
    <t>Nomor Faktur</t>
  </si>
  <si>
    <t>Offering Item</t>
  </si>
  <si>
    <t>DPP</t>
  </si>
  <si>
    <t>Profit</t>
  </si>
  <si>
    <t>PPN</t>
  </si>
  <si>
    <t>Total Setelah PPN</t>
  </si>
  <si>
    <t>Status Bayar</t>
  </si>
  <si>
    <t>Nilai Invoice yang dibayar</t>
  </si>
  <si>
    <t>PP25-001</t>
  </si>
  <si>
    <t>4650017814</t>
  </si>
  <si>
    <t>03002500043984411</t>
  </si>
  <si>
    <t>Tagihan Rapel Upah dan Lembur "Pengadaan Jasa Tenaga Alih Daya di Lingkungan Kantor Pusat Fungsi Geoscience PT PGE Tbk.", Periode 2024</t>
  </si>
  <si>
    <t>PAID</t>
  </si>
  <si>
    <t>PP25-002</t>
  </si>
  <si>
    <t>03002500043776395</t>
  </si>
  <si>
    <t>Tagihan Rapel Upah "Pengadaan Jasa Tenaga Alih Daya di Lingkungan Kantor Pusat Fungsi Reservoir PT PGE Tbk.", Periode Desember 2024</t>
  </si>
  <si>
    <t>PP25-003</t>
  </si>
  <si>
    <t>03002500044257607</t>
  </si>
  <si>
    <t>Tagihan Rapel Upah dan Lembur "Pengadaan Jasa Tenaga Alih Daya di Lingkungan Kantor Pusat PT PGE Tbk.", Periode 2024</t>
  </si>
  <si>
    <t>PP25-004</t>
  </si>
  <si>
    <t>Pengadaan Jasa Tenaga Alih Daya Area Ulubelu PT. Pertamina Geothermal Energy No. Kontrak 4650017194 Tanggal Maret 2023, Periode tagihan : Upah Desember 2024</t>
  </si>
  <si>
    <t>PP25-005</t>
  </si>
  <si>
    <t>Pengadaan Jasa Tenaga Alih Daya Area Ulubelu PT. Pertamina Geothermal Energy No. Kontrak 4650017194 Tanggal Maret 2023, Periode tagihan : Lembur Desember 2024</t>
  </si>
  <si>
    <t>PP25-006</t>
  </si>
  <si>
    <t>4650017194</t>
  </si>
  <si>
    <t>DINAS TAD UBL - LMB 22 APR - 1 JUNI 2024</t>
  </si>
  <si>
    <t>PP25-007</t>
  </si>
  <si>
    <t>DINAS TAD UBL - LMB 27 APR - 10 MEI 2024</t>
  </si>
  <si>
    <t>PP25-008</t>
  </si>
  <si>
    <t>DINAS TAD UBL - HLS 14 - 17 MEI 2024</t>
  </si>
  <si>
    <t>PP25-009</t>
  </si>
  <si>
    <t>DINAS TAD UBL - KOTA AGUNG 11 - 12 JUNI 2024</t>
  </si>
  <si>
    <t>PP25-010</t>
  </si>
  <si>
    <t>KP24-023</t>
  </si>
  <si>
    <t>03002500004132032</t>
  </si>
  <si>
    <t>Jasa Konsultasi Hukum Penilai Publik Untuk Rencana Komersialisasi Aset Paten dan Laboratorium</t>
  </si>
  <si>
    <t>18.616.665</t>
  </si>
  <si>
    <t>1.117.000</t>
  </si>
  <si>
    <t>2.170.703</t>
  </si>
  <si>
    <t>21.904.368</t>
  </si>
  <si>
    <t>28.480.668</t>
  </si>
  <si>
    <t>1.708.840</t>
  </si>
  <si>
    <t>3.320.846</t>
  </si>
  <si>
    <t>33.510.354</t>
  </si>
  <si>
    <t>260.741.541</t>
  </si>
  <si>
    <t>15.644.492</t>
  </si>
  <si>
    <t>30.402.464</t>
  </si>
  <si>
    <t>306.788.497</t>
  </si>
  <si>
    <t>338.680.067</t>
  </si>
  <si>
    <t>18.288.724</t>
  </si>
  <si>
    <t>39.266.567</t>
  </si>
  <si>
    <t>396.235.358</t>
  </si>
  <si>
    <t>128.196.743</t>
  </si>
  <si>
    <t>6.922.624</t>
  </si>
  <si>
    <t>14.863.130</t>
  </si>
  <si>
    <t>149.982.498</t>
  </si>
  <si>
    <t>18.218.390</t>
  </si>
  <si>
    <t>2.004.023</t>
  </si>
  <si>
    <t>20.222.413</t>
  </si>
  <si>
    <t>5.786.460</t>
  </si>
  <si>
    <t>6.422.971</t>
  </si>
  <si>
    <t>3.335.910</t>
  </si>
  <si>
    <t>3.702.860</t>
  </si>
  <si>
    <t>PP25-019</t>
  </si>
  <si>
    <t>4650017160</t>
  </si>
  <si>
    <t>04002500018996781</t>
  </si>
  <si>
    <t>Tagihan Upah "Pengadaan Jasa Tenaga Kerja Jasa Penunjang Bidang Pemboran" Periode Januari 2025</t>
  </si>
  <si>
    <t>PP25-020</t>
  </si>
  <si>
    <t>03002500041039045</t>
  </si>
  <si>
    <t>Tagihan Upah "Pengadaan Jasa Tenaga Alih Daya di Lingkungan Kantor Pusat PT PGE Tbk." untuk fungsi Geoscience, Periode Januari 2025</t>
  </si>
  <si>
    <t>PP25-021</t>
  </si>
  <si>
    <t>03002500043776409</t>
  </si>
  <si>
    <t>Tagihan Upah "Pengadaan Jasa Tenaga Alih Daya di Lingkungan Kantor Pusat PT PGE Tbk." untuk fungsi Reservoir, Periode Januari 2025</t>
  </si>
  <si>
    <t>PP25-022</t>
  </si>
  <si>
    <t>03002500044257627</t>
  </si>
  <si>
    <t>Tagihan Upah "Pengadaan Jasa Tenaga Alih Daya di Lingkungan Kantor Pusat PT PGE Tbk.", Periode Januari 2025</t>
  </si>
  <si>
    <t>1.069.910</t>
  </si>
  <si>
    <t>PP25-024</t>
  </si>
  <si>
    <t>03002500040834151</t>
  </si>
  <si>
    <t>Tagihan Biaya Perjalanan Dinas "Pengadaan Jasa Tenaga Alih Daya di Lingkungan Kantor Pusat PT PGE Tbk." untuk fungsi Geoscience, Periode Januari 2025</t>
  </si>
  <si>
    <t>PP25-025</t>
  </si>
  <si>
    <t>04002500033253237</t>
  </si>
  <si>
    <t>Tagihan Biaya Perjalanan Dinas "Pengadaan Jasa Tenaga Alih Daya di Lingkungan Kantor Pusat PT PGE Tbk." untuk fungsi Reservoir, Periode Januari 2025</t>
  </si>
  <si>
    <t>PP25-026</t>
  </si>
  <si>
    <t>Tagihan Dinas dan Lembur "Pengadaan Jasa Tenaga Alih Daya di Lingkungan Kantor Pusat PT PGE Tbk.", Periode Januari 2025</t>
  </si>
  <si>
    <t>PP25-027</t>
  </si>
  <si>
    <t>Reimburse MCU "Pengadaan Jasa Tenaga Kerja Jasa Penunjang Bidang Pemboran" Periode 2025</t>
  </si>
  <si>
    <t>PP25-028</t>
  </si>
  <si>
    <t>Tagihan Perlengkapan Kerja "Pengadaan Jasa Tenaga Kerja Jasa Penunjang Bidang Pemboran" Periode 2025</t>
  </si>
  <si>
    <t>PP25-029</t>
  </si>
  <si>
    <t>Jasa PMC Proyek EPCC Unit-2 Tahun 2023-2025 PTPGE Area Lumut Balai No. 3900540206 tanggal 6 Desember 2023, Periode Januari 2025</t>
  </si>
  <si>
    <t>PP25-030</t>
  </si>
  <si>
    <t>Termin II Jasa Konsultasi Hukum dan Penilai Publik Untuk Rencana Komersialisasi Aset Paten dan Laboratorium</t>
  </si>
  <si>
    <t>Pengadaan Barang &amp; Jasa</t>
  </si>
  <si>
    <t>218.650.000</t>
  </si>
  <si>
    <t>24.051.500</t>
  </si>
  <si>
    <t>242.701.500</t>
  </si>
  <si>
    <t>PP25-011</t>
  </si>
  <si>
    <t>Tagihan Upah Area Jasa TAD LMB "Pengadaan Jasa Tenaga Ahli Daya (TAD) PT PGE Tbk Area Lumut Balai"
Periode Januari 2025.</t>
  </si>
  <si>
    <t>332.692.942</t>
  </si>
  <si>
    <t>36.596.224</t>
  </si>
  <si>
    <t>369.289.166</t>
  </si>
  <si>
    <t>PP25-012</t>
  </si>
  <si>
    <t>Tagihan Upah Project Jasa TAD LMB "Pengadaan Jasa Tenaga Ahli Daya (TAD) PT PGE Tbk Area Lumut Balai"
Periode Januari 2025.</t>
  </si>
  <si>
    <t>18.126.244</t>
  </si>
  <si>
    <t>1.993.887</t>
  </si>
  <si>
    <t>20.120.131</t>
  </si>
  <si>
    <t>PP25-013</t>
  </si>
  <si>
    <t>04002500030441059</t>
  </si>
  <si>
    <t>Tagihan Lembur Area Jasa TAD LMB "Pengadaan Jasa Tenaga Ahli Daya (TAD) PT PGE Tbk Area Lumut Balai"
Periode Januari 2025.</t>
  </si>
  <si>
    <t>60.044.325</t>
  </si>
  <si>
    <t>6.604.876</t>
  </si>
  <si>
    <t>66.649.201</t>
  </si>
  <si>
    <t>PP25-014</t>
  </si>
  <si>
    <t>Tagihan Lembur Project Jasa TAD LMB "Pengadaan Jasa Tenaga Ahli Daya (TAD) PT PGE Tbk Area Lumut Balai"
Periode Januari 2025.</t>
  </si>
  <si>
    <t>31.708.691</t>
  </si>
  <si>
    <t>3.487.956</t>
  </si>
  <si>
    <t>35.196.647</t>
  </si>
  <si>
    <t>PP25-015</t>
  </si>
  <si>
    <t>Tagihan Dinas Geosience Jasa TAD LMB "Pengadaan Jasa Tenaga Ahli Daya (TAD) PT PGE Tbk Area Lumut Balai"
Periode Januari 2025.</t>
  </si>
  <si>
    <t>21.540.880</t>
  </si>
  <si>
    <t>2.369.497</t>
  </si>
  <si>
    <t>23.910.377</t>
  </si>
  <si>
    <t>PP25-016</t>
  </si>
  <si>
    <t>Tagihan Dinas Project Jasa TAD LMB "Pengadaan Jasa Tenaga Ahli Daya (TAD) PT PGE Tbk Area Lumut Balai"
Periode Januari 2025.</t>
  </si>
  <si>
    <t>13.853.324</t>
  </si>
  <si>
    <t>1.523.866</t>
  </si>
  <si>
    <t>15.377.190</t>
  </si>
  <si>
    <t>PP25-017</t>
  </si>
  <si>
    <t>03002500024462559</t>
  </si>
  <si>
    <t>Tagihan Dinas Area Jasa TAD LMB "Pengadaan Jasa Tenaga Ahli Daya (TAD) PT PGE Tbk Area Lumut Balai"
Periode Januari 2025.</t>
  </si>
  <si>
    <t>64.970.504</t>
  </si>
  <si>
    <t>7.146.755</t>
  </si>
  <si>
    <t>72.117.259</t>
  </si>
  <si>
    <t>PP25-039</t>
  </si>
  <si>
    <t>Tagihan Upah "Pengadaan Jasa Tenaga Kerja Jasa Penunjang Bidang Pemboran" Periode Februari 2025</t>
  </si>
  <si>
    <t>PP25-040</t>
  </si>
  <si>
    <t>AJSB</t>
  </si>
  <si>
    <t>Tagihan Upah atas Jasa Penyediaan Tenaga Kerja Jasa Penunjang PT. Asuransi Jiwa Syariah Bumiputera Periode Februari 2025</t>
  </si>
  <si>
    <t>PP25-041</t>
  </si>
  <si>
    <t>Tagihan Upah "Pengadaan Jasa Tenaga Alih Daya di Lingkungan Kantor Pusat PT PGE Tbk." untuk fungsi Geoscience, Periode Februari 2025</t>
  </si>
  <si>
    <t>PP25-042</t>
  </si>
  <si>
    <t>Tagihan Upah "Pengadaan Jasa Tenaga Alih Daya di Lingkungan Kantor Pusat PT PGE Tbk." untuk fungsi Reservoir, Periode Februari 2025</t>
  </si>
  <si>
    <t>PP25-043</t>
  </si>
  <si>
    <t>Tagihan Upah "Pengadaan Jasa Tenaga Alih Daya di Lingkungan Kantor Pusat PT PGE Tbk.", Periode Februari 2025</t>
  </si>
  <si>
    <t>PP25-044</t>
  </si>
  <si>
    <t>3900558866</t>
  </si>
  <si>
    <t>Tagihan Upah "Pengadaan Jasa Tenaga Kerja Pekarya Di Fungsi Project Development PT. Pertamina Geothermal Energy No. Kontrak ……………. Tanggal …………….. 2025" untuk Proyek Hululais, Periode Januari 2025</t>
  </si>
  <si>
    <t>PP25-045</t>
  </si>
  <si>
    <t>Tagihan Upah "Pengadaan Jasa Tenaga Kerja Pekarya Di Fungsi Project Development PT. Pertamina Geothermal Energy No. Kontrak ……………. Tanggal …………….. 2025" untuk Kantor Pusat, Periode Januari 2025</t>
  </si>
  <si>
    <t>PP25-046</t>
  </si>
  <si>
    <t>Tagihan Upah "Pengadaan Jasa Tenaga Kerja Pekarya Di Fungsi Project Development PT. Pertamina Geothermal Energy No. Kontrak ……………. Tanggal …………….. 2025" untuk Proyek Sungai Penuh, Periode Januari 2025</t>
  </si>
  <si>
    <t>PP25-018</t>
  </si>
  <si>
    <t>03002500025721367</t>
  </si>
  <si>
    <t>Tagihan Borongan Administrasi Jasa TAD LMB "Pengadaan Jasa Tenaga Ahli Daya (TAD) PT PGE Tbk Area Lumut Balai"
Periode Januari 2025.</t>
  </si>
  <si>
    <t>7.487.584</t>
  </si>
  <si>
    <t>8.311.218</t>
  </si>
  <si>
    <t>PP25-048</t>
  </si>
  <si>
    <t>Tagihan Biaya Perjalanan Dinas "Pengadaan Jasa Tenaga Alih Daya di Lingkungan Kantor Pusat PT PGE Tbk." untuk fungsi Geoscience, Periode Februari 2025</t>
  </si>
  <si>
    <t>PP25-049</t>
  </si>
  <si>
    <t>Tagihan Biaya Perjalanan Dinas "Pengadaan Jasa Tenaga Alih Daya di Lingkungan Kantor Pusat PT PGE Tbk." untuk fungsi Reservoir, Periode Februari 2025</t>
  </si>
  <si>
    <t>PP25-050</t>
  </si>
  <si>
    <t>Tagihan Dinas dan Lembur "Pengadaan Jasa Tenaga Alih Daya di Lingkungan Kantor Pusat PT PGE Tbk.", Periode Februari 2025</t>
  </si>
  <si>
    <t>PP25-051</t>
  </si>
  <si>
    <t>Tagihan Dinas "Jasa PMC Proyek EPCC Unit-2 Tahun 2023-2025 PTPGE Area Lumut Balai No. 3900540206 tanggal 6 Desember 2023", Periode Januari 2025</t>
  </si>
  <si>
    <t>PP25-052</t>
  </si>
  <si>
    <t>Tagihan Upah "Pengadaan Jasa Tenaga Kerja Pekarya Di Fungsi Project Development PT. Pertamina Geothermal Energy No. Kontrak ……………. Tanggal …………….. 2025" untuk Proyek Hululais, Periode Februari 2025</t>
  </si>
  <si>
    <t>PP25-053</t>
  </si>
  <si>
    <t>Tagihan Upah "Pengadaan Jasa Tenaga Kerja Pekarya Di Fungsi Project Development PT. Pertamina Geothermal Energy No. Kontrak ……………. Tanggal …………….. 2025" untuk Kantor Pusat, Periode Februari 2025</t>
  </si>
  <si>
    <t>PP25-054</t>
  </si>
  <si>
    <t>Tagihan Upah "Pengadaan Jasa Tenaga Kerja Pekarya Di Fungsi Project Development PT. Pertamina Geothermal Energy No. Kontrak ……………. Tanggal …………….. 2025" untuk Proyek Sungai Penuh, Periode Februari 2025</t>
  </si>
  <si>
    <t>794.391.914</t>
  </si>
  <si>
    <t>43.691.555</t>
  </si>
  <si>
    <t>92.189.182</t>
  </si>
  <si>
    <t>930.272.651</t>
  </si>
  <si>
    <t>58.335.639</t>
  </si>
  <si>
    <t>3.500.138</t>
  </si>
  <si>
    <t>6.801.936</t>
  </si>
  <si>
    <t>68.637.713</t>
  </si>
  <si>
    <t>PP25-057</t>
  </si>
  <si>
    <t>Tagihan THR "Pengadaan Jasa Tenaga Alih Daya di Lingkungan Kantor Pusat PT PGE Tbk." untuk fungsi Geoscience, Periode 2025</t>
  </si>
  <si>
    <t>PP25-058</t>
  </si>
  <si>
    <t>Tagihan THR "Pengadaan Jasa Tenaga Alih Daya di Lingkungan Kantor Pusat PT PGE Tbk." untuk fungsi Reservoir, Periode 2025</t>
  </si>
  <si>
    <t>PP25-059</t>
  </si>
  <si>
    <t>Tagihan THR "Pengadaan Jasa Tenaga Alih Daya di Lingkungan Kantor Pusat PT PGE Tbk.", Periode  2025</t>
  </si>
  <si>
    <t>39.290.244</t>
  </si>
  <si>
    <t>2.357.415</t>
  </si>
  <si>
    <t>4.581.242</t>
  </si>
  <si>
    <t>46.228.901</t>
  </si>
  <si>
    <t>413.307.875</t>
  </si>
  <si>
    <t>24.798.473</t>
  </si>
  <si>
    <t>48.191.698</t>
  </si>
  <si>
    <t>486.298.046</t>
  </si>
  <si>
    <t>PP25-023</t>
  </si>
  <si>
    <t>NO.SPK 001/PGE134-2025-S0</t>
  </si>
  <si>
    <t>Tagihan "Pengadaan Jasa Functional Support sebagai Watchmen HSE di pekerjaan EPCC
Proyek Lumut Balai Unit -2" Periode Januari 2025</t>
  </si>
  <si>
    <t>48.723.330</t>
  </si>
  <si>
    <t>5.359.566</t>
  </si>
  <si>
    <t>54.082.896</t>
  </si>
  <si>
    <t>PP25-063</t>
  </si>
  <si>
    <t>Tagihan THR "Pengadaan Jasa Tenaga Kerja Jasa Penunjang Bidang Pemboran" Periode Tahun 2025</t>
  </si>
  <si>
    <t>28.401.580</t>
  </si>
  <si>
    <t>1.704.095</t>
  </si>
  <si>
    <t>3.311.624</t>
  </si>
  <si>
    <t>33.417.299</t>
  </si>
  <si>
    <t>40.100.894</t>
  </si>
  <si>
    <t>2.406.054</t>
  </si>
  <si>
    <t>4.675.764</t>
  </si>
  <si>
    <t>47.182.712</t>
  </si>
  <si>
    <t>83.102.759</t>
  </si>
  <si>
    <t>4.986.166</t>
  </si>
  <si>
    <t>9.689.782</t>
  </si>
  <si>
    <t>97.778.706</t>
  </si>
  <si>
    <t>PP25-067</t>
  </si>
  <si>
    <t>Tagihan Upah "Pengadaan Jasa Tenaga Kerja Jasa Penunjang Bidang Pemboran" Periode Maret 2025</t>
  </si>
  <si>
    <t>27.388.320</t>
  </si>
  <si>
    <t>1.506.358</t>
  </si>
  <si>
    <t>29.060.377</t>
  </si>
  <si>
    <t>PP25-069</t>
  </si>
  <si>
    <t>Tagihan THR "Pengadaan Jasa Tenaga Alih Daya Di Fungsi Project Development PT. Pertamina Geothermal Energy No. Kontrak 3900558866 Tanggal 20 Februari 2025" untuk Proyek Hululais, Periode Tahun 2025</t>
  </si>
  <si>
    <t>PP25-070</t>
  </si>
  <si>
    <t>Tagihan Upah "Pengadaan Jasa Tenaga Kerja Pekarya Di Fungsi Project Development PT. Pertamina Geothermal Energy No. Kontrak 3900558866 Tanggal 20 Februari 2025" untuk Kantor Pusat, Periode Tahun 2025</t>
  </si>
  <si>
    <t>PP25-071</t>
  </si>
  <si>
    <t>Tagihan THR "Pengadaan Jasa Tenaga Alih Daya Di Fungsi Project Development PT. Pertamina Geothermal Energy No. Kontrak 3900558866 Tanggal 20 Februari 2025" untuk Proyek Sungai Penuh, Periode 2025</t>
  </si>
  <si>
    <t>PP25-072</t>
  </si>
  <si>
    <t>Tagihan Upah atas Jasa Penyediaan Tenaga Kerja Jasa Penunjang PT. Asuransi Jiwa Syariah Bumiputera Periode Maret 2025</t>
  </si>
  <si>
    <t>155.200.000</t>
  </si>
  <si>
    <t>8.536.000</t>
  </si>
  <si>
    <t>18.010.960</t>
  </si>
  <si>
    <t>181.746.960</t>
  </si>
  <si>
    <t>PP25-074</t>
  </si>
  <si>
    <t>270.152.363</t>
  </si>
  <si>
    <t>17.019.599</t>
  </si>
  <si>
    <t>31.588.916</t>
  </si>
  <si>
    <t>318.760.878</t>
  </si>
  <si>
    <t>PP25-031</t>
  </si>
  <si>
    <t>Judul Upah Area Februari "Pengadaan Jasa Tenaga Alih Daya (TAD) PT PGE Tbk Area Lumut Balai" Periode Februari 2025</t>
  </si>
  <si>
    <t>314.502.577</t>
  </si>
  <si>
    <t>18.241.149</t>
  </si>
  <si>
    <t>36.601.810</t>
  </si>
  <si>
    <t>369.345.536</t>
  </si>
  <si>
    <t>PP25-032</t>
  </si>
  <si>
    <t>Judul Upah Project Area Februari "Pengadaan Jasa Tenaga Alih Daya (TAD) PT PGE Tbk Area Lumut Balai" Periode Februari 2025</t>
  </si>
  <si>
    <t>17.132.556</t>
  </si>
  <si>
    <t>PP25-033</t>
  </si>
  <si>
    <t>Judul Lembur Area Februari "Pengadaan Jasa Tenaga Alih Daya (TAD) PT PGE Tbk Area Lumut Balai" Periode Februari  2025</t>
  </si>
  <si>
    <t>77.207.133</t>
  </si>
  <si>
    <t>4.478.014</t>
  </si>
  <si>
    <t>8.985.366</t>
  </si>
  <si>
    <t>90.670.513</t>
  </si>
  <si>
    <t>PP25-034</t>
  </si>
  <si>
    <t>Judul Lembur Project Februari "Pengadaan Jasa Tenaga Alih Daya (TAD) PT PGE Tbk Area Lumut Balai" Periode Februari 2025</t>
  </si>
  <si>
    <t>32.142.681</t>
  </si>
  <si>
    <t>1.864.275</t>
  </si>
  <si>
    <t>3.740.765</t>
  </si>
  <si>
    <t>37.747.722</t>
  </si>
  <si>
    <t>PP25-035</t>
  </si>
  <si>
    <t>64.476.131</t>
  </si>
  <si>
    <t>3.739.616</t>
  </si>
  <si>
    <t>7.503.732</t>
  </si>
  <si>
    <t>75.719.479</t>
  </si>
  <si>
    <t>PP25-082</t>
  </si>
  <si>
    <t>Tagihan Upah "Pengadaan Jasa Tenaga Alih Daya Di Fungsi Project Development PT. Pertamina Geothermal Energy No. Kontrak 3900558866 Tanggal 20 Februari 2025" untuk Proyek Hululais, Periode Maret 2025</t>
  </si>
  <si>
    <t>PP25-083</t>
  </si>
  <si>
    <t>Tagihan Upah "Pengadaan Jasa Tenaga Alih Daya Di Fungsi Project Development PT. Pertamina Geothermal Energy No. Kontrak 3900558866 Tanggal 20 Februari 2025" untuk Kantor Pusat, Periode Maret 2025</t>
  </si>
  <si>
    <t>PP25-084</t>
  </si>
  <si>
    <t>Tagihan Upah "Pengadaan Jasa Tenaga Alih Daya Di Fungsi Project Development PT. Pertamina Geothermal Energy No. Kontrak 3900558866 Tanggal 20 Februari 2025" untuk Proyek Sungai Penuh, Periode Maret 2025</t>
  </si>
  <si>
    <t>PP25-085</t>
  </si>
  <si>
    <t>Tagihan Upah "Pengadaan Jasa Tenaga Alih Daya di Lingkungan Kantor Pusat PT PGE Tbk." untuk fungsi Geoscience, Periode Maret 2025</t>
  </si>
  <si>
    <t>PP25-086</t>
  </si>
  <si>
    <t>Tagihan Upah "Pengadaan Jasa Tenaga Alih Daya di Lingkungan Kantor Pusat PT PGE Tbk." untuk fungsi Reservoir , Periode Maret 2025</t>
  </si>
  <si>
    <t>PP25-087</t>
  </si>
  <si>
    <t>Tagihan Upah "Pengadaan Jasa Tenaga Alih Daya di Lingkungan Kantor Pusat PT PGE Tbk.", Periode Maret 2025</t>
  </si>
  <si>
    <t>PP25-036</t>
  </si>
  <si>
    <t>Judul Dinas Project Februari "Pengadaan Jasa Tenaga Alih Daya (TAD) PT PGE Tbk Area Lumut Balai" Periode Februari 2025</t>
  </si>
  <si>
    <t>1.220.000</t>
  </si>
  <si>
    <t>1.432.744</t>
  </si>
  <si>
    <t>PP25-037</t>
  </si>
  <si>
    <t>Judul Borongan Admin Februari "Pengadaan Jasa Tenaga Alih Daya (TAD) PT PGE Tbk Area Lumut Balai" Periode Februari 2025</t>
  </si>
  <si>
    <t>7.077.112</t>
  </si>
  <si>
    <t>8.311.219</t>
  </si>
  <si>
    <t>PP25-090</t>
  </si>
  <si>
    <t>Jasa PMC Proyek EPCC Unit-2 Tahun 2023-2025 PTPGE Area Lumut Balai No. 3900540206 tanggal 6 Desember 2023, Periode Maret 2025</t>
  </si>
  <si>
    <t>PP25-038</t>
  </si>
  <si>
    <t>NO.SPK 010/PGE134-2025-S0</t>
  </si>
  <si>
    <t>Tagihan "Pengadaan Jasa Functional Support sebagai Watchmen HSE di pekerjaan EPCC
Proyek Lumut Balai Unit -2" Periode :</t>
  </si>
  <si>
    <t>PP25-092</t>
  </si>
  <si>
    <t>Tagihan Biaya Perjalanan Dinas "Pengadaan Jasa Tenaga Alih Daya di Lingkungan Kantor Pusat PT PGE Tbk." untuk fungsi Geoscience, Periode Maret 2025</t>
  </si>
  <si>
    <t>PP25-093</t>
  </si>
  <si>
    <t>Tagihan Biaya Perjalanan Dinas "Pengadaan Jasa Tenaga Alih Daya di Lingkungan Kantor Pusat PT PGE Tbk." untuk fungsi Reservoir, Periode Maret 2025</t>
  </si>
  <si>
    <t>PP25-094</t>
  </si>
  <si>
    <t>Tagihan Dinas dan Lembur "Pengadaan Jasa Tenaga Alih Daya di Lingkungan Kantor Pusat PT PGE Tbk.", Periode Maret 2025</t>
  </si>
  <si>
    <t>PP25-095</t>
  </si>
  <si>
    <t>PP25-096</t>
  </si>
  <si>
    <t>Pengadaan Jasa Tenaga Alih Daya Area Ulubelu PT. Pertamina Geothermal Energy No. Kontrak 4650017194 Tanggal Maret 2023, Periode tagihan : Dinas Desember  2024</t>
  </si>
  <si>
    <t>PP25-097</t>
  </si>
  <si>
    <t>PP25-098</t>
  </si>
  <si>
    <t>Tagihan Dinas dan Lembur "Pengadaan Jasa Tenaga Alih Daya Di Fungsi Project Development PT. Pertamina Geothermal Energy No. Kontrak 3900558866 Tanggal 20 Februari 2025" untuk Proyek Hululais, Periode Januari 2025</t>
  </si>
  <si>
    <t>819.941.583</t>
  </si>
  <si>
    <t>45.096.787</t>
  </si>
  <si>
    <t>95.154.221</t>
  </si>
  <si>
    <t>960.192.591</t>
  </si>
  <si>
    <t>54.833.552</t>
  </si>
  <si>
    <t>6.031.691</t>
  </si>
  <si>
    <t>60.865.243</t>
  </si>
  <si>
    <t>58.363.459</t>
  </si>
  <si>
    <t>3.501.808</t>
  </si>
  <si>
    <t>6.805.179</t>
  </si>
  <si>
    <t>68.670.446</t>
  </si>
  <si>
    <t>415.083.177</t>
  </si>
  <si>
    <t>24.904.991</t>
  </si>
  <si>
    <t>48.398.698</t>
  </si>
  <si>
    <t>488.386.866</t>
  </si>
  <si>
    <t>Kontrak belum Jadi</t>
  </si>
  <si>
    <t>171.272.905</t>
  </si>
  <si>
    <t>9.077.464</t>
  </si>
  <si>
    <t>19.838.541</t>
  </si>
  <si>
    <t>200.188.910</t>
  </si>
  <si>
    <t>41.255.049</t>
  </si>
  <si>
    <t>2.186.518</t>
  </si>
  <si>
    <t>4.778.572</t>
  </si>
  <si>
    <t>48.220.139</t>
  </si>
  <si>
    <t>27.025.583</t>
  </si>
  <si>
    <t>1.432.356</t>
  </si>
  <si>
    <t>3.130.373</t>
  </si>
  <si>
    <t>31.588.312</t>
  </si>
  <si>
    <t>PP25-047</t>
  </si>
  <si>
    <t>NO.SPK 078/PGE323/2024-S4</t>
  </si>
  <si>
    <t>Jasa Manajemen Pengelolaan Dokumen PPN Reimbursement Periode Februari 2025</t>
  </si>
  <si>
    <t>271.250.705</t>
  </si>
  <si>
    <t>17.088.794</t>
  </si>
  <si>
    <t>31.717.345</t>
  </si>
  <si>
    <t>320.056.844</t>
  </si>
  <si>
    <t>PP25-108</t>
  </si>
  <si>
    <t>Reimbursement Biaya Tiket Pesawat Pengadaan Jasa TAD Kantor Pusat (HC) PGE Januari - April 2025</t>
  </si>
  <si>
    <t>PP25-109</t>
  </si>
  <si>
    <t>Reimbursement Biaya Tiket Pesawat Pengadaan Jasa TAD Kantor Pusat (HC- Geoscience) PGE Januari - April 2025</t>
  </si>
  <si>
    <t>PP25-110</t>
  </si>
  <si>
    <t>Reimbursement Biaya Tiket Pesawat Pengadaan Jasa TAD Kantor Pusat (HC- Reservoir) PGE Januari - April 2025</t>
  </si>
  <si>
    <t>PP25-111</t>
  </si>
  <si>
    <t>Pengadaan Jasa Pendukung Kegiatan Pengukuran Gravitasi Presisi Monitoring Area Lahendong 2025</t>
  </si>
  <si>
    <t>PP25-112</t>
  </si>
  <si>
    <t>Pengadaan Jasa Tenaga Alih Daya Area Ulubelu PT. Pertamina Geothermal Energy No. Kontrak 4650017194 Tanggal Maret 2023, Periode tagihan : Dinas Januari 2025</t>
  </si>
  <si>
    <t>PP25-113</t>
  </si>
  <si>
    <t>Pengadaan Jasa Tenaga Alih Daya Area Ulubelu PT. Pertamina Geothermal Energy No. Kontrak 4650017194 Tanggal Maret 2023, Periode tagihan : Upah Januari 2025</t>
  </si>
  <si>
    <t>PP25-114</t>
  </si>
  <si>
    <t>Pengadaan Jasa Tenaga Alih Daya Area Ulubelu PT. Pertamina Geothermal Energy No. Kontrak 4650017194 Tanggal Maret 2023, Periode tagihan : Lembur Januari 2025</t>
  </si>
  <si>
    <t>PP25-115</t>
  </si>
  <si>
    <t>Tagihan Upah dan Lembur atas Jasa Penyediaan Tenaga Kerja Jasa Penunjang PT. Asuransi Jiwa Syariah Bumiputera Periode April 2025</t>
  </si>
  <si>
    <t>PP25-116</t>
  </si>
  <si>
    <t>Tagihan Upah "Pengadaan Jasa Tenaga Kerja Jasa Penunjang Bidang Pemboran" Periode April 2025</t>
  </si>
  <si>
    <t>89.204.119</t>
  </si>
  <si>
    <t>5.352.247</t>
  </si>
  <si>
    <t>10.401.200</t>
  </si>
  <si>
    <t>104.957.566</t>
  </si>
  <si>
    <t>43.777.308</t>
  </si>
  <si>
    <t>2.626.638</t>
  </si>
  <si>
    <t>5.104.434</t>
  </si>
  <si>
    <t>51.508.381</t>
  </si>
  <si>
    <t>118.186.305</t>
  </si>
  <si>
    <t>7.091.178</t>
  </si>
  <si>
    <t>13.780.523</t>
  </si>
  <si>
    <t>139.058.006</t>
  </si>
  <si>
    <t>15.676.360</t>
  </si>
  <si>
    <t>1.833.037</t>
  </si>
  <si>
    <t>18.497.007</t>
  </si>
  <si>
    <t>171.466.823</t>
  </si>
  <si>
    <t>9.087.742</t>
  </si>
  <si>
    <t>19.861.002</t>
  </si>
  <si>
    <t>200.415.567</t>
  </si>
  <si>
    <t>48.368.243</t>
  </si>
  <si>
    <t>2.563.517</t>
  </si>
  <si>
    <t>5.602.494</t>
  </si>
  <si>
    <t>56.534.253</t>
  </si>
  <si>
    <t>27.073.583</t>
  </si>
  <si>
    <t>1.434.900</t>
  </si>
  <si>
    <t>3.135.933</t>
  </si>
  <si>
    <t>31.644.416</t>
  </si>
  <si>
    <t>PP25-055</t>
  </si>
  <si>
    <t>Tagihan Upah "Pengadaan Jasa Tenaga Alih Daya di Lingkungan Kantor Pusat PT PGE Tbk Fungsi Planning &amp; Risk Management." Periode Januari 2025</t>
  </si>
  <si>
    <t>32.784.998</t>
  </si>
  <si>
    <t>2.458.875</t>
  </si>
  <si>
    <t>3.876.826</t>
  </si>
  <si>
    <t>39.120.699</t>
  </si>
  <si>
    <t>PP25-125</t>
  </si>
  <si>
    <t>Jasa PMC Proyek EPCC Unit-2 Tahun 2023-2025 PTPGE Area Lumut Balai No. 3900540206 tanggal 6 Desember 2023, Periode April 2025</t>
  </si>
  <si>
    <t>PP25-126</t>
  </si>
  <si>
    <t>Pengadaan Jasa Tenaga Alih Daya Di Fungsi Project Development PT. Pertamina Geothermal Energy No. Kontrak 3900558866 Tanggal 20 Februari 2025" untuk Proyek Hululais, Periode April 2025</t>
  </si>
  <si>
    <t>PP25-127</t>
  </si>
  <si>
    <t>Pengadaan Jasa Tenaga Alih Daya Di Fungsi Project Development PT. Pertamina Geothermal Energy No. Kontrak 3900558866 Tanggal 20 Februari 2025" untuk Kantor Pusat, Periode April 2025</t>
  </si>
  <si>
    <t>PP25-128</t>
  </si>
  <si>
    <t>Pengadaan Jasa Tenaga Alih Daya Di Fungsi Project Development PT. Pertamina Geothermal Energy No. Kontrak 3900558866 Tanggal 20 Februari 2025" untuk Proyek Sungai Penuh, Periode April 2025</t>
  </si>
  <si>
    <t>PP25-129</t>
  </si>
  <si>
    <t>PP25-130</t>
  </si>
  <si>
    <t>Tagihan Upah "Pengadaan Jasa Tenaga Alih Daya di Lingkungan Kantor Pusat PT PGE Tbk." untuk fungsi Geoscience, Periode April 2025</t>
  </si>
  <si>
    <t>PP25-131</t>
  </si>
  <si>
    <t>Tagihan Upah "Pengadaan Jasa Tenaga Alih Daya di Lingkungan Kantor Pusat PT PGE Tbk." untuk fungsi Reservoir, Periode April 2025</t>
  </si>
  <si>
    <t>PP25-132</t>
  </si>
  <si>
    <t>Tagihan Upah "Pengadaan Jasa Tenaga Alih Daya di Lingkungan Kantor Pusat PT PGE Tbk.", Periode April 2025</t>
  </si>
  <si>
    <t>PP25-056</t>
  </si>
  <si>
    <t>Tagihan Upah "Pengadaan Jasa Tenaga Alih Daya di Lingkungan Kantor Pusat PT PGE Tbk Fungsi Planning &amp; Risk Management." Periode Februari 2025</t>
  </si>
  <si>
    <t>40.991.163</t>
  </si>
  <si>
    <t>3.074.337</t>
  </si>
  <si>
    <t>4.847.205</t>
  </si>
  <si>
    <t>48.912.705</t>
  </si>
  <si>
    <t>55.261.500</t>
  </si>
  <si>
    <t>3.315.690</t>
  </si>
  <si>
    <t>6.443.491</t>
  </si>
  <si>
    <t>65.020.681</t>
  </si>
  <si>
    <t>PP25-135</t>
  </si>
  <si>
    <t>Tagihan Biaya Perjalanan Dinas "Pengadaan Jasa Tenaga Alih Daya di Lingkungan Kantor Pusat PT PGE Tbk." untuk fungsi Geoscience, Periode April 2025</t>
  </si>
  <si>
    <t>PP25-136</t>
  </si>
  <si>
    <t>Tagihan Biaya Perjalanan Dinas "Pengadaan Jasa Tenaga Alih Daya di Lingkungan Kantor Pusat PT PGE Tbk." untuk fungsi Reservoir, Periode April 2025</t>
  </si>
  <si>
    <t>PP25-137</t>
  </si>
  <si>
    <t>Tagihan Dinas dan Lembur "Pengadaan Jasa Tenaga Alih Daya di Lingkungan Kantor Pusat PT PGE Tbk.", Periode April 2025</t>
  </si>
  <si>
    <t>37.871.400</t>
  </si>
  <si>
    <t>2.272.284</t>
  </si>
  <si>
    <t>4.165.854</t>
  </si>
  <si>
    <t>44.309.538</t>
  </si>
  <si>
    <t>345.224.338</t>
  </si>
  <si>
    <t>20.713.460</t>
  </si>
  <si>
    <t>40.253.158</t>
  </si>
  <si>
    <t>406.190.956</t>
  </si>
  <si>
    <t>PP25-060</t>
  </si>
  <si>
    <t>Tagihan Upah "Tenaga Alih Daya (TAD) di Lingkungan PT Pertamina Geothermal Energy Tbk Area Karaha" Periode Januari 2025</t>
  </si>
  <si>
    <t>253.294.074</t>
  </si>
  <si>
    <t>14.184.468</t>
  </si>
  <si>
    <t>29.422.640</t>
  </si>
  <si>
    <t>296.901.182</t>
  </si>
  <si>
    <t>PP25-061</t>
  </si>
  <si>
    <t>Tagihan Upah "Tenaga Alih Daya (TAD) di Lingkungan PT Pertamina Geothermal Energy Tbk Area Karaha" Periode Februari 2025</t>
  </si>
  <si>
    <t>249.980.433</t>
  </si>
  <si>
    <t>13.998.904</t>
  </si>
  <si>
    <t>29.037.727</t>
  </si>
  <si>
    <t>293.017.064</t>
  </si>
  <si>
    <t>PP25-062</t>
  </si>
  <si>
    <t>Tagihan Dinas &amp; Lembur "Tenaga Alih Daya (TAD) di Lingkungan PT Pertamina Geothermal Energy Tbk Area Karaha" Periode Januari 2025</t>
  </si>
  <si>
    <t>89.432.653</t>
  </si>
  <si>
    <t>5.008.229</t>
  </si>
  <si>
    <t>10.388.497</t>
  </si>
  <si>
    <t>104.829.379</t>
  </si>
  <si>
    <t>909.024.698</t>
  </si>
  <si>
    <t>49.996.358</t>
  </si>
  <si>
    <t>105.492.316</t>
  </si>
  <si>
    <t>1.064.513.373</t>
  </si>
  <si>
    <t>PP25-144</t>
  </si>
  <si>
    <t>Tagihan Dinas dan Lembur "Pengadaan Jasa Tenaga Alih Daya Di Fungsi Project Development PT. Pertamina Geothermal Energy No. Kontrak 3900558866 Tanggal 20 Februari 2025" untuk Kantor Pusat, Periode Januari 2025</t>
  </si>
  <si>
    <t>PP25-145</t>
  </si>
  <si>
    <t>Tagihan Dinas dan Lembur "Pengadaan Jasa Tenaga Alih Daya Di Fungsi Project Development PT. Pertamina Geothermal Energy No. Kontrak 3900558866 Tanggal 20 Februari 2025" untuk Proyek Sungai Penuh, Periode Januari 2025</t>
  </si>
  <si>
    <t>PP25-146</t>
  </si>
  <si>
    <t>3900556018</t>
  </si>
  <si>
    <t>PEKERJAAN PENGADAAN JASA KONSULTAN AUDIT SUPPORT" Periode Januari 2025</t>
  </si>
  <si>
    <t>PP25-147</t>
  </si>
  <si>
    <t>PEKERJAAN PENGADAAN JASA KONSULTAN AUDIT SUPPORT" Periode Februari 2025</t>
  </si>
  <si>
    <t>PP25-148</t>
  </si>
  <si>
    <t>PEKERJAAN PENGADAAN JASA KONSULTAN AUDIT SUPPORT" Periode Maret 2025</t>
  </si>
  <si>
    <t>PP25-149</t>
  </si>
  <si>
    <t>PEKERJAAN PENGADAAN JASA KONSULTAN AUDIT SUPPORT" Periode April 2025</t>
  </si>
  <si>
    <t>PP25-150</t>
  </si>
  <si>
    <t>Tagihan Dinas dan Lembur "Pengadaan Jasa Tenaga Alih Daya Di Fungsi Project Development PT. Pertamina Geothermal Energy No. Kontrak 3900558866 Tanggal 20 Februari 2025" untuk Proyek Hululais, Periode Februari 2025</t>
  </si>
  <si>
    <t>PP25-151</t>
  </si>
  <si>
    <t>Tagihan Dinas dan Lembur "Pengadaan Jasa Tenaga Alih Daya Di Fungsi Project Development PT. Pertamina Geothermal Energy No. Kontrak 3900558866 Tanggal 20 Februari 2025" untuk Kantor Pusat, Periode Februari 2025</t>
  </si>
  <si>
    <t>PP25-152</t>
  </si>
  <si>
    <t>Tagihan Dinas dan Lembur "Pengadaan Jasa Tenaga Alih Daya Di Fungsi Project Development PT. Pertamina Geothermal Energy No. Kontrak 3900558866 Tanggal 20 Februari 2025" untuk Proyek Sungai Penuh, Periode Februari 2025</t>
  </si>
  <si>
    <t>PP25-153</t>
  </si>
  <si>
    <t>Tagihan Lembur "Pengadaan Jasa Tenaga Alih Daya Di Fungsi Project Development PT. Pertamina Geothermal Energy No. Kontrak 3900558866 Tanggal 20 Februari 2025" untuk Proyek Hululais, Periode Maret 2025</t>
  </si>
  <si>
    <t>PP25-154</t>
  </si>
  <si>
    <t>Tagihan Dinas &amp; Lembur "Pengadaan Jasa Tenaga Alih Daya Di Fungsi Project Development PT. Pertamina Geothermal Energy No. Kontrak 3900558866 Tanggal 20 Februari 2025" untuk Proyek Hululais, Periode April 2025</t>
  </si>
  <si>
    <t>PP25-155</t>
  </si>
  <si>
    <t> KP182</t>
  </si>
  <si>
    <t>PENGADAAN JASA PENYEWAAN MOTOR PATROLI SECURITY LUMUT BALAI Periode : Jan sd 11 Maret 2025</t>
  </si>
  <si>
    <t>PP25-156</t>
  </si>
  <si>
    <t>Pengadaan Jasa Tenaga Alih Daya Area Ulubelu PT. Pertamina Geothermal Energy No. Kontrak 4600004404 Tanggal 2025, Periode tagihan : Dinas Maret 2025</t>
  </si>
  <si>
    <t>PP25-157</t>
  </si>
  <si>
    <t>Pengadaan Jasa Tenaga Alih Daya Area Ulubelu PT. Pertamina Geothermal Energy No. Kontrak 4600004404 Tanggal 2025, Periode tagihan : Lembur Maret 2025</t>
  </si>
  <si>
    <t>PP25-158</t>
  </si>
  <si>
    <t>Pengadaan Jasa Tenaga Alih Daya Area Ulubelu PT. Pertamina Geothermal Energy No. Kontrak 4600004404 Tanggal 2025, Periode tagihan : Dinas Februari 2025</t>
  </si>
  <si>
    <t>PP25-159</t>
  </si>
  <si>
    <t>Pengadaan Jasa Tenaga Alih Daya Area Ulubelu PT. Pertamina Geothermal Energy No. Kontrak 4600004404 Taggal 2025, Periode tagihan : Lembur Februari 2025</t>
  </si>
  <si>
    <t>PP25-160</t>
  </si>
  <si>
    <t xml:space="preserve">Pengadaan Jasa Tenaga Alih Daya Area Ulubelu PT. Pertamina Geothermal
Energy No. Kontrak 4600004404 Tanggal 21 Mei 2025, Periode tagihan : Upah Februari 2025
</t>
  </si>
  <si>
    <t>PP25-161</t>
  </si>
  <si>
    <t xml:space="preserve">Pengadaan Jasa Tenaga Alih Daya Area Ulubelu PT. Pertamina Geothermal
Energy No. Kontrak 4600004404 Tanggal 21 Mei 2025, Periode tagihan : THR 2025
</t>
  </si>
  <si>
    <t>PP25-162</t>
  </si>
  <si>
    <t xml:space="preserve">Pengadaan Jasa Tenaga Alih Daya Area Ulubelu PT. Pertamina Geothermal
Energy No. Kontrak 4600004404 Tanggal 21 Mei 2025, Periode tagihan : Upah Maret 2025
</t>
  </si>
  <si>
    <t>PP25-163</t>
  </si>
  <si>
    <t>Pengadaan Jasa Tenaga Alih Daya Area Ulubelu PT. Pertamina Geothermal
Energy No. Kontrak 4600004404 Tanggal 21Mei 2025, Periode tagihan : Upah April 2025</t>
  </si>
  <si>
    <t>PP25-064</t>
  </si>
  <si>
    <t>Tagihan THR Area Jasa TAD LMB "Pengadaan Jasa Tenaga Ahli Daya (TAD) PT PGE Tbk Area Lumut Balai"
Periode Maret 2025.</t>
  </si>
  <si>
    <t>275.462.820</t>
  </si>
  <si>
    <t>30.300.910</t>
  </si>
  <si>
    <t>305.763.730</t>
  </si>
  <si>
    <t>PP25-065</t>
  </si>
  <si>
    <t>Tagihan THR Project Jasa TAD LMB "Pengadaan Jasa Tenaga Ahli Daya (TAD) PT PGE Tbk Area Lumut Balai"
Periode Maret 2025.</t>
  </si>
  <si>
    <t>13.413.324</t>
  </si>
  <si>
    <t>1.475.466</t>
  </si>
  <si>
    <t>14.888.790</t>
  </si>
  <si>
    <t>PP25-066</t>
  </si>
  <si>
    <t>Tagihan THR "Tenaga Alih Daya (TAD) di Lingkungan PT Pertamina Geothermal Energy Tbk Area Karaha" Periode 2025</t>
  </si>
  <si>
    <t>197.169.921</t>
  </si>
  <si>
    <t>11.041.516</t>
  </si>
  <si>
    <t>22.903.258</t>
  </si>
  <si>
    <t>231.114.695</t>
  </si>
  <si>
    <t>PP25-068</t>
  </si>
  <si>
    <t>Tagihan THR "Pengadaan Jasa Functional Support sebagai Watchmen HSE di pekerjaan EPCC
Proyek Lumut Balai Unit -2" Periode 2025</t>
  </si>
  <si>
    <t>19.409.968</t>
  </si>
  <si>
    <t>2.135.096</t>
  </si>
  <si>
    <t>21.545.064</t>
  </si>
  <si>
    <t>166.464.417</t>
  </si>
  <si>
    <t>8.822.614</t>
  </si>
  <si>
    <t>19.281.573</t>
  </si>
  <si>
    <t>194.568.605</t>
  </si>
  <si>
    <t>PP25-170</t>
  </si>
  <si>
    <t>Tagihan Upah "Pengadaan Jasa Tenaga Kerja Jasa Penunjang Bidang Pemboran" Periode Mei 2025</t>
  </si>
  <si>
    <t>29.435.993</t>
  </si>
  <si>
    <t>1.560.108</t>
  </si>
  <si>
    <t>3.409.571</t>
  </si>
  <si>
    <t>34.405.672</t>
  </si>
  <si>
    <t>26.556.529</t>
  </si>
  <si>
    <t>1.407.496</t>
  </si>
  <si>
    <t>3.076.043</t>
  </si>
  <si>
    <t>31.040.068</t>
  </si>
  <si>
    <t>51.519.251</t>
  </si>
  <si>
    <t>5.151.925</t>
  </si>
  <si>
    <t>6.233.829</t>
  </si>
  <si>
    <t>62.905.005</t>
  </si>
  <si>
    <t>PP25-073</t>
  </si>
  <si>
    <t>Tagihan Dinas &amp; Lembur "Tenaga Alih Daya (TAD) di Lingkungan PT Pertamina Geothermal Energy Tbk Area Karaha" Periode  Februari 2025</t>
  </si>
  <si>
    <t>98.848.267</t>
  </si>
  <si>
    <t>5.535.503</t>
  </si>
  <si>
    <t>11.482.215</t>
  </si>
  <si>
    <t>115.865.985</t>
  </si>
  <si>
    <t>PP25-075</t>
  </si>
  <si>
    <t>Tagihan Upah Area Jasa TAD LMB "Pengadaan Jasa Tenaga Ahli Daya (TAD) PT PGE Tbk Area Lumut Balai"
Periode Maret 2025.</t>
  </si>
  <si>
    <t>318.395.442</t>
  </si>
  <si>
    <t>35.023.499</t>
  </si>
  <si>
    <t>353.418.941</t>
  </si>
  <si>
    <t>PP25-177</t>
  </si>
  <si>
    <t>Tagihan Upah "Pengadaan Jasa Tenaga Alih Daya di Lingkungan Kantor Pusat PT PGE Tbk." untuk fungsi Geoscience, Periode Mei 2025</t>
  </si>
  <si>
    <t>PP25-178</t>
  </si>
  <si>
    <t>Tagihan Upah "Pengadaan Jasa Tenaga Alih Daya di Lingkungan Kantor Pusat PT PGE Tbk." untuk fungsi Reservoir, Periode Mei 2026</t>
  </si>
  <si>
    <t>PP25-179</t>
  </si>
  <si>
    <t>Tagihan Upah "Pengadaan Jasa Tenaga Alih Daya di Lingkungan Kantor Pusat PT PGE Tbk.", Periode Mei 2025</t>
  </si>
  <si>
    <t>PP25-076</t>
  </si>
  <si>
    <t>Tagihan Upah Project Jasa TAD LMB "Pengadaan Jasa Tenaga Ahli Daya (TAD) PT PGE Tbk Area Lumut Balai"
Periode Maret 2025.</t>
  </si>
  <si>
    <t>26.564.013</t>
  </si>
  <si>
    <t>2.922.041</t>
  </si>
  <si>
    <t>29.486.054</t>
  </si>
  <si>
    <t>PP25-181</t>
  </si>
  <si>
    <t>Tagihan Upah "Pengadaan Jasa Tenaga Alih Daya Di Fungsi Project Development  PT. Pertamina Geothermal Energy No. Kontrak 3900558866 Tanggal 20 Februari 2025" untuk Proyek Hululais, Periode Mei 2025</t>
  </si>
  <si>
    <t>PP25-182</t>
  </si>
  <si>
    <t>Tagihan Upah "Pengadaan Jasa Tenaga Alih Daya Di Fungsi Project Development  PT. Pertamina Geothermal Energy No. Kontrak 3900558866 Tanggal 20 Februari 2025" untuk Kantor Pusat, Periode Mei 2025</t>
  </si>
  <si>
    <t>PP25-183</t>
  </si>
  <si>
    <t>Tagihan Upah "Pengadaan Jasa Tenaga Alih Daya Di Fungsi Project Development  PT. Pertamina Geothermal Energy No. Kontrak 3900558866 Tanggal 20 Februari 2025" untuk Proyek Sungai Penuh, Periode Mei 2025</t>
  </si>
  <si>
    <t>PP25-077</t>
  </si>
  <si>
    <t>Tagihan Lembur Area Jasa TAD LMB "Pengadaan Jasa Tenaga Ahli Daya (TAD) PT PGE Tbk Area Lumut Balai"
Periode Maret 2025.</t>
  </si>
  <si>
    <t>58.988.153</t>
  </si>
  <si>
    <t>6.488.697</t>
  </si>
  <si>
    <t>65.476.850</t>
  </si>
  <si>
    <t>PP25-185</t>
  </si>
  <si>
    <t>Pengadaan Jasa Penunjang Fungsi Quality Management untuk Penyusunan STK di Kantor Pusat PT Pertamina Geothermal Energy No. Perjanjian 3900555529 tanggal 19 Maret 2025 Periode Mei 2025</t>
  </si>
  <si>
    <t>PP25-186</t>
  </si>
  <si>
    <t>Tagihan Biaya Perjalanan Dinas "Pengadaan Jasa Tenaga Alih Daya di Lingkungan Kantor Pusat PT PGE Tbk." untuk fungsi Geoscience, Periode  Mei 2025</t>
  </si>
  <si>
    <t>PP25-187</t>
  </si>
  <si>
    <t>Tagihan Biaya Perjalanan Dinas "Pengadaan Jasa Tenaga Alih Daya di Lingkungan Kantor Pusat PT PGE Tbk." untuk fungsi Reservoir, Periode  Mei 2025</t>
  </si>
  <si>
    <t>PP25-188</t>
  </si>
  <si>
    <t>Tagihan Dinas dan Lembur "Pengadaan Jasa Tenaga Alih Daya di Lingkungan Kantor Pusat PT PGE Tbk.", Periode Mei 2025</t>
  </si>
  <si>
    <t>PP25-189</t>
  </si>
  <si>
    <t>PEKERJAAN PENGADAAN JASA KONSULTAN AUDIT SUPPORT" Periode Mei 2025</t>
  </si>
  <si>
    <t>PP25-190</t>
  </si>
  <si>
    <t>Tagihan Dinas &amp; Lembur "Pengadaan Jasa Tenaga Alih Daya Di Fungsi Project Development  PT. Pertamina Geothermal Energy No. Kontrak 3900558866 Tanggal 20 Februari 2025" untuk Proyek Hululais, Periode Mei 2025</t>
  </si>
  <si>
    <t>PP25-191</t>
  </si>
  <si>
    <t>Tagihan Dinas dan Lembur "Pengadaan Jasa Tenaga Alih Daya Di Fungsi Project Development  PT. Pertamina Geothermal Energy No. Kontrak 3900558866 Tanggal 20 Februari 2025" untuk Kantor Pusat, Periode Mei 2025</t>
  </si>
  <si>
    <t>PP25-078</t>
  </si>
  <si>
    <t>Tagihan Lembur Project Jasa TAD LMB "Pengadaan Jasa Tenaga Ahli Daya (TAD) PT PGE Tbk Area Lumut Balai"
Periode Maret 2025.</t>
  </si>
  <si>
    <t>23.039.010</t>
  </si>
  <si>
    <t>2.534.291</t>
  </si>
  <si>
    <t>25.573.301</t>
  </si>
  <si>
    <t>PP25-193</t>
  </si>
  <si>
    <t>Jasa PMC Proyek EPCC Unit-2 Tahun 2023-2025 PTPGE Area Lumut Balai No. 3900540206 tanggal 6 Desember 2023, Periode Mei 2025</t>
  </si>
  <si>
    <t>PP25-079</t>
  </si>
  <si>
    <t>Tagihan Dinas Area Jasa TAD LMB "Pengadaan Jasa Tenaga Ahli Daya (TAD) PT PGE Tbk Area Lumut Balai"
Periode Maret 2025.</t>
  </si>
  <si>
    <t>68.215.746</t>
  </si>
  <si>
    <t>75.719.478</t>
  </si>
  <si>
    <t>PP25-080</t>
  </si>
  <si>
    <t>Tagihan Dinas Geosience Jasa TAD LMB "Pengadaan Jasa Tenaga Ahli Daya (TAD) PT PGE Tbk Area Lumut Balai"
Periode Maret 2025.</t>
  </si>
  <si>
    <t>7.892.680</t>
  </si>
  <si>
    <t>8.760.875</t>
  </si>
  <si>
    <t>PP25-081</t>
  </si>
  <si>
    <t>Tagihan Borongan Administrasi Jasa TAD LMB "Pengadaan Jasa Tenaga Ahli Daya (TAD) PT PGE Tbk Area Lumut Balai"
Periode Maret 2025.</t>
  </si>
  <si>
    <t>171.617.573</t>
  </si>
  <si>
    <t>9.095.731</t>
  </si>
  <si>
    <t>19.878.463</t>
  </si>
  <si>
    <t>200.591.768</t>
  </si>
  <si>
    <t>PP25-200</t>
  </si>
  <si>
    <t>Tagihan Premi MAPS Tambahan NOTA BI24152456 "Pengadaan Jasa Tenaga Alih Daya di Lingkungan Kantor Pusat PT PGE Tbk." untuk fungsi Geoscience, Periode 2024</t>
  </si>
  <si>
    <t>PP25-201</t>
  </si>
  <si>
    <t>Tagihan Profit  MAPS TambahanNOTA BI24152456 "Pengadaan Jasa Tenaga Alih Daya di Lingkungan Kantor Pusat PT PGE Tbk." untuk fungsi Geoscience, Periode 2024</t>
  </si>
  <si>
    <t>PP25-202</t>
  </si>
  <si>
    <t>Tagihan Premi MAPS Tambahan NOTA BI24152456 "Pengadaan Jasa Tenaga Alih Daya di Lingkungan Kantor Pusat PT PGE Tbk.", Periode 2024</t>
  </si>
  <si>
    <t>PP25-203</t>
  </si>
  <si>
    <t>Tagihan Profit  MAPS Tambahan NOTA BI24152456 "Pengadaan Jasa Tenaga Alih Daya di Lingkungan Kantor Pusat PT PGE Tbk.", Periode 2024</t>
  </si>
  <si>
    <t>63.497.929</t>
  </si>
  <si>
    <t>3.809.876</t>
  </si>
  <si>
    <t>7.403.859</t>
  </si>
  <si>
    <t>74.711.663</t>
  </si>
  <si>
    <t>PP25-205</t>
  </si>
  <si>
    <t>KP182</t>
  </si>
  <si>
    <t>PENGADAAN JASA PENYEWAAN MOTOR PATROLI SECURITY LUMUT BALAI                
Periode :                14 Maret s/d 14 Juni 2025</t>
  </si>
  <si>
    <t>42.617.016</t>
  </si>
  <si>
    <t>2.557.021</t>
  </si>
  <si>
    <t>4.969.144</t>
  </si>
  <si>
    <t>50.143.181</t>
  </si>
  <si>
    <t>PP25-207</t>
  </si>
  <si>
    <t>Pengadaan Jasa Tenaga Alih Daya Area Ulubelu  PT. Pertamina Geothermal Energy No. Kontrak 4600004404 Tanggal           2025, Periode tagihan : Lembur April 2025</t>
  </si>
  <si>
    <t>PP25-208</t>
  </si>
  <si>
    <t>Pengadaan Jasa Tenaga Alih Daya Area Ulubelu  PT. Pertamina Geothermal Energy No. Kontrak 4600004404 Tanggal           2025, Periode tagihan :        Dinas April 2025</t>
  </si>
  <si>
    <t>PP25-209</t>
  </si>
  <si>
    <t>Pengadaan Jasa Tenaga Alih Daya Area Ulubelu  PT. Pertamina Geothermal Energy No. Kontrak 4600004404 Tanggal 21Mei 2025, Periode tagihan :         Upah Mei 2025</t>
  </si>
  <si>
    <t>PP25-210</t>
  </si>
  <si>
    <t>Tagihan Upah "Pengadaan Jasa Tenaga Kerja Jasa Penunjang Bidang Pemboran" Periode Juni 2025</t>
  </si>
  <si>
    <t>PP25-211</t>
  </si>
  <si>
    <t>Tagihan Premi MAPS "Pengadaan Jasa Tenaga Pekarya di Bidang Pemboran  PT. Pertamina Geothermal Energy. No. Kontrak 4650017160" Periode 2025</t>
  </si>
  <si>
    <t>PP25-212</t>
  </si>
  <si>
    <t>Tagihan Profit MAPS "Pengadaan Jasa Tenaga Pekarya di Bidang Pemboran  PT. Pertamina Geothermal Energy. No. Kontrak 4650017160" Periode 2025</t>
  </si>
  <si>
    <t>PP25-213</t>
  </si>
  <si>
    <t>Tagihan Upah "Pengadaan Jasa Tenaga Alih Daya di Lingkungan Kantor Pusat PT PGE Tbk." untuk fungsi Geoscience, Periode Juni 2025</t>
  </si>
  <si>
    <t>PP25-214</t>
  </si>
  <si>
    <t>Tagihan Upah "Pengadaan Jasa Tenaga Alih Daya di Lingkungan Kantor Pusat PT PGE Tbk." untuk fungsi Reservoir, Periode Juni 2025</t>
  </si>
  <si>
    <t>PP25-215</t>
  </si>
  <si>
    <t>Tagihan Upah "Pengadaan Jasa Tenaga Alih Daya di Lingkungan Kantor Pusat PT PGE Tbk.", Periode Juni 2025</t>
  </si>
  <si>
    <t>PP25-216</t>
  </si>
  <si>
    <t xml:space="preserve">Tagihan Upah "Pengadaan Jasa Tenaga Alih Daya Di Fungsi Project Development  PT. Pertamina Geothermal Energy No. Kontrak 3900558866 Tanggal 20 Februari 2025" untuk Proyek Hululais, Periode Juni 2025
</t>
  </si>
  <si>
    <t>PP25-217</t>
  </si>
  <si>
    <t xml:space="preserve">Tagihan Upah "Pengadaan Jasa Tenaga Alih Daya Di Fungsi Project Development  PT. Pertamina Geothermal Energy No. Kontrak 3900558866 Tanggal 20 Februari 2025" untuk Kantor Pusat, Periode Juni 2025
</t>
  </si>
  <si>
    <t>PP25-218</t>
  </si>
  <si>
    <t xml:space="preserve">Tagihan Upah "Pengadaan Jasa Tenaga Alih Daya Di Fungsi Project Development  PT. Pertamina Geothermal Energy No. Kontrak 3900558866 Tanggal 20 Februari 2025" untuk Proyek Sungai Penuh, Periode Juni 2025
</t>
  </si>
  <si>
    <t>430.096.733</t>
  </si>
  <si>
    <t>25.805.804</t>
  </si>
  <si>
    <t>50.149.279</t>
  </si>
  <si>
    <t>506.051.816</t>
  </si>
  <si>
    <t>PP25-088</t>
  </si>
  <si>
    <t>Tagihan Upah "Tenaga Alih Daya (TAD) di Lingkungan PT Pertamina Geothermal Energy Tbk Area Karaha" Periode Maret 2025</t>
  </si>
  <si>
    <t>258.075.531</t>
  </si>
  <si>
    <t>14.452.230</t>
  </si>
  <si>
    <t>29.978.054</t>
  </si>
  <si>
    <t>302.505.814</t>
  </si>
  <si>
    <t>PP25-089</t>
  </si>
  <si>
    <t>Tagihan Dinas &amp; Lembur "Tenaga Alih Daya (TAD) di Lingkungan PT Pertamina Geothermal Energy Tbk Area Karaha" Periode Maret 2025</t>
  </si>
  <si>
    <t>100.337.205</t>
  </si>
  <si>
    <t>5.618.883</t>
  </si>
  <si>
    <t>11.655.170</t>
  </si>
  <si>
    <t>117.611.258</t>
  </si>
  <si>
    <t>PP25-091</t>
  </si>
  <si>
    <t>Tagihan SPK "Pengadaan Jasa Functional Support sebagai Watchmen HSE di pekerjaan EPCC
Proyek Lumut Balai Unit -2" Periode Maret 2025</t>
  </si>
  <si>
    <t>64.919.597</t>
  </si>
  <si>
    <t>3.895.176</t>
  </si>
  <si>
    <t>7.569.625</t>
  </si>
  <si>
    <t>76.384.398</t>
  </si>
  <si>
    <t>21.411.099</t>
  </si>
  <si>
    <t>1.284.666</t>
  </si>
  <si>
    <t>2.496.534</t>
  </si>
  <si>
    <t>25.192.299</t>
  </si>
  <si>
    <t>61.636.697</t>
  </si>
  <si>
    <t>3.698.202</t>
  </si>
  <si>
    <t>7.186.839</t>
  </si>
  <si>
    <t>72.521.738</t>
  </si>
  <si>
    <t>PP25-227</t>
  </si>
  <si>
    <t>Tagihan Biaya Perjalanan Dinas "Pengadaan Jasa Tenaga Alih Daya di Lingkungan Kantor Pusat PT PGE Tbk." untuk fungsi Geoscience, Periode Juni 2025</t>
  </si>
  <si>
    <t>PP25-228</t>
  </si>
  <si>
    <t>Tagihan Biaya Perjalanan Dinas "Pengadaan Jasa Tenaga Alih Daya di Lingkungan Kantor Pusat PT PGE Tbk." untuk fungsi Reservoir, Periode Juni 2025</t>
  </si>
  <si>
    <t>PP25-229</t>
  </si>
  <si>
    <t>Tagihan Dinas dan Lembur "Pengadaan Jasa Tenaga Alih Daya di Lingkungan Kantor Pusat PT PGE Tbk.", Periode Juni 2025</t>
  </si>
  <si>
    <t>PP25-230</t>
  </si>
  <si>
    <t xml:space="preserve">Tagihan Dinas &amp; Lembur "Pengadaan Jasa Tenaga Alih Daya Di Fungsi Project Development  PT. Pertamina Geothermal Energy No. Kontrak 3900558866 Tanggal 20 Februari 2025" untuk Proyek Hululais, Periode Juni 2025
</t>
  </si>
  <si>
    <t>PP25-231</t>
  </si>
  <si>
    <t>Jasa PMC Proyek EPCC Unit-2 Tahun 2023-2025 PTPGE Area Lumut Balai No. 3900540206 tanggal 6 Desember 2023, Periode Juni 2025</t>
  </si>
  <si>
    <t>PP25-232</t>
  </si>
  <si>
    <t xml:space="preserve">Pembayaran Tahap III Penerbitan Sertifikat Pendaftaran Paten PGE di negara islandia </t>
  </si>
  <si>
    <t>154.234.887</t>
  </si>
  <si>
    <t>8.328.684</t>
  </si>
  <si>
    <t>17.881.993</t>
  </si>
  <si>
    <t>180.445.564</t>
  </si>
  <si>
    <t>128.566.675</t>
  </si>
  <si>
    <t>6.942.600</t>
  </si>
  <si>
    <t>14.906.020</t>
  </si>
  <si>
    <t>150.415.296</t>
  </si>
  <si>
    <t>44.901.194</t>
  </si>
  <si>
    <t>2.379.763</t>
  </si>
  <si>
    <t>5.200.905</t>
  </si>
  <si>
    <t>52.481.863</t>
  </si>
  <si>
    <t>PP25-099</t>
  </si>
  <si>
    <t>Tagihan Upah "Pengadaan Jasa Tenaga Alih Daya di Lingkungan Kantor Pusat PT PGE Tbk Fungsi Planning &amp; Risk Management." Periode Februari fungsi erm</t>
  </si>
  <si>
    <t>8.206.164</t>
  </si>
  <si>
    <t>9.792.005</t>
  </si>
  <si>
    <t>PP25-238</t>
  </si>
  <si>
    <t>Tagihan Upah dan Lembur atas Jasa Penyediaan Tenaga Kerja Jasa Penunjang PT. Asuransi Jiwa Syariah Bumiputera Periode Juni 2025</t>
  </si>
  <si>
    <t>PP25-239</t>
  </si>
  <si>
    <t xml:space="preserve"> Tagihan Premi MAPS NOTA BI25153210 "Pengadaan Jasa Tenaga Alih Daya di Lingkungan Kantor Pusat PT PGE Tbk." untuk fungsi Geoscience, Periode  2025</t>
  </si>
  <si>
    <t>PP25-240</t>
  </si>
  <si>
    <t>Tagihan Profit MAPS NOTA BI25153210 "Pengadaan Jasa Tenaga Alih Daya di Lingkungan Kantor Pusat PT PGE Tbk." untuk fungsi Geoscience, Periode  2025</t>
  </si>
  <si>
    <t>PP25-241</t>
  </si>
  <si>
    <t>Tagihan Premi MAPS NOTA BI25153210  "Pengadaan Jasa Tenaga Alih Daya di Lingkungan Kantor Pusat PT PGE Tbk." untuk fungsi Reservoir, Periode 2025</t>
  </si>
  <si>
    <t>PP25-242</t>
  </si>
  <si>
    <t>Tagihan Profit MAPS NOTA BI25153210  "Pengadaan Jasa Tenaga Alih Daya di Lingkungan Kantor Pusat PT PGE Tbk." untuk fungsi Reservoir, Periode 2025</t>
  </si>
  <si>
    <t>PP25-243</t>
  </si>
  <si>
    <t>Tagihan Premi MAPS NOTA BI25153210 "Pengadaan Jasa Tenaga Alih Daya di Lingkungan Kantor Pusat PT PGE Tbk.", Periode 2025</t>
  </si>
  <si>
    <t>PP25-244</t>
  </si>
  <si>
    <t>Tagihan Profit MAPS NOTA BI25153210 "Pengadaan Jasa Tenaga Alih Daya di Lingkungan Kantor Pusat PT PGE Tbk.", Periode 2025</t>
  </si>
  <si>
    <t>PP25-245</t>
  </si>
  <si>
    <t>PEKERJAAN PENGADAAN JASA KONSULTAN AUDIT SUPPORT" Periode Juni 2025</t>
  </si>
  <si>
    <t>PP25-246</t>
  </si>
  <si>
    <t>Tagihan Premi MAPS NOTA DN23028079  "Jasa PMC Proyek EPCC Unit-2 Tahun 2023-2025 PTPGE Area Lumut Balai No. 3900540206 tanggal 6 Desember 2023", Periode 2023</t>
  </si>
  <si>
    <t>PP25-247</t>
  </si>
  <si>
    <t>Tagihan Profit MAPS NOTA DN23028079  "Jasa PMC Proyek EPCC Unit-2 Tahun 2023-2025 PTPGE Area Lumut Balai No. 3900540206 tanggal 6 Desember 2023", Periode 2023</t>
  </si>
  <si>
    <t>PP25-248</t>
  </si>
  <si>
    <t>Tagihan Premi MAPS NOTA BI24148628  "Jasa PMC Proyek EPCC Unit-2 Tahun 2023-2025 PTPGE Area Lumut Balai No. 3900540206 tanggal 6 Desember 2023", Periode 2024</t>
  </si>
  <si>
    <t>PP25-249</t>
  </si>
  <si>
    <t>Tagihan Profit MAPS NOTA BI24148628  "Jasa PMC Proyek EPCC Unit-2 Tahun 2023-2025 PTPGE Area Lumut Balai No. 3900540206 tanggal 6 Desember 2023", Periode 2024</t>
  </si>
  <si>
    <t>PP25-250</t>
  </si>
  <si>
    <t>Jasa PMC Proyek EPCC Unit-2 Tahun 2023-2025 PT PGE Area Lumut Balai No. 3900540206 tanggal 6 Desember 2023, Periode BHR 2023</t>
  </si>
  <si>
    <t>PP25-251</t>
  </si>
  <si>
    <t xml:space="preserve">KP25-011
</t>
  </si>
  <si>
    <t>Jasa Identifikasi Validasi dan Pengukuran Lahan Cooling Tahap II</t>
  </si>
  <si>
    <t>PP25-252</t>
  </si>
  <si>
    <t>Jasa PMC Proyek EPCC Unit-2 Tahun 2023-2025 PT PGE Area Lumut Balai No. 3900540206 tanggal 6 Desember 2023, Periode MCU 2023</t>
  </si>
  <si>
    <t>PP25-253</t>
  </si>
  <si>
    <t>Reimburse MCU "Jasa PMC Proyek EPCC Unit-2 Tahun 2023-2025 PTPGE Area Lumut Balai No. 3900540206 tanggal 6 Desember 2023", Periode 2024
KERJA DAN UPDATE KEEKONOMIAN PROYEK-PROYEK PGE
Tahap I</t>
  </si>
  <si>
    <t>PP25-253-1</t>
  </si>
  <si>
    <t>PENGADAAN JASA KONSULTANSI PENYUSUNAN KERTAS
KERJA DAN UPDATE KEEKONOMIAN PROYEK-PROYEK PGE
Tahap I</t>
  </si>
  <si>
    <t>PP25-254</t>
  </si>
  <si>
    <t>Tagihan THR "Jasa PMC Proyek EPCC Unit-2 Tahun 2023-2025 PTPGE Area Lumut Balai No. 3900540206 tanggal 6 Desember 2023", Periode 2025</t>
  </si>
  <si>
    <t>PP25-255</t>
  </si>
  <si>
    <t>Dinas "Jasa PMC Proyek EPCC Unit-2 Tahun 2023-2025 PTPGE Area Lumut Balai No. 3900540206 tanggal 6 Desember 2023", Periode Feb-Jun 25</t>
  </si>
  <si>
    <t>PP25-256</t>
  </si>
  <si>
    <t>Pengadaan Jasa Tenaga Alih Daya Area Ulubelu  PT. Pertamina Geothermal Energy No. Kontrak 4600004404 Tanggal           2025, Periode tagihan : Lembur Mei 2025</t>
  </si>
  <si>
    <t>PP25-257</t>
  </si>
  <si>
    <t>Pengadaan Jasa Tenaga Alih Daya Area Ulubelu  PT. Pertamina Geothermal Energy No. Kontrak 4600004404 Tanggal           2025, Periode tagihan :        Dinas Mei 2025</t>
  </si>
  <si>
    <t>PP25-258</t>
  </si>
  <si>
    <t>Pengadaan Jasa Tenaga Alih Daya Area Ulubelu  PT. Pertamina Geothermal Energy No. Kontrak 4600004404 Tanggal 21Mei 2025, Periode tagihan :        Upah Juni 2025</t>
  </si>
  <si>
    <t>PP25-259</t>
  </si>
  <si>
    <t>Tagihan Upah dan Lembur atas Jasa Penyediaan Tenaga Kerja Jasa Penunjang PT. Asuransi Jiwa Syariah Bumiputera Periode Juli 2025</t>
  </si>
  <si>
    <t>PP25-100</t>
  </si>
  <si>
    <t>Tagihan Upah "Pengadaan Jasa Tenaga Alih Daya di Lingkungan Kantor Pusat PT PGE Tbk Fungsi Planning &amp; Risk Management." Periode Februari fungsi csp</t>
  </si>
  <si>
    <t>16.412.329</t>
  </si>
  <si>
    <t>1.230.925</t>
  </si>
  <si>
    <t>1.940.758</t>
  </si>
  <si>
    <t>19.584.012</t>
  </si>
  <si>
    <t>PP25-101</t>
  </si>
  <si>
    <t>Tagihan Upah "Pengadaan Jasa Tenaga Alih Daya di Lingkungan Kantor Pusat PT PGE Tbk Fungsi Planning &amp; Risk Management." Periode Februari fungsi sps</t>
  </si>
  <si>
    <t>8.166.505</t>
  </si>
  <si>
    <t>9.744.682</t>
  </si>
  <si>
    <t>PP25-102</t>
  </si>
  <si>
    <t>Tagihan Upah "Pengadaan Jasa Tenaga Alih Daya di Lingkungan Kantor Pusat PT PGE Tbk Fungsi Planning &amp; Risk Management." Periode Februari fungsi ICoFR</t>
  </si>
  <si>
    <t>PP25-103</t>
  </si>
  <si>
    <t>Tagihan Upah "Pengadaan Jasa Tenaga Alih Daya di Lingkungan Kantor Pusat PT PGE Tbk Fungsi Planning &amp; Risk Management." Periode Maret ICoFR</t>
  </si>
  <si>
    <t>PP25-264</t>
  </si>
  <si>
    <t>Tagihan Biaya MCU "Pengadaan Jasa Tenaga Alih Daya Di Fungsi Project Development  PT. Pertamina Geothermal Energy No. Kontrak 3900558866 Tanggal 20 Februari 2025" untuk Proyek Hululais, Periode Tahun 2025</t>
  </si>
  <si>
    <t>PP25-265</t>
  </si>
  <si>
    <t>Tagihan Biaya MCU "Pengadaan Jasa Tenaga Alih Daya Di Fungsi Project Development  PT. Pertamina Geothermal Energy No. Kontrak 3900558866 Tanggal 20 Februari 2025" untuk Kantor Pusat, Periode Tahun 2025</t>
  </si>
  <si>
    <t>PP25-266</t>
  </si>
  <si>
    <t>Tagihan Upah "Pengadaan Jasa Tenaga Alih Daya Di Fungsi Project Development  PT. Pertamina Geothermal Energy No. Kontrak 3900558866 Tanggal 20 Februari 2025" untuk Proyek Sungai Penuh, Periode Tahun 2025</t>
  </si>
  <si>
    <t>PP25-267</t>
  </si>
  <si>
    <t>Tagihan Upah "Pengadaan Jasa Tenaga Kerja Jasa Penunjang Bidang Pemboran" Periode Juli 2025</t>
  </si>
  <si>
    <t>PP25-104</t>
  </si>
  <si>
    <t>Tagihan Upah "Pengadaan Jasa Tenaga Alih Daya di Lingkungan Kantor Pusat PT PGE Tbk Fungsi Planning &amp; Risk Management." Periode Maret CSP</t>
  </si>
  <si>
    <t>PP25-269</t>
  </si>
  <si>
    <t>Tagihan Upah "Pengadaan Jasa Tenaga Alih Daya di Lingkungan Kantor Pusat PT PGE Tbk." untuk fungsi Geoscience, Periode Juli 2025</t>
  </si>
  <si>
    <t>PP25-270</t>
  </si>
  <si>
    <t>Tagihan Upah "Pengadaan Jasa Tenaga Alih Daya di Lingkungan Kantor Pusat PT PGE Tbk." untuk fungsi Reservoir, Periode Juli 2025</t>
  </si>
  <si>
    <t>PP25-271</t>
  </si>
  <si>
    <t>Tagihan Upah "Pengadaan Jasa Tenaga Alih Daya di Lingkungan Kantor Pusat PT PGE Tbk.", Periode Juli 2025</t>
  </si>
  <si>
    <t>PP25-272</t>
  </si>
  <si>
    <t>Tagihan Upah "Pengadaan Jasa Konsultan Audit Support No. 3900556018" Periode Juli 2025</t>
  </si>
  <si>
    <t>PP25-273</t>
  </si>
  <si>
    <t>Tagihan Upah "Pengadaan Jasa Tenaga Alih Daya Di Fungsi Project Development  PT. Pertamina Geothermal Energy No. Kontrak 3900558866 Tanggal 20 Februari 2025" untuk Proyek Hululais, Periode Juli 2025</t>
  </si>
  <si>
    <t>PP25-274</t>
  </si>
  <si>
    <t>Tagihan Upah "Pengadaan Jasa Tenaga Alih Daya Di Fungsi Project Development  PT. Pertamina Geothermal Energy No. Kontrak 3900558866 Tanggal 20 Februari 2025" untuk Kantor Pusat, Periode Juli 2025</t>
  </si>
  <si>
    <t>PP25-275</t>
  </si>
  <si>
    <t>Tagihan Upah "Pengadaan Jasa Tenaga Alih Daya Di Fungsi Project Development  PT. Pertamina Geothermal Energy No. Kontrak 3900558866 Tanggal 20 Februari 2025" untuk Proyek Sungai Penuh, Periode Juli 2025</t>
  </si>
  <si>
    <t>PP25-276</t>
  </si>
  <si>
    <t>Tagihan Dinas &amp; Lembur "Pengadaan Jasa Tenaga Alih Daya Di Fungsi Project Development  PT. Pertamina Geothermal Energy No. Kontrak 3900558866 Tanggal 20 Februari 2025" untuk Proyek Hululais, Periode Juli 2025</t>
  </si>
  <si>
    <t>PP25-105</t>
  </si>
  <si>
    <t>Tagihan Upah "Pengadaan Jasa Tenaga Alih Daya di Lingkungan Kantor Pusat PT PGE Tbk Fungsi Planning &amp; Risk Management." Periode Maret ERM</t>
  </si>
  <si>
    <t>PP25-106</t>
  </si>
  <si>
    <t>Tagihan Upah "Pengadaan Jasa Tenaga Alih Daya di Lingkungan Kantor Pusat PT PGE Tbk Fungsi Planning &amp; Risk Management." Periode Maret PM</t>
  </si>
  <si>
    <t>4.008.133</t>
  </si>
  <si>
    <t>4.782.705</t>
  </si>
  <si>
    <t>PP25-279</t>
  </si>
  <si>
    <t>Tagihan Biaya Perjalanan Dinas "Pengadaan Jasa Tenaga Alih Daya di Lingkungan Kantor Pusat PT PGE Tbk." untuk fungsi Geoscience, Periode Juli 2025</t>
  </si>
  <si>
    <t>PP25-280</t>
  </si>
  <si>
    <t>Tagihan Biaya Perjalanan Dinas "Pengadaan Jasa Tenaga Alih Daya di Lingkungan Kantor Pusat PT PGE Tbk." untuk fungsi Reservoir, Periode Juli 2025</t>
  </si>
  <si>
    <t>PP25-281</t>
  </si>
  <si>
    <t>Tagihan Dinas dan Lembur "Pengadaan Jasa Tenaga Alih Daya di Lingkungan Kantor Pusat PT PGE Tbk.", Periode Juli 2025</t>
  </si>
  <si>
    <t>PP25-282</t>
  </si>
  <si>
    <t>Tagihan Upah "Pengadaan Jasa Tenaga Alih Daya di Lingkungan Kantor Pusat PT PGE Tbk Fungsi Planning &amp; Risk Management." Periode Juli 2025 - CSP</t>
  </si>
  <si>
    <t>PP25-283</t>
  </si>
  <si>
    <t>Tagihan Upah "Pengadaan Jasa Tenaga Alih Daya di Lingkungan Kantor Pusat PT PGE Tbk Fungsi Planning &amp; Risk Management." Periode Juli 2025 - ERM</t>
  </si>
  <si>
    <t>PP25-284</t>
  </si>
  <si>
    <t>Tagihan Upah "Pengadaan Jasa Tenaga Alih Daya di Lingkungan Kantor Pusat PT PGE Tbk Fungsi Planning &amp; Risk Management." Periode Juli 2025 - icofr</t>
  </si>
  <si>
    <t>PP25-285</t>
  </si>
  <si>
    <t>Tagihan Upah "Pengadaan Jasa Tenaga Alih Daya di Lingkungan Kantor Pusat PT PGE Tbk Fungsi Planning &amp; Risk Management." Periode Juli 2025 - PM</t>
  </si>
  <si>
    <t>PP25-286</t>
  </si>
  <si>
    <t>Tagihan Upah "Pengadaan Jasa Tenaga Alih Daya di Lingkungan Kantor Pusat PT PGE Tbk Fungsi Planning &amp; Risk Management." Periode Juli 2025 - SPS</t>
  </si>
  <si>
    <t>PP25-287</t>
  </si>
  <si>
    <t>Reimbursment biaya tiket pengadaan jasa tenaga kerja jasa penunjang bidang pemboran kontrak jan - mar 2025 Bukit Daun</t>
  </si>
  <si>
    <t>PP25-288</t>
  </si>
  <si>
    <t>Reimbursment biaya tiket pengadaan jasa tenaga kerja jasa penunjang bidang pemboran kontrak jan - Jul 2025 Gunung Tiga</t>
  </si>
  <si>
    <t>PP25-289</t>
  </si>
  <si>
    <t>Reimbursment biaya tiket pengadaan jasa tenaga kerja jasa penunjang bidang pemboran kontrak jan - Jul 2025 Karaha</t>
  </si>
  <si>
    <t>PP25-290</t>
  </si>
  <si>
    <t>Jasa PMC Proyek EPCC Unit-2 Tahun 2023-2025 PTPGE Area Lumut Balai No. 3900540206 tanggal 6 Desember 2023, Periode Juli 2025</t>
  </si>
  <si>
    <t>PP25-291</t>
  </si>
  <si>
    <t>Tagihan Premi MAPS "Pengadaan Jasa Tenaga Alih Daya Di Fungsi Project Development  PT. Pertamina Geothermal Energy No. Kontrak 3900558866 Tanggal 20 Februari 2025" untuk Proyek Hululais, Periode Tahun 2025</t>
  </si>
  <si>
    <t>PP25-292</t>
  </si>
  <si>
    <t>Tagihan Premi MAPS "Pengadaan Jasa Tenaga Alih Daya Di Fungsi Project Development  PT. Pertamina Geothermal Energy No. Kontrak 3900558866 Tanggal 20 Februari 2025" untuk Kantor Pusat, Periode Tahun 2025</t>
  </si>
  <si>
    <t>PP25-293</t>
  </si>
  <si>
    <t>Tagihan Premi MAPS "Pengadaan Jasa Tenaga Alih Daya Di Fungsi Project Development  PT. Pertamina Geothermal Energy No. Kontrak 3900558866 Tanggal 20 Februari 2025" untuk Proyek Sungai Penuh, Periode Tahun 2025</t>
  </si>
  <si>
    <t>PP25-294</t>
  </si>
  <si>
    <t>Tagihan Profit Premi MAPS "Pengadaan Jasa Tenaga Alih Daya Di Fungsi Project Development  PT. Pertamina Geothermal Energy No. Kontrak 3900558866 Tanggal 20 Februari 2025" untuk Proyek Hululais, Periode Tahun 2025</t>
  </si>
  <si>
    <t>PP25-295</t>
  </si>
  <si>
    <t>Tagihan Profit Premi MAPS "Pengadaan Jasa Tenaga Alih Daya Di Fungsi Project Development  PT. Pertamina Geothermal Energy No. Kontrak 3900558866 Tanggal 20 Februari 2025" untuk Kantor Pusat, Periode Tahun 2025</t>
  </si>
  <si>
    <t>PP25-296</t>
  </si>
  <si>
    <t>Tagihan Profit Premi MAPS "Pengadaan Jasa Tenaga Alih Daya Di Fungsi Project Development  PT. Pertamina Geothermal Energy No. Kontrak 3900558866 Tanggal 20 Februari 2025" untuk Proyek Sungai Penuh, Periode Tahun 2025</t>
  </si>
  <si>
    <t>PP25-107</t>
  </si>
  <si>
    <t>Tagihan Upah "Pengadaan Jasa Tenaga Alih Daya di Lingkungan Kantor Pusat PT PGE Tbk Fungsi Planning &amp; Risk Management." Periode Maret SPS</t>
  </si>
  <si>
    <t>64.230.000</t>
  </si>
  <si>
    <t>3.853.800</t>
  </si>
  <si>
    <t>68.507.718</t>
  </si>
  <si>
    <t>PP25-299</t>
  </si>
  <si>
    <t xml:space="preserve">Tagihan dinas lembur pengadaan jasa TAD di fungsi prodev PGE Juli 2025 knator pusat </t>
  </si>
  <si>
    <t>PP25-300</t>
  </si>
  <si>
    <t>Tagihan Dinas dan Lembur "Pengadaan Jasa Tenaga Alih Daya Di Fungsi Project Development  PT. Pertamina Geothermal Energy No. Kontrak 3900558866 Tanggal 20 Februari 2025" untuk Proyek Sungai Penuh, Periode Juli 2025</t>
  </si>
  <si>
    <t>38.495.000</t>
  </si>
  <si>
    <t>2.309.700</t>
  </si>
  <si>
    <t>41.058.767</t>
  </si>
  <si>
    <t>25.665.000</t>
  </si>
  <si>
    <t>1.539.900</t>
  </si>
  <si>
    <t>4.403.839</t>
  </si>
  <si>
    <t>44.438.739</t>
  </si>
  <si>
    <t>PP25-303</t>
  </si>
  <si>
    <t>Jasa pekerjaan Survey penyelenggaran implementasi metode eksplorasi geokimia dengan menggunakan soil - gas kamojang 2025</t>
  </si>
  <si>
    <t>PP25-304</t>
  </si>
  <si>
    <t>Pengadaan Jasa Tenaga Alih Daya Area Ulubelu  PT. Pertamina Geothermal Energy No. Kontrak 4600004404 Tanggal 21 Mei 2025, Periode tagihan :                Dinas Juni 2025</t>
  </si>
  <si>
    <t>PP25-305</t>
  </si>
  <si>
    <t>Pengadaan Jasa Tenaga Alih Daya Area Ulubelu  PT. Pertamina Geothermal Energy No. Kontrak 4600004404 Tanggal  21 Mei 2025, Periode tagihan : Lembur Juni 2025</t>
  </si>
  <si>
    <t>PP25-306</t>
  </si>
  <si>
    <t>Pengadaan Jasa Tenaga Alih Daya Area Ulubelu  PT. Pertamina Geothermal Energy No. Kontrak 4600004404 Tanggal 21 Mei 2025, Periode tagihan :                Upah Juli 2025</t>
  </si>
  <si>
    <t>PP25-307</t>
  </si>
  <si>
    <t>Pengadaan Jasa Tenaga Alih Daya Area Ulubelu  PT. Pertamina Geothermal Energy No. Kontrak 4650017194 Tanggal          Maret 2023, Periode tagihan :                                                
                ADDENDUM UPAH, LEMBUR, THR dan BHR 2024</t>
  </si>
  <si>
    <t>PP25-308</t>
  </si>
  <si>
    <t>Pengaadaan Jasa Pendukung Kegiatan Pengukuran Gravitasi Presisi Monitoring Area Lumut balai - 2025</t>
  </si>
  <si>
    <t>610.122.902</t>
  </si>
  <si>
    <t>51.860.447</t>
  </si>
  <si>
    <t>72.818.168</t>
  </si>
  <si>
    <t>734.801.517</t>
  </si>
  <si>
    <t>34.536.107</t>
  </si>
  <si>
    <t>1.864.950</t>
  </si>
  <si>
    <t>4.004.116</t>
  </si>
  <si>
    <t>40.405.173</t>
  </si>
  <si>
    <t>357.002.798</t>
  </si>
  <si>
    <t>19.278.151</t>
  </si>
  <si>
    <t>41.390.904</t>
  </si>
  <si>
    <t>417.671.853</t>
  </si>
  <si>
    <t>121.411.503</t>
  </si>
  <si>
    <t>6.556.221</t>
  </si>
  <si>
    <t>14.076.450</t>
  </si>
  <si>
    <t>142.044.174</t>
  </si>
  <si>
    <t>PP25-313</t>
  </si>
  <si>
    <t>Tagihan Upah "Pengadaan Jasa Tenaga Kerja Jasa Penunjang Bidang Pemboran" Periode Agustus 2025</t>
  </si>
  <si>
    <t>PP25-314</t>
  </si>
  <si>
    <t>Tagihan Upah dan Lembur atas Jasa Penyediaan Tenaga Kerja Jasa Penunjang PT. Asuransi Jiwa Syariah Bumiputera Periode Agustus 2025</t>
  </si>
  <si>
    <t>PP25-315</t>
  </si>
  <si>
    <t>Tagihan Upah "Pengadaan Jasa Tenaga Alih Daya di Lingkungan Kantor Pusat PT PGE Tbk." untuk fungsi Geoscience, Periode Agustus 2025</t>
  </si>
  <si>
    <t>PP25-316</t>
  </si>
  <si>
    <t>Tagihan Upah "Pengadaan Jasa Tenaga Alih Daya di Lingkungan Kantor Pusat PT PGE Tbk." untuk fungsi Reservoir, Periode Agustus 2025</t>
  </si>
  <si>
    <t>PP25-317</t>
  </si>
  <si>
    <t>Tagihan Upah "Pengadaan Jasa Tenaga Alih Daya di Lingkungan Kantor Pusat PT PGE Tbk.", Periode Agustus 2025</t>
  </si>
  <si>
    <t>96.342.055</t>
  </si>
  <si>
    <t>9.634.206</t>
  </si>
  <si>
    <t>1.059.763</t>
  </si>
  <si>
    <t>107.036.023</t>
  </si>
  <si>
    <t>PP25-117</t>
  </si>
  <si>
    <t>Inv. Upah Area April LMB 2025</t>
  </si>
  <si>
    <t>312.054.105</t>
  </si>
  <si>
    <t>18.099.138</t>
  </si>
  <si>
    <t>36.316.857</t>
  </si>
  <si>
    <t>366.470.100</t>
  </si>
  <si>
    <t>PP25-321</t>
  </si>
  <si>
    <t>Tagihan Biaya Perjalanan Dinas "Pengadaan Jasa Tenaga Alih Daya di Lingkungan Kantor Pusat PT PGE Tbk." untuk fungsi Geoscience, Periode Agustus 2025</t>
  </si>
  <si>
    <t>PP25-322</t>
  </si>
  <si>
    <t>Tagihan Biaya Perjalanan Dinas "Pengadaan Jasa Tenaga Alih Daya di Lingkungan Kantor Pusat PT PGE Tbk." untuk fungsi Reservoir, Periode Agustus 2025</t>
  </si>
  <si>
    <t>PP25-323</t>
  </si>
  <si>
    <t>Tagihan Dinas dan Lembur "Pengadaan Jasa Tenaga Alih Daya di Lingkungan Kantor Pusat PT PGE Tbk.", Periode Agustus 2025</t>
  </si>
  <si>
    <t>PP25-324</t>
  </si>
  <si>
    <t>Reimbursement biaya tiket pengadaan jasa TKJP di bidang pemboran Feb - Mei 2025</t>
  </si>
  <si>
    <t>PP25-325</t>
  </si>
  <si>
    <t>Tagihan Upah "Pengadaan Jasa Tenaga Alih Daya Di Fungsi Project Development  PT. Pertamina Geothermal Energy No. Kontrak 3900558866 Tanggal 20 Februari 2025" untuk Proyek Hululais, Periode Agustus 2025</t>
  </si>
  <si>
    <t>PP25-326</t>
  </si>
  <si>
    <t>Tagihan Upah "Pengadaan Jasa Tenaga Alih Daya Di Fungsi Project Development  PT. Pertamina Geothermal Energy No. Kontrak 3900558866 Tanggal 20 Februari 2025" untuk Kantor Pusat, Periode Agustus 2025</t>
  </si>
  <si>
    <t>PP25-327</t>
  </si>
  <si>
    <t>Tagihan Upah "Pengadaan Jasa Tenaga Alih Daya Di Fungsi Project Development  PT. Pertamina Geothermal Energy No. Kontrak 3900558866 Tanggal 20 Februari 2025" untuk Proyek Sungai Penuh, Periode Agustus 2025</t>
  </si>
  <si>
    <t>PP25-328</t>
  </si>
  <si>
    <t>Jasa PMC Proyek EPCC Unit-2 Tahun 2023-2025 PTPGE Area Lumut Balai No. 3900540206 tanggal 6 Desember 2023, Periode Agustus 2025</t>
  </si>
  <si>
    <t>PP25-329</t>
  </si>
  <si>
    <t xml:space="preserve">Jasa Site Survey Persiapan Infrastruktur Cluster C Geothermal Seulawah </t>
  </si>
  <si>
    <t>PP25-330</t>
  </si>
  <si>
    <t>Tagihan Upah "Pengadaan Jasa Konsultan Audit Support No. 3900556018" Periode Agustus 2025</t>
  </si>
  <si>
    <t>PP25-118</t>
  </si>
  <si>
    <t>nv. Upah Project April LMB 2025</t>
  </si>
  <si>
    <t>17.019.876</t>
  </si>
  <si>
    <t>1.980.773</t>
  </si>
  <si>
    <t>19.987.802</t>
  </si>
  <si>
    <t>PP25-119</t>
  </si>
  <si>
    <t>Tagihan SPK "Pengadaan Jasa Functional Support sebagai Watchmen HSE di pekerjaan EPCC
Proyek Lumut Balai Unit -2" Periode April 2025</t>
  </si>
  <si>
    <t>44.293.936</t>
  </si>
  <si>
    <t>4.429.394</t>
  </si>
  <si>
    <t>PP25-120</t>
  </si>
  <si>
    <t>Inv. Lembur Area April LMB 2025</t>
  </si>
  <si>
    <t>43.801.022</t>
  </si>
  <si>
    <t>2.540.459</t>
  </si>
  <si>
    <t>5.097.563</t>
  </si>
  <si>
    <t>51.439.044</t>
  </si>
  <si>
    <t>PP25-121</t>
  </si>
  <si>
    <t>Inv. Tagihan Admin Borongan</t>
  </si>
  <si>
    <t>PP25-122</t>
  </si>
  <si>
    <t>Inv. Lembur Minor Inspection April 2025</t>
  </si>
  <si>
    <t>223.604.178</t>
  </si>
  <si>
    <t>12.969.042</t>
  </si>
  <si>
    <t>26.023.054</t>
  </si>
  <si>
    <t>262.596.275</t>
  </si>
  <si>
    <t>PP25-123</t>
  </si>
  <si>
    <t>Inv. Lembur Project April LMB 2025</t>
  </si>
  <si>
    <t>31.126.239</t>
  </si>
  <si>
    <t>1.805.322</t>
  </si>
  <si>
    <t>3.622.472</t>
  </si>
  <si>
    <t>36.554.033</t>
  </si>
  <si>
    <t>PP25-337</t>
  </si>
  <si>
    <t>Tagihan Dinas &amp; Lembur "Pengadaan Jasa Tenaga Alih Daya Di Fungsi Project Development  PT. Pertamina Geothermal Energy No. Kontrak 3900558866 Tanggal 20 Februari 2025" untuk Proyek Hululais, Periode Agustus 2025</t>
  </si>
  <si>
    <t>PP25-338</t>
  </si>
  <si>
    <t>Tagihan Dinas dan Lembur "Pengadaan Jasa Tenaga Alih Daya Di Fungsi Project Development  PT. Pertamina Geothermal Energy No. Kontrak 3900558866 Tanggal 20 Februari 2025" untuk Kantor Pusat, Periode Agustus 2025</t>
  </si>
  <si>
    <t>PP25-339</t>
  </si>
  <si>
    <t>Tagihan Perlengkapan Kerja (APD) "Pengadaan Jasa Tenaga Alih Daya Di Fungsi Project Development  PT. Pertamina Geothermal Energy No. Kontrak 3900558866 Tanggal 20 Februari 2025" untuk Proyek Hululais, Periode Tahun 2025</t>
  </si>
  <si>
    <t>PP25-340</t>
  </si>
  <si>
    <t>Tagihan Perlengkapan Kerja (APD) "Pengadaan Jasa Tenaga Alih Daya Di Fungsi Project Development  PT. Pertamina Geothermal Energy No. Kontrak 3900558866 Tanggal 20 Februari 2025" untuk Kantor Pusat, Periode Tahun 2025</t>
  </si>
  <si>
    <t>PP25-341</t>
  </si>
  <si>
    <t>Tagihan Perlengkapan Kerja (APD) "Pengadaan Jasa Tenaga Alih Daya Di Fungsi Project Development  PT. Pertamina Geothermal Energy No. Kontrak cTanggal 20 Februari 2025" untuk Proyek Sungai Penuh, Periode Tahun 2025</t>
  </si>
  <si>
    <t>PP25-124</t>
  </si>
  <si>
    <t>Inv. Dinas Area April LMB 2025</t>
  </si>
  <si>
    <t>9.500.000</t>
  </si>
  <si>
    <t>1.105.610</t>
  </si>
  <si>
    <t>11.156.610</t>
  </si>
  <si>
    <t>PP25-343</t>
  </si>
  <si>
    <t>Pengadaan Jasa Tenaga Alih Daya Area Ulubelu  PT. Pertamina Geothermal Energy No. Kontrak 4600004404 Tanggal           2025, Periode tagihan : Dinas Juli 2025</t>
  </si>
  <si>
    <t>PP25-344</t>
  </si>
  <si>
    <t>Tagihan Dinas &amp; Lembur (Tambahan) "Pengadaan Jasa Tenaga Kerja Penunjang Proyek Karaha Bodas PT. Pertamina Geothermal Energy No. Perjanjian 4600003749 Tanggal 24 Februari 2023" Periode Desember 2023</t>
  </si>
  <si>
    <t>PP25-345</t>
  </si>
  <si>
    <t>Tagihan Upah dan Lembur atas Jasa Penyediaan Tenaga Kerja Jasa Penunjang PT. Asuransi Jiwa Syariah Bumiputera Periode September 2025</t>
  </si>
  <si>
    <t>162.358.451</t>
  </si>
  <si>
    <t>8.604.998</t>
  </si>
  <si>
    <t>18.805.979</t>
  </si>
  <si>
    <t>189.769.428</t>
  </si>
  <si>
    <t>35.308.832</t>
  </si>
  <si>
    <t>1.871.368</t>
  </si>
  <si>
    <t>4.089.822</t>
  </si>
  <si>
    <t>41.270.022</t>
  </si>
  <si>
    <t>58.362.386</t>
  </si>
  <si>
    <t>3.501.743</t>
  </si>
  <si>
    <t>6.805.054</t>
  </si>
  <si>
    <t>68.669.183</t>
  </si>
  <si>
    <t>PP25-352</t>
  </si>
  <si>
    <t>Tagihan Upah "Pengadaan Jasa Tenaga Kerja Jasa Penunjang Bidang Pemboran" Periode September 2025</t>
  </si>
  <si>
    <t>PP25-354</t>
  </si>
  <si>
    <t>Tagihan Upah "Pengadaan Jasa Tenaga Alih Daya di Lingkungan Kantor Pusat PT PGE Tbk." untuk fungsi Geoscience, Periode September 2025</t>
  </si>
  <si>
    <t>PP25-355</t>
  </si>
  <si>
    <t>Tagihan Upah "Pengadaan Jasa Tenaga Alih Daya di Lingkungan Kantor Pusat PT PGE Tbk." untuk fungsi Reservoir, Periode September 2025</t>
  </si>
  <si>
    <t>PP25-356</t>
  </si>
  <si>
    <t>Tagihan Upah "Pengadaan Jasa Tenaga Alih Daya di Lingkungan Kantor Pusat PT PGE Tbk.", Periode September 2025</t>
  </si>
  <si>
    <t>406.212.139</t>
  </si>
  <si>
    <t>24.372.728</t>
  </si>
  <si>
    <t>47.364.335</t>
  </si>
  <si>
    <t>477.949.203</t>
  </si>
  <si>
    <t>PP25-358</t>
  </si>
  <si>
    <t>Tagihan Upah "Pengadaan Jasa Tenaga Alih Daya Di Fungsi Project Development  PT. Pertamina Geothermal Energy No. Kontrak 3900558866 Tanggal 20 Februari 2025" untuk Proyek Hululais, Periode September 2025</t>
  </si>
  <si>
    <t>PP25-359</t>
  </si>
  <si>
    <t>Tagihan Upah "Pengadaan Jasa Tenaga Alih Daya Di Fungsi Project Development  PT. Pertamina Geothermal Energy No. Kontrak 3900558866 Tanggal 20 Februari 2025" untuk Kantor Pusat, Periode September 2025</t>
  </si>
  <si>
    <t>PP25-360</t>
  </si>
  <si>
    <t>Tagihan Upah "Pengadaan Jasa Tenaga Alih Daya Di Fungsi Project Development  PT. Pertamina Geothermal Energy No. Kontrak 3900558866 Tanggal 20 Februari 2025" untuk Proyek Sungai Penuh, Periode September 2025</t>
  </si>
  <si>
    <t>PP25-361</t>
  </si>
  <si>
    <t>Tagihan Dinas &amp; Lembur "Pengadaan Jasa Tenaga Alih Daya Di Fungsi Project Development  PT. Pertamina Geothermal Energy No. Kontrak 3900558866 Tanggal 20 Februari 2025" untuk Proyek Hululais, Periode September 2025</t>
  </si>
  <si>
    <t>PP25-133</t>
  </si>
  <si>
    <t>Tagihan Upah "Tenaga Alih Daya (TAD) di Lingkungan PT Pertamina Geothermal Energy Tbk Area Karaha" Periode April 2025</t>
  </si>
  <si>
    <t>249.740.794</t>
  </si>
  <si>
    <t>13.985.484</t>
  </si>
  <si>
    <t>29.009.891</t>
  </si>
  <si>
    <t>292.736.169</t>
  </si>
  <si>
    <t>PP25-363</t>
  </si>
  <si>
    <t>Jasa PMC Proyek EPCC Unit-2 Tahun 2023-2025 PTPGE Area Lumut Balai No. 3900540206 tanggal 6 Desember 2023, Periode September 2025</t>
  </si>
  <si>
    <t>PP25-364</t>
  </si>
  <si>
    <t>Pengadaan Jasa Tenaga Alih Daya Area Ulubelu  PT. Pertamina Geothermal Energy No. Kontrak 4600004404 Tanggal 21 Mei 2025, Periode tagihan :                Upah Agustus 2025</t>
  </si>
  <si>
    <t>PP25-365</t>
  </si>
  <si>
    <t>Tagihan Biaya Perjalanan Dinas "Pengadaan Jasa tenaga Alih Daya di Lingkungan Kantor Pusat PT PGE Tbk." untuk fungsi Geoscience ke Kotamobagu Periode September 2025</t>
  </si>
  <si>
    <t>PP25-366</t>
  </si>
  <si>
    <t>PP25-367</t>
  </si>
  <si>
    <t>Tagihan Dinas dan Lembur "Pengadaan Jasa Tenaga Alih Daya di Lingkungan Kantor Pusat PT PGE Tbk.", Periode September 2025</t>
  </si>
  <si>
    <t>PP25-368</t>
  </si>
  <si>
    <t>Tagihan Biaya Perjalanan Dinas "Pengadaan Jasa Tenaga Alih Daya di Lingkungan Kantor Pusat PT PGE Tbk." untuk fungsi Geoscience, Periode September 2025</t>
  </si>
  <si>
    <t>PP25-369</t>
  </si>
  <si>
    <t>Tagihan Biaya Perjalanan Dinas "Pengadaan Jasa Tenaga Alih Daya di Lingkungan Kantor Pusat PT PGE Tbk." untuk fungsi Reservoir, Periode September 2025</t>
  </si>
  <si>
    <t>PP25-370</t>
  </si>
  <si>
    <t>Tagihan Upah "Pengadaan Jasa Konsultan Audit Support No. 3900556018" Periode September 2025</t>
  </si>
  <si>
    <t>PP25-134</t>
  </si>
  <si>
    <t>Tagihan Dinas &amp; Lembur "Tenaga Alih Daya (TAD) di Lingkungan PT Pertamina Geothermal Energy Tbk Area Karaha" Periode April 2025</t>
  </si>
  <si>
    <t>93.173.824</t>
  </si>
  <si>
    <t>5.217.734</t>
  </si>
  <si>
    <t>10.823.071</t>
  </si>
  <si>
    <t>109.214.630</t>
  </si>
  <si>
    <t>27/5/25</t>
  </si>
  <si>
    <t>3.585.400</t>
  </si>
  <si>
    <t>4.218.582</t>
  </si>
  <si>
    <t>9.613.873</t>
  </si>
  <si>
    <t>1.120.978</t>
  </si>
  <si>
    <t>11.311.683</t>
  </si>
  <si>
    <t>31.558.620</t>
  </si>
  <si>
    <t>1.893.517</t>
  </si>
  <si>
    <t>3.679.735</t>
  </si>
  <si>
    <t>37.131.872</t>
  </si>
  <si>
    <t>PP25-138</t>
  </si>
  <si>
    <t>Tagihan Upah "Pengadaan Jasa Tenaga Alih Daya di Lingkungan Kantor Pusat PT PGE Tbk Fungsi Planning &amp; Risk Management." Periode April 2025 CSP</t>
  </si>
  <si>
    <t>17.233.819</t>
  </si>
  <si>
    <t>1.292.536</t>
  </si>
  <si>
    <t>2.037.899</t>
  </si>
  <si>
    <t>20.564.255</t>
  </si>
  <si>
    <t>PP25-376</t>
  </si>
  <si>
    <t>Reimbursement biaya tiket pengadaan jasa TKJP di bidang pemboran agustus - september 2025</t>
  </si>
  <si>
    <t>PP25-377</t>
  </si>
  <si>
    <t>Reimbursement biaya tiket pengadaan jasa TKJP di bidang HC agustus - september 2025</t>
  </si>
  <si>
    <t>PP25-378</t>
  </si>
  <si>
    <t>Reimbursement biaya tiket pengadaan jasa TKJP di bidang HC Geoscience  agustus - september 2025</t>
  </si>
  <si>
    <t>PP25-379</t>
  </si>
  <si>
    <t>Reimbursement biaya tiket pengadaan jasa TKJP di bidang HC Reservoir agustus - september 2025</t>
  </si>
  <si>
    <t>PP25-380</t>
  </si>
  <si>
    <t>Pengadaan Jasa Tenaga Alih Daya Area Ulubelu  PT. Pertamina Geothermal Energy No. Kontrak 4600004404 Tanggal 21 Mei 2025, Periode tagihan :         Upah September 2025</t>
  </si>
  <si>
    <t>PP25-381</t>
  </si>
  <si>
    <t>PP25-382</t>
  </si>
  <si>
    <t>PP25-139</t>
  </si>
  <si>
    <t>Tagihan Upah "Pengadaan Jasa Tenaga Alih Daya di Lingkungan Kantor Pusat PT PGE Tbk Fungsi Planning &amp; Risk Management." Periode April 2025 ERM</t>
  </si>
  <si>
    <t>8.616.910</t>
  </si>
  <si>
    <t>1.018.950</t>
  </si>
  <si>
    <t>10.282.128</t>
  </si>
  <si>
    <t>PP25-140</t>
  </si>
  <si>
    <t>PP25-141</t>
  </si>
  <si>
    <t>Tagihan Upah "Pengadaan Jasa Tenaga Alih Daya di Lingkungan Kantor Pusat PT PGE Tbk Fungsi Planning &amp; Risk Management." Periode April 2025 icofr</t>
  </si>
  <si>
    <t>PP25-142</t>
  </si>
  <si>
    <t>Tagihan Upah "Pengadaan Jasa Tenaga Alih Daya di Lingkungan Kantor Pusat PT PGE Tbk Fungsi Planning &amp; Risk Management." Periode April 2025 SPS</t>
  </si>
  <si>
    <t>8.170.416</t>
  </si>
  <si>
    <t>9.749.349</t>
  </si>
  <si>
    <t>PP25-387</t>
  </si>
  <si>
    <t>Tagihan Upah "Pengadaan Jasa Tenaga Alih Daya Di Fungsi Project Development  PT. Pertamina Geothermal Energy No. Kontrak 3900558866 Tanggal 20 Februari 2025" untuk Proyek Hululais, Periode Oktober 2025</t>
  </si>
  <si>
    <t>PP25-388</t>
  </si>
  <si>
    <t>Tagihan Upah "Pengadaan Jasa Tenaga Alih Daya Di Fungsi Project Development  PT. Pertamina Geothermal Energy No. Kontrak 3900558866 Tanggal 20 Februari 2025" untuk Kantor Pusat, Periode Oktober 2025</t>
  </si>
  <si>
    <t>PP25-389</t>
  </si>
  <si>
    <t>Tagihan Upah "Pengadaan Jasa Tenaga Alih Daya Di Fungsi Project Development  PT. Pertamina Geothermal Energy No. Kontrak 3900558866 Tanggal 20 Februari 2025" untuk Proyek Sungai Penuh, Periode Oktober 2025</t>
  </si>
  <si>
    <t>PP25-143</t>
  </si>
  <si>
    <t>Tagihan Dinas &amp; Lembur "Tenaga Alih Daya (TAD) di Lingkungan PT Pertamina Geothermal Energy Tbk Area Karaha" ke Lumut Balai April 2025</t>
  </si>
  <si>
    <t>22.996.294</t>
  </si>
  <si>
    <t>1.287.792</t>
  </si>
  <si>
    <t>2.671.250</t>
  </si>
  <si>
    <t>26.955.336</t>
  </si>
  <si>
    <t>PP25-391</t>
  </si>
  <si>
    <t>PP25-392</t>
  </si>
  <si>
    <t>Tagihan Upah "Pengadaan Jasa Tenaga Alih Daya di Lingkungan Kantor Pusat PT PGE Tbk." untuk fungsi Geoscience, Periode oktober 2025</t>
  </si>
  <si>
    <t>PP25-393</t>
  </si>
  <si>
    <t>Tagihan Upah Tagihan Upah "Pengadaan Jasa Tenaga Alih Daya di Lingkungan Kantor Pusat PT PGE Tbk." untuk fungsi Reservoir, Periode Oktober 2025</t>
  </si>
  <si>
    <t>PP25-394</t>
  </si>
  <si>
    <t>Tagihan Upah "Pengadaan Jasa Tenaga Alih Daya di Lingkungan Kantor Pusat PT PGE Tbk.", Periode Oktober 2025</t>
  </si>
  <si>
    <t>PP25-395</t>
  </si>
  <si>
    <t>PP25-396</t>
  </si>
  <si>
    <t>PP25-397</t>
  </si>
  <si>
    <t>PP25-398</t>
  </si>
  <si>
    <t>PP25-399</t>
  </si>
  <si>
    <t>PP25-400</t>
  </si>
  <si>
    <t>PP25-401</t>
  </si>
  <si>
    <t>PP25-402</t>
  </si>
  <si>
    <t>PP25-403</t>
  </si>
  <si>
    <t>17.837.510</t>
  </si>
  <si>
    <t>2.066.119</t>
  </si>
  <si>
    <t>20.849.017</t>
  </si>
  <si>
    <t>17.269.640</t>
  </si>
  <si>
    <t>2.000.342</t>
  </si>
  <si>
    <t>20.185.273</t>
  </si>
  <si>
    <t>9.327.127</t>
  </si>
  <si>
    <t>1.128.582</t>
  </si>
  <si>
    <t>11.388.422</t>
  </si>
  <si>
    <t>7.717.878</t>
  </si>
  <si>
    <t>8.489.666</t>
  </si>
  <si>
    <t>10.134.545</t>
  </si>
  <si>
    <t>1.013.455</t>
  </si>
  <si>
    <t>11.148.000</t>
  </si>
  <si>
    <t>13.699.029</t>
  </si>
  <si>
    <t>1.369.903</t>
  </si>
  <si>
    <t>15.068.932</t>
  </si>
  <si>
    <t>16.490.203</t>
  </si>
  <si>
    <t>1.910.060</t>
  </si>
  <si>
    <t>19.274.244</t>
  </si>
  <si>
    <t>10.308.346</t>
  </si>
  <si>
    <t>1.194.016</t>
  </si>
  <si>
    <t>12.048.704</t>
  </si>
  <si>
    <t>4.580.000</t>
  </si>
  <si>
    <t>4.822.740</t>
  </si>
  <si>
    <t>6.969.627</t>
  </si>
  <si>
    <t>8.146.309</t>
  </si>
  <si>
    <t>10.139.636</t>
  </si>
  <si>
    <t>10.736.151</t>
  </si>
  <si>
    <t>21.740.000</t>
  </si>
  <si>
    <t>2.391.400</t>
  </si>
  <si>
    <t>24.131.400</t>
  </si>
  <si>
    <t>52.480.776</t>
  </si>
  <si>
    <t>2.781.481</t>
  </si>
  <si>
    <t>6.078.848</t>
  </si>
  <si>
    <t>61.341.105</t>
  </si>
  <si>
    <t>117.942.236</t>
  </si>
  <si>
    <t>6.250.939</t>
  </si>
  <si>
    <t>13.661.249</t>
  </si>
  <si>
    <t>137.854.424</t>
  </si>
  <si>
    <t>51.918.197</t>
  </si>
  <si>
    <t>2.751.664</t>
  </si>
  <si>
    <t>6.013.685</t>
  </si>
  <si>
    <t>60.683.546</t>
  </si>
  <si>
    <t>123.816.242</t>
  </si>
  <si>
    <t>6.562.261</t>
  </si>
  <si>
    <t>14.341.635</t>
  </si>
  <si>
    <t>144.720.138</t>
  </si>
  <si>
    <t>339.477.992</t>
  </si>
  <si>
    <t>17.992.334</t>
  </si>
  <si>
    <t>39.321.736</t>
  </si>
  <si>
    <t>396.792.061</t>
  </si>
  <si>
    <t>270.143.000</t>
  </si>
  <si>
    <t>14.317.579</t>
  </si>
  <si>
    <t>31.290.664</t>
  </si>
  <si>
    <t>315.751.243</t>
  </si>
  <si>
    <t>348.041.001</t>
  </si>
  <si>
    <t>18.446.173</t>
  </si>
  <si>
    <t>40.313.589</t>
  </si>
  <si>
    <t>406.800.763</t>
  </si>
  <si>
    <t>334.183.877</t>
  </si>
  <si>
    <t>17.711.745</t>
  </si>
  <si>
    <t>38.708.518</t>
  </si>
  <si>
    <t>390.604.141</t>
  </si>
  <si>
    <t>PP25-164</t>
  </si>
  <si>
    <t>Tagihan Upah Area Jasa TAD LMB "Pengadaan Jasa Tenaga Ahli Daya (TAD) PT PGE Tbk Area Lumut Balai"
Periode Mei 2025.</t>
  </si>
  <si>
    <t>349.304.265</t>
  </si>
  <si>
    <t>38.423.469</t>
  </si>
  <si>
    <t>387.727.734</t>
  </si>
  <si>
    <t>PP25-165</t>
  </si>
  <si>
    <t>Tagihan Upah Project Jasa TAD LMB "Pengadaan Jasa Tenaga Ahli Daya (TAD) PT PGE Tbk Area Lumut Balai"
Periode Mei 2025.</t>
  </si>
  <si>
    <t>17.692.790</t>
  </si>
  <si>
    <t>1.026.182</t>
  </si>
  <si>
    <t>2.059.087</t>
  </si>
  <si>
    <t>20.778.059</t>
  </si>
  <si>
    <t>PP25-166</t>
  </si>
  <si>
    <t>Tagihan Lembur Area Jasa TAD LMB "Pengadaan Jasa Tenaga Ahli Daya (TAD) PT PGE Tbk Area Lumut Balai"
Periode Mei 2025.</t>
  </si>
  <si>
    <t>84.661.625</t>
  </si>
  <si>
    <t>9.312.779</t>
  </si>
  <si>
    <t>93.974.404</t>
  </si>
  <si>
    <t>PP25-167</t>
  </si>
  <si>
    <t>Tagihan Lembur Project Jasa TAD LMB "Pengadaan Jasa Tenaga Ahli Daya (TAD) PT PGE Tbk Area Lumut Balai"
Periode Mei 2025.</t>
  </si>
  <si>
    <t>50.605.189</t>
  </si>
  <si>
    <t>5.566.571</t>
  </si>
  <si>
    <t>56.171.760</t>
  </si>
  <si>
    <t>PP25-168</t>
  </si>
  <si>
    <t>Tagihan Dinas Area Jasa TAD LMB "Pengadaan Jasa Tenaga Ahli Daya (TAD) PT PGE Tbk Area Lumut Balai"
Periode Mei 2025.</t>
  </si>
  <si>
    <t>50.262.129</t>
  </si>
  <si>
    <t>5.528.834</t>
  </si>
  <si>
    <t>55.790.963</t>
  </si>
  <si>
    <t>PP25-169</t>
  </si>
  <si>
    <t>Tagihan Borongan Administrasi Jasa TAD LMB "Pengadaan Jasa Tenaga Ahli Daya (TAD) PT PGE Tbk Area Lumut Balai"
Periode Mei 2025.</t>
  </si>
  <si>
    <t>7.255.244</t>
  </si>
  <si>
    <t>8.520.413</t>
  </si>
  <si>
    <t>PP25-171</t>
  </si>
  <si>
    <t>Tagihan Rapel Upah  Jasa TAD LMB "Pengadaan Jasa Tenaga Ahli Daya (TAD) PT PGE Tbk Area Lumut Balai"
Periode Januari-Desember 2024.</t>
  </si>
  <si>
    <t>95.203.042</t>
  </si>
  <si>
    <t>10.472.335</t>
  </si>
  <si>
    <t>105.675.377</t>
  </si>
  <si>
    <t>PP25-172</t>
  </si>
  <si>
    <t>Tagihan Rapel Upah Area Jasa TAD LMB "Pengadaan Jasa Tenaga Ahli Daya (TAD) PT PGE Tbk Area Lumut Balai"
Periode Januari-April 2025.</t>
  </si>
  <si>
    <t>40.138.754</t>
  </si>
  <si>
    <t>4.415.263</t>
  </si>
  <si>
    <t>44.554.017</t>
  </si>
  <si>
    <t>PP25-173</t>
  </si>
  <si>
    <t>Tagihan Rapel Upah Project Jasa TAD LMB "Pengadaan Jasa Tenaga Ahli Daya (TAD) PT PGE Tbk Area Lumut Balai"
Periode Januari-April 2025.</t>
  </si>
  <si>
    <t>3.140.496</t>
  </si>
  <si>
    <t>3.485.951</t>
  </si>
  <si>
    <t>PP25-174</t>
  </si>
  <si>
    <t>Tagihan Rapel Borongan Administrasi Jasa TAD LMB "Pengadaan Jasa Tenaga Ahli Daya (TAD) PT PGE Tbk Area Lumut Balai"
Periode Januari-April 2025.</t>
  </si>
  <si>
    <t>1.045.973</t>
  </si>
  <si>
    <t>PP25-175</t>
  </si>
  <si>
    <t>Tagihan Rapel Lembur Area Jasa TAD LMB "Pengadaan Jasa Tenaga Ahli Daya (TAD) PT PGE Tbk Area Lumut Balai"
Periode Januari-April 2025.</t>
  </si>
  <si>
    <t>9.455.528</t>
  </si>
  <si>
    <t>1.040.108</t>
  </si>
  <si>
    <t>10.495.636</t>
  </si>
  <si>
    <t>PP25-176</t>
  </si>
  <si>
    <t>Tagihan Rapel Lembur Project Jasa TAD LMB "Pengadaan Jasa Tenaga Ahli Daya (TAD) PT PGE Tbk Area Lumut Balai"
Periode Januari-April 2025.</t>
  </si>
  <si>
    <t>1.336.294</t>
  </si>
  <si>
    <t>1.483.286</t>
  </si>
  <si>
    <t>67.830.337</t>
  </si>
  <si>
    <t>4.069.820</t>
  </si>
  <si>
    <t>7.909.017</t>
  </si>
  <si>
    <t>79.809.175</t>
  </si>
  <si>
    <t>404.457.096</t>
  </si>
  <si>
    <t>24.267.426</t>
  </si>
  <si>
    <t>47.159.697</t>
  </si>
  <si>
    <t>475.884.219</t>
  </si>
  <si>
    <t>PP25-180</t>
  </si>
  <si>
    <t>Tagihan Upah "Tenaga Alih Daya (TAD) di Lingkungan PT Pertamina Geothermal Energy Tbk Area Karaha" Periode Mei 2025</t>
  </si>
  <si>
    <t>246.048.134</t>
  </si>
  <si>
    <t>13.778.696</t>
  </si>
  <si>
    <t>28.580.951</t>
  </si>
  <si>
    <t>288.407.781</t>
  </si>
  <si>
    <t>163.016.210</t>
  </si>
  <si>
    <t>8.639.859</t>
  </si>
  <si>
    <t>18.882.168</t>
  </si>
  <si>
    <t>190.538.237</t>
  </si>
  <si>
    <t>35.404.832</t>
  </si>
  <si>
    <t>1.876.456</t>
  </si>
  <si>
    <t>4.100.942</t>
  </si>
  <si>
    <t>41.382.230</t>
  </si>
  <si>
    <t>PP25-184</t>
  </si>
  <si>
    <t>Tagihan Dinas &amp; Lembur "Tenaga Alih Daya (TAD) di Lingkungan PT Pertamina Geothermal Energy Tbk Area Karaha" Periode Mei 2025</t>
  </si>
  <si>
    <t>86.600.040</t>
  </si>
  <si>
    <t>4.849.602</t>
  </si>
  <si>
    <t>10.059.461</t>
  </si>
  <si>
    <t>101.509.103</t>
  </si>
  <si>
    <t>Tagihan Upah atas Jasa Penyediaan Tenaga Kerja Jasa Penunjang PT. Asuransi Jiwa Syariah Bumiputera Periode May 2025</t>
  </si>
  <si>
    <t>100.067.186</t>
  </si>
  <si>
    <t>11.007.390</t>
  </si>
  <si>
    <t>111.074.576</t>
  </si>
  <si>
    <t>48.436.967</t>
  </si>
  <si>
    <t>2.906.218</t>
  </si>
  <si>
    <t>5.647.750</t>
  </si>
  <si>
    <t>56.990.935</t>
  </si>
  <si>
    <t>58.414.806</t>
  </si>
  <si>
    <t>3.504.888</t>
  </si>
  <si>
    <t>6.811.166</t>
  </si>
  <si>
    <t>68.730.861</t>
  </si>
  <si>
    <t>105.643.745</t>
  </si>
  <si>
    <t>6.338.625</t>
  </si>
  <si>
    <t>12.318.061</t>
  </si>
  <si>
    <t>124.300.430</t>
  </si>
  <si>
    <t>21.356.980</t>
  </si>
  <si>
    <t>2.135.698</t>
  </si>
  <si>
    <t>2.584.195</t>
  </si>
  <si>
    <t>26.076.873</t>
  </si>
  <si>
    <t>8.649.863</t>
  </si>
  <si>
    <t>1.001.914</t>
  </si>
  <si>
    <t>10.110.219</t>
  </si>
  <si>
    <t>8.422.337</t>
  </si>
  <si>
    <t>9.844.280</t>
  </si>
  <si>
    <t>PP25-192</t>
  </si>
  <si>
    <t>Tagihan SPK "Pengadaan Jasa Functional Support sebagai Watchmen HSE di pekerjaan EPCC
Proyek Lumut Balai Unit -2" Periode Mei 2025</t>
  </si>
  <si>
    <t>PP25-194</t>
  </si>
  <si>
    <t>Reimburse MCU Pengadaan Jasa Tenaga Kerja Penunjang Proyek Karaha Bodas PT. Pertamina Geothermal Energi Periode 2025</t>
  </si>
  <si>
    <t>65.756.000</t>
  </si>
  <si>
    <t>3.682.336</t>
  </si>
  <si>
    <t>7.638.217</t>
  </si>
  <si>
    <t>77.076.553</t>
  </si>
  <si>
    <t>PP25-195</t>
  </si>
  <si>
    <t>Tagihan Upah "Pengadaan Jasa Tenaga Alih Daya di Lingkungan Kantor Pusat PT PGE Tbk Fungsi Planning &amp; Risk Management." Periode Mei 2025 CSP</t>
  </si>
  <si>
    <t>PP25-196</t>
  </si>
  <si>
    <t>Tagihan Upah "Pengadaan Jasa Tenaga Alih Daya di Lingkungan Kantor Pusat PT PGE Tbk Fungsi Planning &amp; Risk Management." Periode Mei 2025 ERM</t>
  </si>
  <si>
    <t>PP25-197</t>
  </si>
  <si>
    <t>Tagihan Upah "Pengadaan Jasa Tenaga Alih Daya di Lingkungan Kantor Pusat PT PGE Tbk Fungsi Planning &amp; Risk Management." Periode Mei 2025 ICoFR</t>
  </si>
  <si>
    <t>18.691.284</t>
  </si>
  <si>
    <t>1.401.846</t>
  </si>
  <si>
    <t>2.210.244</t>
  </si>
  <si>
    <t>22.303.375</t>
  </si>
  <si>
    <t>PP25-198</t>
  </si>
  <si>
    <t>Tagihan Upah "Pengadaan Jasa Tenaga Alih Daya di Lingkungan Kantor Pusat PT PGE Tbk Fungsi Planning &amp; Risk Management." Periode Mei 2025 PM</t>
  </si>
  <si>
    <t>PP25-199</t>
  </si>
  <si>
    <t>Tagihan Upah "Pengadaan Jasa Tenaga Alih Daya di Lingkungan Kantor Pusat PT PGE Tbk Fungsi Planning &amp; Risk Management." Periode Mei 2025 SPS</t>
  </si>
  <si>
    <t>13/6/25</t>
  </si>
  <si>
    <t>23.141.933</t>
  </si>
  <si>
    <t>1.388.516</t>
  </si>
  <si>
    <t>1.541.253</t>
  </si>
  <si>
    <t>Pengadaan jasa pendukung kegiatan pengukuran gravitasi gradimetori area kamojang 2025</t>
  </si>
  <si>
    <t>197.850.098</t>
  </si>
  <si>
    <t>16.817.258</t>
  </si>
  <si>
    <t>23.613.409</t>
  </si>
  <si>
    <t>238.280.766</t>
  </si>
  <si>
    <t>PP25-202-1</t>
  </si>
  <si>
    <t>6.068.839</t>
  </si>
  <si>
    <t>6.736.411</t>
  </si>
  <si>
    <t>PP25-204</t>
  </si>
  <si>
    <t>CANCEL / GABUNG PP25-171</t>
  </si>
  <si>
    <t>16/6/25</t>
  </si>
  <si>
    <t>21.650.000</t>
  </si>
  <si>
    <t>2.381.500</t>
  </si>
  <si>
    <t>24.031.500</t>
  </si>
  <si>
    <t>PP25-206</t>
  </si>
  <si>
    <t>24/6/25</t>
  </si>
  <si>
    <t>119.859.039</t>
  </si>
  <si>
    <t>6.352.529</t>
  </si>
  <si>
    <t>13.883.272</t>
  </si>
  <si>
    <t>140.094.841</t>
  </si>
  <si>
    <t>27.965.500</t>
  </si>
  <si>
    <t>1.482.172</t>
  </si>
  <si>
    <t>3.239.244</t>
  </si>
  <si>
    <t>32.686.915</t>
  </si>
  <si>
    <t>336.053.617</t>
  </si>
  <si>
    <t>17.810.842</t>
  </si>
  <si>
    <t>38.925.090</t>
  </si>
  <si>
    <t>392.789.549</t>
  </si>
  <si>
    <t>90.193.574</t>
  </si>
  <si>
    <t>910.135.157</t>
  </si>
  <si>
    <t>674.725.590</t>
  </si>
  <si>
    <t>37.109.907</t>
  </si>
  <si>
    <t>4.082.090</t>
  </si>
  <si>
    <t>41.191.997</t>
  </si>
  <si>
    <t>58.946.287</t>
  </si>
  <si>
    <t>3.536.777</t>
  </si>
  <si>
    <t>6.873.137</t>
  </si>
  <si>
    <t>69.356.201</t>
  </si>
  <si>
    <t>419.909.799</t>
  </si>
  <si>
    <t>25.194.588</t>
  </si>
  <si>
    <t>48.961.483</t>
  </si>
  <si>
    <t>494.065.870</t>
  </si>
  <si>
    <t>162.385.271</t>
  </si>
  <si>
    <t>8.606.419</t>
  </si>
  <si>
    <t>18.809.086</t>
  </si>
  <si>
    <t>189.800.776</t>
  </si>
  <si>
    <t>35.356.832</t>
  </si>
  <si>
    <t>1.873.912</t>
  </si>
  <si>
    <t>4.095.382</t>
  </si>
  <si>
    <t>41.326.126</t>
  </si>
  <si>
    <t>PP25-219</t>
  </si>
  <si>
    <t>Tagihan Upah "Tenaga Alih Daya (TAD) di Lingkungan PT Pertamina Geothermal Energy Tbk Area Karaha" Periode Juni 2025</t>
  </si>
  <si>
    <t>243.647.798</t>
  </si>
  <si>
    <t>13.644.277</t>
  </si>
  <si>
    <t>28.302.128</t>
  </si>
  <si>
    <t>285.594.203</t>
  </si>
  <si>
    <t>PP25-220</t>
  </si>
  <si>
    <t>Tagihan Dinas dan Lembur"Tenaga Alih Daya (TAD) di Lingkungan PT Pertamina Geothermal Energy Tbk Area Karaha" Periode Juni 2025</t>
  </si>
  <si>
    <t>74.712.473</t>
  </si>
  <si>
    <t>4.183.898</t>
  </si>
  <si>
    <t>8.678.601</t>
  </si>
  <si>
    <t>87.574.972</t>
  </si>
  <si>
    <t>PP25-221</t>
  </si>
  <si>
    <t>Upah Area TAD LMB Juni 2025</t>
  </si>
  <si>
    <t>355.786.286</t>
  </si>
  <si>
    <t>39.136.491</t>
  </si>
  <si>
    <t>394.922.777</t>
  </si>
  <si>
    <t>PP25-222</t>
  </si>
  <si>
    <t>Upah Project TAD LMB Juni 2025</t>
  </si>
  <si>
    <t>17.973.186</t>
  </si>
  <si>
    <t>1.977.050</t>
  </si>
  <si>
    <t>19.950.236</t>
  </si>
  <si>
    <t>PP25-223</t>
  </si>
  <si>
    <t>Lembur Area TAD LMB Juni 2025</t>
  </si>
  <si>
    <t>67.407.297</t>
  </si>
  <si>
    <t>7.414.803</t>
  </si>
  <si>
    <t>74.822.100</t>
  </si>
  <si>
    <t>PP25-224</t>
  </si>
  <si>
    <t>Lembur Project TAD LMB Juni 2025</t>
  </si>
  <si>
    <t>41.818.705</t>
  </si>
  <si>
    <t>4.600.058</t>
  </si>
  <si>
    <t>46.418.763</t>
  </si>
  <si>
    <t>PP25-225</t>
  </si>
  <si>
    <t>Dinas Area TAD LMB Juni 2025</t>
  </si>
  <si>
    <t>55.979.850</t>
  </si>
  <si>
    <t>6.157.784</t>
  </si>
  <si>
    <t>62.137.634</t>
  </si>
  <si>
    <t>PP25-226</t>
  </si>
  <si>
    <t>Borongan Admin Periode 2025</t>
  </si>
  <si>
    <t>7.677.048</t>
  </si>
  <si>
    <t>8.521.523</t>
  </si>
  <si>
    <t>49.295.913</t>
  </si>
  <si>
    <t>2.957.755</t>
  </si>
  <si>
    <t>5.747.903</t>
  </si>
  <si>
    <t>58.001.571</t>
  </si>
  <si>
    <t>36.354.562</t>
  </si>
  <si>
    <t>2.181.274</t>
  </si>
  <si>
    <t>4.238.942</t>
  </si>
  <si>
    <t>42.774.778</t>
  </si>
  <si>
    <t>134.524.101</t>
  </si>
  <si>
    <t>8.071.446</t>
  </si>
  <si>
    <t>15.685.510</t>
  </si>
  <si>
    <t>158.281.057</t>
  </si>
  <si>
    <t>30.775.366</t>
  </si>
  <si>
    <t>1.631.094</t>
  </si>
  <si>
    <t>3.564.711</t>
  </si>
  <si>
    <t>35.971.171</t>
  </si>
  <si>
    <t>312.388.782</t>
  </si>
  <si>
    <t>19.680.493</t>
  </si>
  <si>
    <t>36.527.620</t>
  </si>
  <si>
    <t>368.596.896</t>
  </si>
  <si>
    <t>Pembayaran Tahap III Penerbitan Sertifikat Pendaftaran Paten PGE di negara islandia</t>
  </si>
  <si>
    <t>37.001.586</t>
  </si>
  <si>
    <t>4.440.190</t>
  </si>
  <si>
    <t>4.558.595</t>
  </si>
  <si>
    <t>46.000.372</t>
  </si>
  <si>
    <t>PP25-233</t>
  </si>
  <si>
    <t>agihan Upah "Pengadaan Jasa Tenaga Alih Daya di Lingkungan Kantor Pusat PT PGE Tbk Fungsi Planning &amp; Risk Management." Periode Juni 2025 (CSP)</t>
  </si>
  <si>
    <t>PP25-234</t>
  </si>
  <si>
    <t>Tagihan Upah "Pengadaan Jasa Tenaga Alih Daya di Lingkungan Kantor Pusat PT PGE Tbk Fungsi Planning &amp; Risk Management." Periode Juni 2025 (ICOFR)</t>
  </si>
  <si>
    <t>PP25-235</t>
  </si>
  <si>
    <t>Tagihan Upah "Pengadaan Jasa Tenaga Alih Daya di Lingkungan Kantor Pusat PT PGE Tbk Fungsi Planning &amp; Risk Management." Periode Juni 2025 (SPS)</t>
  </si>
  <si>
    <t>8.575.265</t>
  </si>
  <si>
    <t>1.014.025</t>
  </si>
  <si>
    <t>10.232.435</t>
  </si>
  <si>
    <t>PP25-236</t>
  </si>
  <si>
    <t>Tagihan Upah "Pengadaan Jasa Tenaga Alih Daya di Lingkungan Kantor Pusat PT PGE Tbk Fungsi Planning &amp; Risk Management." Periode Juni 2025 (PM)</t>
  </si>
  <si>
    <t>PP25-237</t>
  </si>
  <si>
    <t>Tagihan Upah "Pengadaan Jasa Tenaga Alih Daya di Lingkungan Kantor Pusat PT PGE Tbk Fungsi Planning &amp; Risk Management." Periode Juni 2025 (ERM)</t>
  </si>
  <si>
    <t>93.531.782</t>
  </si>
  <si>
    <t>9.353.178</t>
  </si>
  <si>
    <t>11.317.346</t>
  </si>
  <si>
    <t>114.202.306</t>
  </si>
  <si>
    <t>Tagihan Premi MAPS NOTA BI25153210 "Pengadaan Jasa Tenaga Alih Daya di Lingkungan Kantor Pusat PT PGE Tbk." untuk fungsi Geoscience, Periode  2025</t>
  </si>
  <si>
    <t>73.256.922</t>
  </si>
  <si>
    <t>4.414.058</t>
  </si>
  <si>
    <t>4.899.604</t>
  </si>
  <si>
    <t>47.085.966</t>
  </si>
  <si>
    <t>2.825.158</t>
  </si>
  <si>
    <t>620.749.142</t>
  </si>
  <si>
    <t>37.244.949</t>
  </si>
  <si>
    <t>4.096.944</t>
  </si>
  <si>
    <t>41.341.893</t>
  </si>
  <si>
    <t>14/7/25</t>
  </si>
  <si>
    <t>9.423.529</t>
  </si>
  <si>
    <t>20.802.961</t>
  </si>
  <si>
    <t>2.288.326</t>
  </si>
  <si>
    <t>1.310.587</t>
  </si>
  <si>
    <t>1.454.752</t>
  </si>
  <si>
    <t>236.325.136</t>
  </si>
  <si>
    <t>25.995.765</t>
  </si>
  <si>
    <t>14.888.484</t>
  </si>
  <si>
    <t>1.637.733</t>
  </si>
  <si>
    <t>16.526.217</t>
  </si>
  <si>
    <t>8.373.916</t>
  </si>
  <si>
    <t>9.880.635</t>
  </si>
  <si>
    <t>38.800.000</t>
  </si>
  <si>
    <t>4.656.000</t>
  </si>
  <si>
    <t>4.780.160</t>
  </si>
  <si>
    <t>48.236.160</t>
  </si>
  <si>
    <t>15/7/25</t>
  </si>
  <si>
    <t>6.677.200</t>
  </si>
  <si>
    <t>7.878.629</t>
  </si>
  <si>
    <t>190.878.000</t>
  </si>
  <si>
    <t>12.025.314</t>
  </si>
  <si>
    <t>22.319.365</t>
  </si>
  <si>
    <t>225.222.679</t>
  </si>
  <si>
    <t>121.603.317</t>
  </si>
  <si>
    <t>13.376.365</t>
  </si>
  <si>
    <t>134.979.682</t>
  </si>
  <si>
    <t>16/7/25</t>
  </si>
  <si>
    <t>48.155.870</t>
  </si>
  <si>
    <t>3.033.820</t>
  </si>
  <si>
    <t>5.630.866</t>
  </si>
  <si>
    <t>56.820.556</t>
  </si>
  <si>
    <t>23/7/25</t>
  </si>
  <si>
    <t>127.736.539</t>
  </si>
  <si>
    <t>6.770.037</t>
  </si>
  <si>
    <t>14.795.723</t>
  </si>
  <si>
    <t>149.302.299</t>
  </si>
  <si>
    <t>85.270.156</t>
  </si>
  <si>
    <t>4.519.318</t>
  </si>
  <si>
    <t>9.876.842</t>
  </si>
  <si>
    <t>99.666.316</t>
  </si>
  <si>
    <t>355.334.001</t>
  </si>
  <si>
    <t>18.832.702</t>
  </si>
  <si>
    <t>41.158.337</t>
  </si>
  <si>
    <t>415.325.040</t>
  </si>
  <si>
    <t>24/7/25</t>
  </si>
  <si>
    <t>96.655.488</t>
  </si>
  <si>
    <t>9.665.549</t>
  </si>
  <si>
    <t>11.695.314</t>
  </si>
  <si>
    <t>118.016.351</t>
  </si>
  <si>
    <t>PP25-260</t>
  </si>
  <si>
    <t>25/7/25</t>
  </si>
  <si>
    <t>Tagihan Lembur Area Jasa TAD LMB "Pengadaan Jasa Tenaga Ahli Daya (TAD) PT PGE Tbk Area Lumut Balai"
Periode Juli 2025.</t>
  </si>
  <si>
    <t>70.189.853</t>
  </si>
  <si>
    <t>4.071.011</t>
  </si>
  <si>
    <t>8.168.695</t>
  </si>
  <si>
    <t>82.429.560</t>
  </si>
  <si>
    <t>PP25-261</t>
  </si>
  <si>
    <t>Tagihan Lembur Project Jasa TAD LMB "Pengadaan Jasa Tenaga Ahli Daya (TAD) PT PGE Tbk Area Lumut Balai"
Periode Juli 2025.</t>
  </si>
  <si>
    <t>35.993.491</t>
  </si>
  <si>
    <t>2.087.622</t>
  </si>
  <si>
    <t>4.188.922</t>
  </si>
  <si>
    <t>42.270.036</t>
  </si>
  <si>
    <t>PP25-262</t>
  </si>
  <si>
    <t>Tagihan Dinas Jasa TAD LMB "Pengadaan Jasa Tenaga Ahli Daya (TAD) PT PGE Tbk Area Lumut Balai"
Periode Juli 2025.</t>
  </si>
  <si>
    <t>52.357.186</t>
  </si>
  <si>
    <t>3.036.717</t>
  </si>
  <si>
    <t>6.093.329</t>
  </si>
  <si>
    <t>61.487.232</t>
  </si>
  <si>
    <t>PP25-263</t>
  </si>
  <si>
    <t>Tagihan Borongan Administrasi Jasa TAD LMB "Pengadaan Jasa Tenaga Ahli Daya (TAD) PT PGE Tbk Area Lumut Balai"
Periode Juli 2025.</t>
  </si>
  <si>
    <t>28/7/25</t>
  </si>
  <si>
    <t>41.156.800</t>
  </si>
  <si>
    <t>2.181.310</t>
  </si>
  <si>
    <t>4.767.192</t>
  </si>
  <si>
    <t>48.105.303</t>
  </si>
  <si>
    <t>2.574.800</t>
  </si>
  <si>
    <t>3.009.503</t>
  </si>
  <si>
    <t>6.702.600</t>
  </si>
  <si>
    <t>7.834.200</t>
  </si>
  <si>
    <t>PP25-268</t>
  </si>
  <si>
    <t>30/7/25</t>
  </si>
  <si>
    <t>Tagihan Upah "Tenaga Alih Daya (TAD) di Lingkungan PT Pertamina Geothermal Energy Tbk Area Karaha" Periode  Juli 2025</t>
  </si>
  <si>
    <t>246.556.928</t>
  </si>
  <si>
    <t>13.807.188</t>
  </si>
  <si>
    <t>28.640.053</t>
  </si>
  <si>
    <t>289.004.169</t>
  </si>
  <si>
    <t>77.187.150</t>
  </si>
  <si>
    <t>4.631.229</t>
  </si>
  <si>
    <t>9.000.022</t>
  </si>
  <si>
    <t>90.818.401</t>
  </si>
  <si>
    <t>59.182.907</t>
  </si>
  <si>
    <t>3.550.974</t>
  </si>
  <si>
    <t>6.900.727</t>
  </si>
  <si>
    <t>69.634.608</t>
  </si>
  <si>
    <t>422.952.691</t>
  </si>
  <si>
    <t>25.377.161</t>
  </si>
  <si>
    <t>49.316.284</t>
  </si>
  <si>
    <t>497.646.136</t>
  </si>
  <si>
    <t>21.171.884</t>
  </si>
  <si>
    <t>2.117.188</t>
  </si>
  <si>
    <t>2.561.798</t>
  </si>
  <si>
    <t>25.850.870</t>
  </si>
  <si>
    <t>163.682.483</t>
  </si>
  <si>
    <t>8.675.172</t>
  </si>
  <si>
    <t>18.959.342</t>
  </si>
  <si>
    <t>191.316.997</t>
  </si>
  <si>
    <t>35.500.832</t>
  </si>
  <si>
    <t>1.881.544</t>
  </si>
  <si>
    <t>4.112.061</t>
  </si>
  <si>
    <t>41.494.437</t>
  </si>
  <si>
    <t>39.038.929</t>
  </si>
  <si>
    <t>2.069.063</t>
  </si>
  <si>
    <t>4.521.879</t>
  </si>
  <si>
    <t>45.629.871</t>
  </si>
  <si>
    <t>PP25-277</t>
  </si>
  <si>
    <t>Tagihan Dinas &amp; Lembur "Tenaga Alih Daya (TAD) di Lingkungan PT Pertamina Geothermal Energy Tbk Area Karaha" Periode Juli 2025</t>
  </si>
  <si>
    <t>89.321.520</t>
  </si>
  <si>
    <t>9.825.367</t>
  </si>
  <si>
    <t>99.146.887</t>
  </si>
  <si>
    <t>PP25-278</t>
  </si>
  <si>
    <t>Invoice Upah Area Juli 2025 LMB</t>
  </si>
  <si>
    <t>376.897.367</t>
  </si>
  <si>
    <t>41.458.710</t>
  </si>
  <si>
    <t>418.356.077</t>
  </si>
  <si>
    <t>74.981.581</t>
  </si>
  <si>
    <t>4.498.895</t>
  </si>
  <si>
    <t>8.742.852</t>
  </si>
  <si>
    <t>88.223.328</t>
  </si>
  <si>
    <t>42.665.703</t>
  </si>
  <si>
    <t>2.559.942</t>
  </si>
  <si>
    <t>4.974.821</t>
  </si>
  <si>
    <t>50.200.466</t>
  </si>
  <si>
    <t>78.327.039</t>
  </si>
  <si>
    <t>4.699.622</t>
  </si>
  <si>
    <t>9.132.933</t>
  </si>
  <si>
    <t>92.159.594</t>
  </si>
  <si>
    <t>17.233.642</t>
  </si>
  <si>
    <t>1.292.523</t>
  </si>
  <si>
    <t>2.037.878</t>
  </si>
  <si>
    <t>20.564.043</t>
  </si>
  <si>
    <t>5.857.200</t>
  </si>
  <si>
    <t>6.859.074</t>
  </si>
  <si>
    <t>157.211.385</t>
  </si>
  <si>
    <t>8.646.626</t>
  </si>
  <si>
    <t>18.244.381</t>
  </si>
  <si>
    <t>184.102.392</t>
  </si>
  <si>
    <t>71.494.744</t>
  </si>
  <si>
    <t>3.932.211</t>
  </si>
  <si>
    <t>8.296.965</t>
  </si>
  <si>
    <t>83.723.920</t>
  </si>
  <si>
    <t>291.634.251</t>
  </si>
  <si>
    <t>18.372.958</t>
  </si>
  <si>
    <t>34.100.793</t>
  </si>
  <si>
    <t>344.108.002</t>
  </si>
  <si>
    <t>227.998.934</t>
  </si>
  <si>
    <t>62.360.046</t>
  </si>
  <si>
    <t>3.305.082</t>
  </si>
  <si>
    <t>65.665.128</t>
  </si>
  <si>
    <t>46.481.711</t>
  </si>
  <si>
    <t>11.475.730</t>
  </si>
  <si>
    <t>1.262.330</t>
  </si>
  <si>
    <t>12.738.060</t>
  </si>
  <si>
    <t>2.463.531</t>
  </si>
  <si>
    <t>2.734.519</t>
  </si>
  <si>
    <t>PP25-297</t>
  </si>
  <si>
    <t>Tagihan Premi MAPS "Pengadaan Jasa Tenaga Kerja Penunjang Proyek Karaha Bodas PT. Pertamina Geothermal Energi" Periode 2025</t>
  </si>
  <si>
    <t>37.737.408</t>
  </si>
  <si>
    <t>PP25-298</t>
  </si>
  <si>
    <t>Tagihan Profit MAPS "Pengadaan Jasa Tenaga Kerja Penunjang Proyek Karaha Bodas PT. Pertamina Geothermal Energi" Periode 2025</t>
  </si>
  <si>
    <t>21.132.949</t>
  </si>
  <si>
    <t>2.324.624</t>
  </si>
  <si>
    <t>23.457.573</t>
  </si>
  <si>
    <t>Tagihan dinas lembur pengadaan jasa TAD di fungsi prodev PGE Juli 2025 knator pusat</t>
  </si>
  <si>
    <t>4.917.000</t>
  </si>
  <si>
    <t>5.747.137</t>
  </si>
  <si>
    <t>13/8/25</t>
  </si>
  <si>
    <t>3.318.666</t>
  </si>
  <si>
    <t>3.878.956</t>
  </si>
  <si>
    <t>PP25-301</t>
  </si>
  <si>
    <t>14/8/25</t>
  </si>
  <si>
    <t>Tagihan Premi Jasa TAD LMB 2025 Tanpa PPN</t>
  </si>
  <si>
    <t>496.704.453</t>
  </si>
  <si>
    <t>PP25-302</t>
  </si>
  <si>
    <t>Tagihan Profit Premi Maps Jasa TAD LMB 2025</t>
  </si>
  <si>
    <t>28.808.858</t>
  </si>
  <si>
    <t>3.168.974</t>
  </si>
  <si>
    <t>31.977.832</t>
  </si>
  <si>
    <t>15/8/25</t>
  </si>
  <si>
    <t>24.000.000</t>
  </si>
  <si>
    <t>24.640.000</t>
  </si>
  <si>
    <t>248.640.000</t>
  </si>
  <si>
    <t>22/8/25</t>
  </si>
  <si>
    <t>34.659.980</t>
  </si>
  <si>
    <t>1.836.979</t>
  </si>
  <si>
    <t>4.014.665</t>
  </si>
  <si>
    <t>40.511.624</t>
  </si>
  <si>
    <t>128.399.484</t>
  </si>
  <si>
    <t>6.805.173</t>
  </si>
  <si>
    <t>14.872.512</t>
  </si>
  <si>
    <t>150.077.169</t>
  </si>
  <si>
    <t>25/8/25</t>
  </si>
  <si>
    <t>349.144.848</t>
  </si>
  <si>
    <t>18.504.677</t>
  </si>
  <si>
    <t>40.441.448</t>
  </si>
  <si>
    <t>408.090.973</t>
  </si>
  <si>
    <t>314.022.863</t>
  </si>
  <si>
    <t>16.957.235</t>
  </si>
  <si>
    <t>36.407.811</t>
  </si>
  <si>
    <t>367.387.908</t>
  </si>
  <si>
    <t>26/8/25</t>
  </si>
  <si>
    <t>626.879.040</t>
  </si>
  <si>
    <t>53.284.718</t>
  </si>
  <si>
    <t>74.818.013</t>
  </si>
  <si>
    <t>754.981.772</t>
  </si>
  <si>
    <t>PP25-309</t>
  </si>
  <si>
    <t>Biaya Lembur TAD LMB Per Agustus 2025</t>
  </si>
  <si>
    <t>88.389.170</t>
  </si>
  <si>
    <t>9.722.809</t>
  </si>
  <si>
    <t>98.111.979</t>
  </si>
  <si>
    <t>PP25-310</t>
  </si>
  <si>
    <t>Dinas TAD LMB per Agustus 2025</t>
  </si>
  <si>
    <t>144.648.225</t>
  </si>
  <si>
    <t>15.911.305</t>
  </si>
  <si>
    <t>160.559.530</t>
  </si>
  <si>
    <t>PP25-311</t>
  </si>
  <si>
    <t>Borongan admin per Agustus 2025</t>
  </si>
  <si>
    <t>8.053.321</t>
  </si>
  <si>
    <t>PP25-312</t>
  </si>
  <si>
    <t>27/8/25</t>
  </si>
  <si>
    <t>Tagihan Perlengkapan Kerja Pengadaan Jasa Tenaga Kerja Penunjang Proyek Karaha Bodas PT. Pertamina Geothermal Energi Periode 2025</t>
  </si>
  <si>
    <t>215.738.000</t>
  </si>
  <si>
    <t>12.081.328</t>
  </si>
  <si>
    <t>25.060.126</t>
  </si>
  <si>
    <t>252.879.454</t>
  </si>
  <si>
    <t>29/8/25</t>
  </si>
  <si>
    <t>810.444.741</t>
  </si>
  <si>
    <t>44.574.461</t>
  </si>
  <si>
    <t>94.052.112</t>
  </si>
  <si>
    <t>949.071.314</t>
  </si>
  <si>
    <t>95.928.829</t>
  </si>
  <si>
    <t>9.592.883</t>
  </si>
  <si>
    <t>1.055.217</t>
  </si>
  <si>
    <t>106.576.929</t>
  </si>
  <si>
    <t>72.687.915</t>
  </si>
  <si>
    <t>4.361.275</t>
  </si>
  <si>
    <t>8.475.411</t>
  </si>
  <si>
    <t>85.524.601</t>
  </si>
  <si>
    <t>413.781.024</t>
  </si>
  <si>
    <t>24.826.861</t>
  </si>
  <si>
    <t>48.246.867</t>
  </si>
  <si>
    <t>486.854.753</t>
  </si>
  <si>
    <t>PP25-318</t>
  </si>
  <si>
    <t>Tagihan Upah "Tenaga Alih Daya (TAD) di Lingkungan PT Pertamina Geothermal Energy Tbk Area Karaha" Periode Agustus 2025</t>
  </si>
  <si>
    <t>244.291.643</t>
  </si>
  <si>
    <t>13.680.332</t>
  </si>
  <si>
    <t>28.376.917</t>
  </si>
  <si>
    <t>286.348.892</t>
  </si>
  <si>
    <t>PP25-319</t>
  </si>
  <si>
    <t>Tagihan Dinas &amp; Lembur "Tenaga Alih Daya (TAD) di Lingkungan PT Pertamina Geothermal Energy Tbk Area Karaha" Periode Agustus 2025</t>
  </si>
  <si>
    <t>81.791.378</t>
  </si>
  <si>
    <t>4.580.317</t>
  </si>
  <si>
    <t>9.500.886</t>
  </si>
  <si>
    <t>95.872.582</t>
  </si>
  <si>
    <t>PP25-320</t>
  </si>
  <si>
    <t>Tagihan Upah Jasa TAD LMB "Pengadaan Jasa Tenaga Ahli Daya (TAD) PT PGE Tbk Area Lumut Balai"
Periode Agustus 2025.</t>
  </si>
  <si>
    <t>354.675.228</t>
  </si>
  <si>
    <t>20.571.163</t>
  </si>
  <si>
    <t>41.277.103</t>
  </si>
  <si>
    <t>416.523.494</t>
  </si>
  <si>
    <t>31.469.281</t>
  </si>
  <si>
    <t>1.888.157</t>
  </si>
  <si>
    <t>3.669.318</t>
  </si>
  <si>
    <t>37.026.756</t>
  </si>
  <si>
    <t>56.703.267</t>
  </si>
  <si>
    <t>3.402.196</t>
  </si>
  <si>
    <t>6.611.601</t>
  </si>
  <si>
    <t>66.717.064</t>
  </si>
  <si>
    <t>77.659.129</t>
  </si>
  <si>
    <t>4.659.548</t>
  </si>
  <si>
    <t>9.055.054</t>
  </si>
  <si>
    <t>91.373.731</t>
  </si>
  <si>
    <t>23.277.675</t>
  </si>
  <si>
    <t>1.280.272</t>
  </si>
  <si>
    <t>2.701.374</t>
  </si>
  <si>
    <t>27.259.321</t>
  </si>
  <si>
    <t>162.913.493</t>
  </si>
  <si>
    <t>8.634.415</t>
  </si>
  <si>
    <t>18.870.270</t>
  </si>
  <si>
    <t>190.418.178</t>
  </si>
  <si>
    <t>248.770.328</t>
  </si>
  <si>
    <t>15.672.531</t>
  </si>
  <si>
    <t>29.088.714</t>
  </si>
  <si>
    <t>293.531.573</t>
  </si>
  <si>
    <t>Jasa Site Survey Persiapan Infrastruktur Cluster C Geothermal Seulawah</t>
  </si>
  <si>
    <t>1.000.000.000</t>
  </si>
  <si>
    <t>60.000.000</t>
  </si>
  <si>
    <t>116.600.000</t>
  </si>
  <si>
    <t>1.176.600.000</t>
  </si>
  <si>
    <t>17.061.768</t>
  </si>
  <si>
    <t>1.706.177</t>
  </si>
  <si>
    <t>2.064.474</t>
  </si>
  <si>
    <t>20.832.419</t>
  </si>
  <si>
    <t>PP25-331</t>
  </si>
  <si>
    <t>Tagihan Upah "Pengadaan Jasa Tenaga Alih Daya di Lingkungan Kantor Pusat PT PGE Tbk Fungsi Planning &amp; Risk Management." Periode Agustus 2025 (CSP)</t>
  </si>
  <si>
    <t>13.098.757</t>
  </si>
  <si>
    <t>1.548.928</t>
  </si>
  <si>
    <t>15.630.092</t>
  </si>
  <si>
    <t>PP25-332</t>
  </si>
  <si>
    <t>Tagihan Upah "Pengadaan Jasa Tenaga Alih Daya di Lingkungan Kantor Pusat PT PGE Tbk Fungsi Planning &amp; Risk Management." Periode Agustus 2025 (ERM)</t>
  </si>
  <si>
    <t>PP25-333</t>
  </si>
  <si>
    <t>Tagihan Upah "Pengadaan Jasa Tenaga Alih Daya di Lingkungan Kantor Pusat PT PGE Tbk Fungsi Planning &amp; Risk Management." Periode Agustus 2025 (PM)</t>
  </si>
  <si>
    <t>PP25-334</t>
  </si>
  <si>
    <t>Tagihan Upah "Pengadaan Jasa Tenaga Alih Daya di Lingkungan Kantor Pusat PT PGE Tbk Fungsi Planning &amp; Risk Management." Periode Agustus 2025 (SPS)</t>
  </si>
  <si>
    <t>PP25-335</t>
  </si>
  <si>
    <t>Tagihan Perlengkapan Kerja TAD LMB "Pengadaan Jasa Tenaga Ahli Daya (TAD) PT PGE Tbk Area Lumut Balai"
Periode 2025.</t>
  </si>
  <si>
    <t>237.468.000</t>
  </si>
  <si>
    <t>13.773.144</t>
  </si>
  <si>
    <t>27.636.526</t>
  </si>
  <si>
    <t>278.877.670</t>
  </si>
  <si>
    <t>PP25-336</t>
  </si>
  <si>
    <t>Tagihan Upah "Pengadaan Jasa Tenaga Alih Daya di Lingkungan Kantor Pusat PT PGE Tbk Fungsi Planning &amp; Risk Management." Periode Agustus 2025 (ICOFR)</t>
  </si>
  <si>
    <t>17.223.642</t>
  </si>
  <si>
    <t>1.291.773</t>
  </si>
  <si>
    <t>2.036.696</t>
  </si>
  <si>
    <t>20.552.111</t>
  </si>
  <si>
    <t>12.343.965</t>
  </si>
  <si>
    <t>1.429.801</t>
  </si>
  <si>
    <t>14.427.997</t>
  </si>
  <si>
    <t>11.815.108</t>
  </si>
  <si>
    <t>1.368.544</t>
  </si>
  <si>
    <t>13.809.853</t>
  </si>
  <si>
    <t>38.391.500</t>
  </si>
  <si>
    <t>2.034.750</t>
  </si>
  <si>
    <t>4.446.887</t>
  </si>
  <si>
    <t>44.873.137</t>
  </si>
  <si>
    <t>9.492.000</t>
  </si>
  <si>
    <t>1.099.458</t>
  </si>
  <si>
    <t>11.094.534</t>
  </si>
  <si>
    <t>Tagihan Perlengkapan Kerja (APD) "Pengadaan Jasa Tenaga Alih Daya Di Fungsi Project Development  PT. Pertamina Geothermal Energy No. Kontrak 3900558866 Tanggal 20 Februari 2025" untuk Proyek Sungai Penuh, Periode Tahun 2025</t>
  </si>
  <si>
    <t>15.935.500</t>
  </si>
  <si>
    <t>1.845.809</t>
  </si>
  <si>
    <t>18.625.890</t>
  </si>
  <si>
    <t>PP25-342</t>
  </si>
  <si>
    <t>Tagihan Dinas "Pengadaan Jasa Tenaga Alih Daya di Lingkungan Kantor Pusat PT PGE Tbk Fungsi Planning &amp; Risk Management." Periode Januari - Agustus 2025</t>
  </si>
  <si>
    <t>19.433.569</t>
  </si>
  <si>
    <t>1.457.518</t>
  </si>
  <si>
    <t>2.298.020</t>
  </si>
  <si>
    <t>23.189.106</t>
  </si>
  <si>
    <t>23/9/25</t>
  </si>
  <si>
    <t>63.132.939</t>
  </si>
  <si>
    <t>3.346.046</t>
  </si>
  <si>
    <t>7.312.688</t>
  </si>
  <si>
    <t>73.791.673</t>
  </si>
  <si>
    <t>15/9/25</t>
  </si>
  <si>
    <t>47.432.390</t>
  </si>
  <si>
    <t>2.608.781</t>
  </si>
  <si>
    <t>5.504.529</t>
  </si>
  <si>
    <t>55.545.700</t>
  </si>
  <si>
    <t>94.953.117</t>
  </si>
  <si>
    <t>9.495.312</t>
  </si>
  <si>
    <t>1.044.484</t>
  </si>
  <si>
    <t>105.492.913</t>
  </si>
  <si>
    <t>PP25-346</t>
  </si>
  <si>
    <t>25/9/25</t>
  </si>
  <si>
    <t>Tagihan Lembur TAD LMB "Pengadaan Jasa Tenaga Ahli Daya (TAD) PT PGE Tbk Area Lumut Balai"
Periode September 2025.</t>
  </si>
  <si>
    <t>93.363.092</t>
  </si>
  <si>
    <t>5.415.059</t>
  </si>
  <si>
    <t>10.865.597</t>
  </si>
  <si>
    <t>109.643.748</t>
  </si>
  <si>
    <t>PP25-347</t>
  </si>
  <si>
    <t>Tagihan Dinas TAD LMB "Pengadaan Jasa Tenaga Ahli Daya (TAD) PT PGE Tbk Area Lumut Balai"
Periode September 2025.</t>
  </si>
  <si>
    <t>150.663.777</t>
  </si>
  <si>
    <t>8.738.499</t>
  </si>
  <si>
    <t>17.534.250</t>
  </si>
  <si>
    <t>176.936.526</t>
  </si>
  <si>
    <t>PP25-348</t>
  </si>
  <si>
    <t>Tagihan Borongan Admin LMB "Pengadaan Jasa Tenaga Ahli Daya (TAD) PT PGE Tbk Area Lumut Balai"
Periode September 2025.</t>
  </si>
  <si>
    <t>PP25-349</t>
  </si>
  <si>
    <t>Reimbursement biaya tiket pesawat pengadaan jasa TAD Kantor Pusat PGE Mei - Agustus 2025</t>
  </si>
  <si>
    <t>57.952.869</t>
  </si>
  <si>
    <t>3.477.172</t>
  </si>
  <si>
    <t>6.757.305</t>
  </si>
  <si>
    <t>68.187.346</t>
  </si>
  <si>
    <t>PP25-350</t>
  </si>
  <si>
    <t>Reimbursement biaya tiket pesawat pengadaan jasa TAD Kantor Pusat HC Geoscience  PGE Mei - Agustus 2025</t>
  </si>
  <si>
    <t>57.617.590</t>
  </si>
  <si>
    <t>3.457.055</t>
  </si>
  <si>
    <t>6.718.211</t>
  </si>
  <si>
    <t>67.792.856</t>
  </si>
  <si>
    <t>PP25-351</t>
  </si>
  <si>
    <t>Reimbursement biaya tiket pesawat pengadaan jasa TAD Kantor Pusat HC Reservoir PGE Mei - Agustus 2025</t>
  </si>
  <si>
    <t>22.583.000</t>
  </si>
  <si>
    <t>1.354.980</t>
  </si>
  <si>
    <t>2.633.178</t>
  </si>
  <si>
    <t>26.571.158</t>
  </si>
  <si>
    <t>799.360.903</t>
  </si>
  <si>
    <t>43.964.850</t>
  </si>
  <si>
    <t>92.765.833</t>
  </si>
  <si>
    <t>936.091.585</t>
  </si>
  <si>
    <t>PP25-353</t>
  </si>
  <si>
    <t>27/9/25</t>
  </si>
  <si>
    <t>Tagihan Upah TAD LMB "Pengadaan Jasa Tenaga Ahli Daya (TAD) PT PGE Tbk Area Lumut Balai"
Periode September 2025.</t>
  </si>
  <si>
    <t>355.967.707</t>
  </si>
  <si>
    <t>20.646.127</t>
  </si>
  <si>
    <t>2.271.074</t>
  </si>
  <si>
    <t>378.884.908</t>
  </si>
  <si>
    <t>30/9/25</t>
  </si>
  <si>
    <t>72.347.837</t>
  </si>
  <si>
    <t>59.241.796</t>
  </si>
  <si>
    <t>3.554.508</t>
  </si>
  <si>
    <t>63.187.300</t>
  </si>
  <si>
    <t>413.990.011</t>
  </si>
  <si>
    <t>24.839.401</t>
  </si>
  <si>
    <t>2.732.334</t>
  </si>
  <si>
    <t>441.561.746</t>
  </si>
  <si>
    <t>PP25-357</t>
  </si>
  <si>
    <t>Tagihan Upah "Tenaga Alih Daya (TAD) di Lingkungan PT Pertamina Geothermal Energy Tbk Area Karaha" Periode September 2025</t>
  </si>
  <si>
    <t>245.361.169</t>
  </si>
  <si>
    <t>13.740.225</t>
  </si>
  <si>
    <t>28.501.153</t>
  </si>
  <si>
    <t>287.602.548</t>
  </si>
  <si>
    <t>163.201.613</t>
  </si>
  <si>
    <t>8.649.685</t>
  </si>
  <si>
    <t>18.903.643</t>
  </si>
  <si>
    <t>190.754.941</t>
  </si>
  <si>
    <t>35.452.832</t>
  </si>
  <si>
    <t>1.879.000</t>
  </si>
  <si>
    <t>4.106.502</t>
  </si>
  <si>
    <t>41.438.334</t>
  </si>
  <si>
    <t>36.650.023</t>
  </si>
  <si>
    <t>1.942.451</t>
  </si>
  <si>
    <t>4.245.172</t>
  </si>
  <si>
    <t>42.837.646</t>
  </si>
  <si>
    <t>PP25-362</t>
  </si>
  <si>
    <t>Tagihan Dinas &amp; Lembur "Tenaga Alih Daya (TAD) di Lingkungan PT Pertamina Geothermal Energy Tbk Area Karaha" Periode September 2025</t>
  </si>
  <si>
    <t>108.782.201</t>
  </si>
  <si>
    <t>6.091.803</t>
  </si>
  <si>
    <t>12.636.140</t>
  </si>
  <si>
    <t>127.510.145</t>
  </si>
  <si>
    <t>221.736.926</t>
  </si>
  <si>
    <t>13.969.426</t>
  </si>
  <si>
    <t>25.927.699</t>
  </si>
  <si>
    <t>261.634.051</t>
  </si>
  <si>
    <t>341.417.389</t>
  </si>
  <si>
    <t>18.095.122</t>
  </si>
  <si>
    <t>39.546.376</t>
  </si>
  <si>
    <t>399.058.887</t>
  </si>
  <si>
    <t>23.449.708</t>
  </si>
  <si>
    <t>1.242.835</t>
  </si>
  <si>
    <t>2.716.180</t>
  </si>
  <si>
    <t>27.408.722</t>
  </si>
  <si>
    <t>120.151.030</t>
  </si>
  <si>
    <t>7.209.062</t>
  </si>
  <si>
    <t>14.009.610</t>
  </si>
  <si>
    <t>141.369.702</t>
  </si>
  <si>
    <t>52.795.904</t>
  </si>
  <si>
    <t>3.167.754</t>
  </si>
  <si>
    <t>6.156.002</t>
  </si>
  <si>
    <t>62.119.661</t>
  </si>
  <si>
    <t>40.516.321</t>
  </si>
  <si>
    <t>2.430.979</t>
  </si>
  <si>
    <t>4.724.203</t>
  </si>
  <si>
    <t>47.671.503</t>
  </si>
  <si>
    <t>15.780.006</t>
  </si>
  <si>
    <t>1.578.001</t>
  </si>
  <si>
    <t>1.909.381</t>
  </si>
  <si>
    <t>19.267.387</t>
  </si>
  <si>
    <t>PP25-371</t>
  </si>
  <si>
    <t>Tagihan Upah "Pengadaan Jasa Tenaga Alih Daya di Lingkungan Kantor Pusat PT PGE Tbk Fungsi Planning &amp; Risk Management." Periode September 2025 CSP</t>
  </si>
  <si>
    <t>PP25-372</t>
  </si>
  <si>
    <t>Tagihan Upah "Pengadaan Jasa Tenaga Alih Daya di Lingkungan Kantor Pusat PT PGE Tbk Fungsi Planning &amp; Risk Management." Periode September 2025 ERM</t>
  </si>
  <si>
    <t>PP25-373</t>
  </si>
  <si>
    <t>Tagihan Upah "Pengadaan Jasa Tenaga Alih Daya di Lingkungan Kantor Pusat PT PGE Tbk Fungsi Planning &amp; Risk Management." Periode September 2025 ICOFR</t>
  </si>
  <si>
    <t>PP25-374</t>
  </si>
  <si>
    <t>Tagihan Upah "Pengadaan Jasa Tenaga Alih Daya di Lingkungan Kantor Pusat PT PGE Tbk Fungsi Planning &amp; Risk Management." Periode September 2025 PM</t>
  </si>
  <si>
    <t>PP25-375</t>
  </si>
  <si>
    <t>Tagihan Upah "Pengadaan Jasa Tenaga Alih Daya di Lingkungan Kantor Pusat PT PGE Tbk Fungsi Planning &amp; Risk Management." Periode September 2025 SPS</t>
  </si>
  <si>
    <t>57.723.425</t>
  </si>
  <si>
    <t>3.174.788</t>
  </si>
  <si>
    <t>61.247.440</t>
  </si>
  <si>
    <t>16/10/25</t>
  </si>
  <si>
    <t>20.265.600</t>
  </si>
  <si>
    <t>1.215.936</t>
  </si>
  <si>
    <t>2.362.969</t>
  </si>
  <si>
    <t>23.844.505</t>
  </si>
  <si>
    <t>30.670.000</t>
  </si>
  <si>
    <t>1.840.200</t>
  </si>
  <si>
    <t>3.576.122</t>
  </si>
  <si>
    <t>36.086.322</t>
  </si>
  <si>
    <t>2.080.000</t>
  </si>
  <si>
    <t>2.447.328</t>
  </si>
  <si>
    <t>24/10/25</t>
  </si>
  <si>
    <t>345.609.637</t>
  </si>
  <si>
    <t>18.317.311</t>
  </si>
  <si>
    <t>40.031.964</t>
  </si>
  <si>
    <t>403.958.912</t>
  </si>
  <si>
    <t>123.355.577</t>
  </si>
  <si>
    <t>6.537.846</t>
  </si>
  <si>
    <t>14.288.276</t>
  </si>
  <si>
    <t>144.181.699</t>
  </si>
  <si>
    <t>38.158.606</t>
  </si>
  <si>
    <t>2.022.406</t>
  </si>
  <si>
    <t>4.419.911</t>
  </si>
  <si>
    <t>44.600.923</t>
  </si>
  <si>
    <t>PP25-383</t>
  </si>
  <si>
    <t>28/10/25</t>
  </si>
  <si>
    <t>Upah TAD LMB Oktober 2025</t>
  </si>
  <si>
    <t>367.818.150</t>
  </si>
  <si>
    <t>22.069.089</t>
  </si>
  <si>
    <t>42.887.596</t>
  </si>
  <si>
    <t>432.774.835</t>
  </si>
  <si>
    <t>PP25-384</t>
  </si>
  <si>
    <t>lembur TAD LMB Per Oktober 2025</t>
  </si>
  <si>
    <t>74.306.810</t>
  </si>
  <si>
    <t>4.012.568</t>
  </si>
  <si>
    <t>8.615.132</t>
  </si>
  <si>
    <t>86.934.509</t>
  </si>
  <si>
    <t>PP25-385</t>
  </si>
  <si>
    <t>Dinas Oktober TAD LMB 2025</t>
  </si>
  <si>
    <t>120.701.358</t>
  </si>
  <si>
    <t>13.277.149</t>
  </si>
  <si>
    <t>133.978.507</t>
  </si>
  <si>
    <t>PP25-386</t>
  </si>
  <si>
    <t>Biaya Admin Oktober TAD LMB 2025</t>
  </si>
  <si>
    <t>7.676.048</t>
  </si>
  <si>
    <t>163.650.457</t>
  </si>
  <si>
    <t>8.673.474</t>
  </si>
  <si>
    <t>18.955.632</t>
  </si>
  <si>
    <t>191.279.564</t>
  </si>
  <si>
    <t>PP25-390</t>
  </si>
  <si>
    <t>29/10/25</t>
  </si>
  <si>
    <t>Tagihan Upah atas Jasa Penyediaan Tenaga Kerja Jasa Penunjang PT. Asuransi Jiwa Syariah Bumiputera Periode Januari 2025</t>
  </si>
  <si>
    <t>61.152.432</t>
  </si>
  <si>
    <t>6.115.243</t>
  </si>
  <si>
    <t>7.399.444</t>
  </si>
  <si>
    <t>74.667.119</t>
  </si>
  <si>
    <t>31/10/25</t>
  </si>
  <si>
    <t>834.405.339</t>
  </si>
  <si>
    <t>45.892.294</t>
  </si>
  <si>
    <t>96.832.740</t>
  </si>
  <si>
    <t>977.130.372</t>
  </si>
  <si>
    <t>55.135.830</t>
  </si>
  <si>
    <t>3.308.150</t>
  </si>
  <si>
    <t>6.428.838</t>
  </si>
  <si>
    <t>64.872.818</t>
  </si>
  <si>
    <t>420.671.883</t>
  </si>
  <si>
    <t>25.240.313</t>
  </si>
  <si>
    <t>49.050.342</t>
  </si>
  <si>
    <t>494.962.538</t>
  </si>
  <si>
    <t>Jasa PMC Proyek EPCC Unit-2 Tahun 2023-2025 PTPGE Area Lumut Balai No. 3900540206 tanggal 6 Desember 2023, Periode Oktober 2025</t>
  </si>
  <si>
    <t>166.304.948</t>
  </si>
  <si>
    <t>10.477.212</t>
  </si>
  <si>
    <t>19.446.038</t>
  </si>
  <si>
    <t>196.228.197</t>
  </si>
  <si>
    <t>Tagihan Upah "Tenaga Alih Daya (TAD) di Lingkungan PT Pertamina Geothermal Energy Tbk Area Karaha" Periode Oktober 2025</t>
  </si>
  <si>
    <t>246.818.806</t>
  </si>
  <si>
    <t>13.821.853</t>
  </si>
  <si>
    <t>28.670.473</t>
  </si>
  <si>
    <t>289.311.132</t>
  </si>
  <si>
    <t>Tagihan Upah "Pengadaan Jasa Konsultan Audit Support No. 3900556018" Periode Oktober 2025</t>
  </si>
  <si>
    <t>20.922.953</t>
  </si>
  <si>
    <t>2.092.295</t>
  </si>
  <si>
    <t>2.531.677</t>
  </si>
  <si>
    <t>25.546.926</t>
  </si>
  <si>
    <t>Tagihan Upah dan Lembur atas Jasa Penyediaan Tenaga Kerja Jasa Penunjang PT. Asuransi Jiwa Syariah Bumiputera Periode Oktober 2025</t>
  </si>
  <si>
    <t>95.478.442</t>
  </si>
  <si>
    <t>9.547.844</t>
  </si>
  <si>
    <t>1.050.263</t>
  </si>
  <si>
    <t>106.076.549</t>
  </si>
  <si>
    <t>Tagihan Dinas &amp; Lembur "Tenaga Alih Daya (TAD) di Lingkungan PT Pertamina Geothermal Energy Tbk Area Karaha" Periode Oktober 2025</t>
  </si>
  <si>
    <t>184.481.769</t>
  </si>
  <si>
    <t>10.330.979</t>
  </si>
  <si>
    <t>21.429.402</t>
  </si>
  <si>
    <t>216.242.150</t>
  </si>
  <si>
    <t>Tagihan Dinas &amp; Lembur "Pengadaan Jasa Tenaga Alih Daya Di Fungsi Project Development  PT. Pertamina Geothermal Energy No. Kontrak 3900558866 Tanggal 20 Februari 2025" untuk Proyek Hululais, Periode Oktober 2025</t>
  </si>
  <si>
    <t>27.351.256</t>
  </si>
  <si>
    <t>1.449.617</t>
  </si>
  <si>
    <t>3.168.096</t>
  </si>
  <si>
    <t>31.968.969</t>
  </si>
  <si>
    <t>Tagihan Dinas dan Lembur "Pengadaan Jasa Tenaga Alih Daya Di Fungsi Project Development  PT. Pertamina Geothermal Energy No. Kontrak 3900558866 Tanggal 20 Februari 2025" untuk Kantor Pusat, Periode Oktober 2025</t>
  </si>
  <si>
    <t>13.663.386</t>
  </si>
  <si>
    <t>1.582.630</t>
  </si>
  <si>
    <t>15.970.175</t>
  </si>
  <si>
    <t>Tagihan Dinas dan Lembur "Pengadaan Jasa Tenaga Alih Daya di Lingkungan Kantor Pusat PT PGE Tbk.", Periode Oktober 2025</t>
  </si>
  <si>
    <t>90.626.826</t>
  </si>
  <si>
    <t>5.437.610</t>
  </si>
  <si>
    <t>10.567.088</t>
  </si>
  <si>
    <t>106.631.523</t>
  </si>
  <si>
    <t>Tagihan Biaya Perjalanan Dinas "Pengadaan Jasa Tenaga Alih Daya di Lingkungan Kantor Pusat PT PGE Tbk." untuk fungsi Reservoir, Periode Oktober 2025</t>
  </si>
  <si>
    <t>38.033.666</t>
  </si>
  <si>
    <t>2.282.020</t>
  </si>
  <si>
    <t>4.434.725</t>
  </si>
  <si>
    <t>44.750.411</t>
  </si>
  <si>
    <t>PP25-404</t>
  </si>
  <si>
    <t>Tagihan Upah "Pengadaan Jasa Tenaga Alih Daya di Lingkungan Kantor Pusat PT PGE Tbk Fungsi Planning &amp; Risk Management." Periode Oktober 2025</t>
  </si>
  <si>
    <t>PP25-405</t>
  </si>
  <si>
    <t>Tagihan THR atas Jasa Penyediaan Tenaga Kerja Jasa Penunjang PT. Asuransi Jiwa Syariah Bumiputera Tahun 2025</t>
  </si>
  <si>
    <t>30.791.340</t>
  </si>
  <si>
    <t>3.079.134</t>
  </si>
  <si>
    <t>3.725.752</t>
  </si>
  <si>
    <t>37.596.226</t>
  </si>
  <si>
    <t>PP25-406</t>
  </si>
  <si>
    <t>Tagihan Upah "Pengadaan Jasa Tenaga Alih Daya di Lingkungan Kantor Pusat PT PGE Tbk Fungsi Planning &amp; Risk Management." Periode Oktober 2025 CSP</t>
  </si>
  <si>
    <t>PP25-407</t>
  </si>
  <si>
    <t>Tagihan Upah "Pengadaan Jasa Tenaga Alih Daya di Lingkungan Kantor Pusat PT PGE Tbk Fungsi Planning &amp; Risk Management." Periode Oktober 2025 ICOFR</t>
  </si>
  <si>
    <t>PP25-408</t>
  </si>
  <si>
    <t>Tagihan Upah "Pengadaan Jasa Tenaga Alih Daya di Lingkungan Kantor Pusat PT PGE Tbk Fungsi Planning &amp; Risk Management." Periode Oktober 2025 PM</t>
  </si>
  <si>
    <t>PP25-409</t>
  </si>
  <si>
    <t>Tagihan Upah "Pengadaan Jasa Tenaga Alih Daya di Lingkungan Kantor Pusat PT PGE Tbk Fungsi Planning &amp; Risk Management." Periode Oktober 2025 SPS</t>
  </si>
  <si>
    <t>PP25-410</t>
  </si>
  <si>
    <t>Tagihan Biaya Perjalanan Dinas "Pengadaan Jasa Tenaga Alih Daya di Lingkungan Kantor Pusat PT PGE Tbk." untuk fungsi Geoscience, Periode Oktober 2025</t>
  </si>
  <si>
    <t>44.327.489</t>
  </si>
  <si>
    <t>2.659.649</t>
  </si>
  <si>
    <t>5.168.585</t>
  </si>
  <si>
    <t>52.155.724</t>
  </si>
  <si>
    <t>PP25-411</t>
  </si>
  <si>
    <t>20/11/25</t>
  </si>
  <si>
    <t>Pengadaan jasa tenaga alih daya area ulubelu PGE dinas TAD UBL - HLS</t>
  </si>
  <si>
    <t>34.170.000</t>
  </si>
  <si>
    <t>1.811.010</t>
  </si>
  <si>
    <t>3.957.911</t>
  </si>
  <si>
    <t>39.938.921</t>
  </si>
  <si>
    <t>PP25-412</t>
  </si>
  <si>
    <t>Pengadaan jasa tenaga alih daya area ulubelu PGE dinas TAD UBL - Kamojang</t>
  </si>
  <si>
    <t>6.790.000</t>
  </si>
  <si>
    <t>7.936.356</t>
  </si>
  <si>
    <t>PP25-413</t>
  </si>
  <si>
    <t>15.080.000</t>
  </si>
  <si>
    <t>1.746.716</t>
  </si>
  <si>
    <t>17.625.956</t>
  </si>
  <si>
    <t>PP25-414</t>
  </si>
  <si>
    <t>Pengadaan jasa tenaga alih daya area ulubelu PGE dinas TAD UBL - Sibayak</t>
  </si>
  <si>
    <t>25.535.000</t>
  </si>
  <si>
    <t>1.353.355</t>
  </si>
  <si>
    <t>2.957.719</t>
  </si>
  <si>
    <t>29.846.074</t>
  </si>
  <si>
    <t>PP25-415</t>
  </si>
  <si>
    <t>Pengadaan jasa tenaga alih daya area ulubelu PGE dinas TAD UBL - LMB</t>
  </si>
  <si>
    <t>3.440.000</t>
  </si>
  <si>
    <t>4.020.775</t>
  </si>
  <si>
    <t>PP25-416</t>
  </si>
  <si>
    <t>Tagihan Upah dan Lembur atas Jasa Penyediaan Tenaga Kerja Jasa Penunjang PT. Asuransi Jiwa Syariah Bumiputera Periode November 2025</t>
  </si>
  <si>
    <t>94.245.352</t>
  </si>
  <si>
    <t>9.424.535</t>
  </si>
  <si>
    <t>1.036.699</t>
  </si>
  <si>
    <t>104.706.586</t>
  </si>
  <si>
    <t>PP25-417</t>
  </si>
  <si>
    <t>Pengadaan jasa tenaga alih daya area ulubelu PGE lembur september 2025</t>
  </si>
  <si>
    <t>128.658.330</t>
  </si>
  <si>
    <t>6.818.891</t>
  </si>
  <si>
    <t>14.902.494</t>
  </si>
  <si>
    <t>150.379.716</t>
  </si>
  <si>
    <t>PP25-418</t>
  </si>
  <si>
    <t>Pengadaan jasa tenaga alih daya area ulubelu PGE dinas september 2025</t>
  </si>
  <si>
    <t>43.581.120</t>
  </si>
  <si>
    <t>2.309.799</t>
  </si>
  <si>
    <t>5.048.001</t>
  </si>
  <si>
    <t>50.938.920</t>
  </si>
  <si>
    <t>PP25-419</t>
  </si>
  <si>
    <t>Pengadaan jasa tenaga alih daya area ulubelu PGE upah oktober 2025</t>
  </si>
  <si>
    <t>348.616.292</t>
  </si>
  <si>
    <t>18.476.663</t>
  </si>
  <si>
    <t>40.380.225</t>
  </si>
  <si>
    <t>407.473.181</t>
  </si>
  <si>
    <t>PP25-420</t>
  </si>
  <si>
    <t>27/11/25</t>
  </si>
  <si>
    <t>Tagihan Lembur TAD LMB "Pengadaan Jasa Tenaga Ahli Daya (TAD) PT PGE Tbk Area Lumut Balai"
Periode November 2025.</t>
  </si>
  <si>
    <t>70.533.148</t>
  </si>
  <si>
    <t>4.090.923</t>
  </si>
  <si>
    <t>8.208.648</t>
  </si>
  <si>
    <t>82.832.718</t>
  </si>
  <si>
    <t>PP25-421</t>
  </si>
  <si>
    <t>Tagihan Dinas TAD LMB "Pengadaan Jasa Tenaga Ahli Daya (TAD) PT PGE Tbk Area Lumut Balai"
Periode November 2025.</t>
  </si>
  <si>
    <t>76.787.389</t>
  </si>
  <si>
    <t>4.453.669</t>
  </si>
  <si>
    <t>8.936.516</t>
  </si>
  <si>
    <t>90.177.574</t>
  </si>
  <si>
    <t>PP25-422</t>
  </si>
  <si>
    <t>Tagihan Borongan Administrasi LMB "Pengadaan Jasa Tenaga Ahli Daya (TAD) PT PGE Tbk Area Lumut Balai"
Periode November 2025.</t>
  </si>
  <si>
    <t>PP25-423</t>
  </si>
  <si>
    <t>Tagihan Lembur Plant Outage LMB Unit II "Pengadaan Jasa Tenaga Ahli Daya (TAD) PT PGE Tbk Area Lumut Balai"
Periode November 2025.</t>
  </si>
  <si>
    <t>24.207.753</t>
  </si>
  <si>
    <t>1.404.050</t>
  </si>
  <si>
    <t>2.817.298</t>
  </si>
  <si>
    <t>28.429.101</t>
  </si>
  <si>
    <t>PP25-424</t>
  </si>
  <si>
    <t>Pengadaan jasa TAD area ulubelu PGE dinas oktober 2025</t>
  </si>
  <si>
    <t>74.781.864</t>
  </si>
  <si>
    <t>3.963.439</t>
  </si>
  <si>
    <t>8.661.983</t>
  </si>
  <si>
    <t>87.407.286</t>
  </si>
  <si>
    <t>PP25-425</t>
  </si>
  <si>
    <t>Pengadaan jasa TAD area ulubelu PGE BHR oktober 2025</t>
  </si>
  <si>
    <t>135.821.583</t>
  </si>
  <si>
    <t>7.198.544</t>
  </si>
  <si>
    <t>15.732.214</t>
  </si>
  <si>
    <t>158.752.341</t>
  </si>
  <si>
    <t>PP25-426</t>
  </si>
  <si>
    <t>Pengadaan jasa TAD area ulubelu PGE dinas fungsi maintenence dan operasi november 2025</t>
  </si>
  <si>
    <t>13.984.000</t>
  </si>
  <si>
    <t>1.619.767</t>
  </si>
  <si>
    <t>16.344.919</t>
  </si>
  <si>
    <t>PP25-427</t>
  </si>
  <si>
    <t>Pengadaan jasa TAD area ulubelu PGE dinas fungsi BS november 2025</t>
  </si>
  <si>
    <t>58.570.010</t>
  </si>
  <si>
    <t>3.104.211</t>
  </si>
  <si>
    <t>6.784.164</t>
  </si>
  <si>
    <t>68.458.385</t>
  </si>
  <si>
    <t>PP25-428</t>
  </si>
  <si>
    <t>Pengadaan jasa TAD area ulubelu PGE LEMBUR fungsi BS november 2025</t>
  </si>
  <si>
    <t>58.156.831</t>
  </si>
  <si>
    <t>3.082.312</t>
  </si>
  <si>
    <t>6.736.306</t>
  </si>
  <si>
    <t>67.975.449</t>
  </si>
  <si>
    <t>PP25-429</t>
  </si>
  <si>
    <t>Pengadaan jasa TAD area ulubelu PGE lembur fungsi maintenence dan operasi november 2025</t>
  </si>
  <si>
    <t>51.588.355</t>
  </si>
  <si>
    <t>2.734.183</t>
  </si>
  <si>
    <t>5.975.479</t>
  </si>
  <si>
    <t>60.298.017</t>
  </si>
  <si>
    <t>PP25-430</t>
  </si>
  <si>
    <t>Pengadaan jasa TAD area ulubelu PGE MAPS 2025</t>
  </si>
  <si>
    <t>515.287.537</t>
  </si>
  <si>
    <t>PP25-431</t>
  </si>
  <si>
    <t>Pengadaan jasa TAD area ulubelu PGE Profit MAPS 2025</t>
  </si>
  <si>
    <t>27.310.240</t>
  </si>
  <si>
    <t>1.447.443</t>
  </si>
  <si>
    <t>3.163.345</t>
  </si>
  <si>
    <t>31.921.028</t>
  </si>
  <si>
    <t>PP25-432</t>
  </si>
  <si>
    <t>Pengadaan jasa TAD area ulubelu PGE upah  fungsi maintenence dan operasi november 2025</t>
  </si>
  <si>
    <t>171.126.962</t>
  </si>
  <si>
    <t>9.069.729</t>
  </si>
  <si>
    <t>19.821.636</t>
  </si>
  <si>
    <t>200.018.327</t>
  </si>
  <si>
    <t>PP25-433</t>
  </si>
  <si>
    <t>Pengadaan jasa TAD area ulubelu PGE upah  fungsi BS november 2025</t>
  </si>
  <si>
    <t>172.112.043</t>
  </si>
  <si>
    <t>9.121.938</t>
  </si>
  <si>
    <t>19.935.738</t>
  </si>
  <si>
    <t>201.169.719</t>
  </si>
  <si>
    <t>PP25-434</t>
  </si>
  <si>
    <t>Pengadaan jasa TAD area ulubelu PGE Addendum upah, lembur , thr dan bhr januari 2025</t>
  </si>
  <si>
    <t>25.804.201</t>
  </si>
  <si>
    <t>1.393.427</t>
  </si>
  <si>
    <t>2.991.739</t>
  </si>
  <si>
    <t>30.189.367</t>
  </si>
  <si>
    <t>PP25-435</t>
  </si>
  <si>
    <t>Accrual</t>
  </si>
  <si>
    <t>Upah Maintenance dan Operasi Desember 2025</t>
  </si>
  <si>
    <t>193.102.259</t>
  </si>
  <si>
    <t>21.241.248</t>
  </si>
  <si>
    <t>214.343.507</t>
  </si>
  <si>
    <t>PP25-436</t>
  </si>
  <si>
    <t>Upah Bussiness Support Desember 2025</t>
  </si>
  <si>
    <t>186.498.981</t>
  </si>
  <si>
    <t>20.514.888</t>
  </si>
  <si>
    <t>207.013.869</t>
  </si>
  <si>
    <t>PP25-437</t>
  </si>
  <si>
    <t>Lembur Maintenance dan Operasi Desember 2025</t>
  </si>
  <si>
    <t>85.579.593</t>
  </si>
  <si>
    <t>9.413.755</t>
  </si>
  <si>
    <t>94.993.348</t>
  </si>
  <si>
    <t>PP25-438</t>
  </si>
  <si>
    <t>Lembur Bussiness Support Desember 2025</t>
  </si>
  <si>
    <t>79.253.350</t>
  </si>
  <si>
    <t>8.717.869</t>
  </si>
  <si>
    <t>87.971.219</t>
  </si>
  <si>
    <t>PP25-439</t>
  </si>
  <si>
    <t>Dinas Maintenance dan Operasi Desember 2025</t>
  </si>
  <si>
    <t>72.640.152</t>
  </si>
  <si>
    <t>7.990.417</t>
  </si>
  <si>
    <t>80.630.569</t>
  </si>
  <si>
    <t>PP25-440</t>
  </si>
  <si>
    <t>Dinas Bussiness Support Desember 2025</t>
  </si>
  <si>
    <t>87.999.221</t>
  </si>
  <si>
    <t>9.679.914</t>
  </si>
  <si>
    <t>97.679.135</t>
  </si>
  <si>
    <t>PP25-441</t>
  </si>
  <si>
    <t>Tagihan Upah "Pengadaan Jasa Tenaga Kerja Jasa Penunjang Bidang Pemboran" Periode November 2025</t>
  </si>
  <si>
    <t>861.276.223</t>
  </si>
  <si>
    <t>47.370.192</t>
  </si>
  <si>
    <t>99.951.106</t>
  </si>
  <si>
    <t>1.008.597.521</t>
  </si>
  <si>
    <t>PP25-442</t>
  </si>
  <si>
    <t>Tagihan Dinas "Pengadaan Jasa Tenaga Alih Daya di Lingkungan Kantor Pusat PT PGE Tbk Fungsi Planning &amp; Risk Management." Periode November ICOFR</t>
  </si>
  <si>
    <t>15.567.742</t>
  </si>
  <si>
    <t>1.167.581</t>
  </si>
  <si>
    <t>1.840.885</t>
  </si>
  <si>
    <t>18.576.208</t>
  </si>
  <si>
    <t>PP25-443</t>
  </si>
  <si>
    <t>Tagihan Upah "Pengadaan Jasa Tenaga Alih Daya di Lingkungan Kantor Pusat PT PGE Tbk." untuk fungsi Geoscience, Periode November 2025</t>
  </si>
  <si>
    <t>PP25-444</t>
  </si>
  <si>
    <t>Tagihan Upah "Pengadaan Jasa Tenaga Alih Daya di Lingkungan Kantor Pusat PT PGE Tbk." untuk fungsi Reservoir, Periode November 2025</t>
  </si>
  <si>
    <t>59.279.552</t>
  </si>
  <si>
    <t>3.556.773</t>
  </si>
  <si>
    <t>6.911.996</t>
  </si>
  <si>
    <t>69.748.321</t>
  </si>
  <si>
    <t>PP25-445</t>
  </si>
  <si>
    <t>Tagihan Upah "Pengadaan Jasa Tenaga Alih Daya di Lingkungan Kantor Pusat PT PGE Tbk.", Periode November 2025</t>
  </si>
  <si>
    <t>419.476.107</t>
  </si>
  <si>
    <t>25.168.566</t>
  </si>
  <si>
    <t>48.910.914</t>
  </si>
  <si>
    <t>493.555.587</t>
  </si>
  <si>
    <t>PP25-446</t>
  </si>
  <si>
    <t>Tagihan Upah "Tenaga Alih Daya (TAD) di Lingkungan PT Pertamina Geothermal Energy Tbk Area Karaha" Periode November 2025</t>
  </si>
  <si>
    <t>253.058.716</t>
  </si>
  <si>
    <t>14.171.288</t>
  </si>
  <si>
    <t>29.395.300</t>
  </si>
  <si>
    <t>296.625.305</t>
  </si>
  <si>
    <t>PP25-447</t>
  </si>
  <si>
    <t>Tagihan Dinas &amp; Lembur "Tenaga Alih Daya (TAD) di Lingkungan PT Pertamina Geothermal Energy Tbk Area Karaha" Periode : November 2025</t>
  </si>
  <si>
    <t>124.409.331</t>
  </si>
  <si>
    <t>6.966.923</t>
  </si>
  <si>
    <t>14.451.388</t>
  </si>
  <si>
    <t>145.827.641</t>
  </si>
  <si>
    <t>PP25-448</t>
  </si>
  <si>
    <t>Jasa PMC Proyek EPCC Unit-2 Tahun 2023-2025 PTPGE Area Lumut Balai No. 3900540206 tanggal 6 Desember 2023, Periode November 2025</t>
  </si>
  <si>
    <t>PP25-449</t>
  </si>
  <si>
    <t>Tagihan Upah TAD LMB "Pengadaan Jasa Tenaga Ahli Daya (TAD) PT PGE Tbk Area Lumut Balai"
Periode November 2025.</t>
  </si>
  <si>
    <t>372.797.544</t>
  </si>
  <si>
    <t>41.007.730</t>
  </si>
  <si>
    <t>413.805.274</t>
  </si>
  <si>
    <t>PP25-450</t>
  </si>
  <si>
    <t>Tagihan Upah "Pengadaan Jasa Tenaga Alih Daya di Lingkungan Kantor Pusat PT PGE Tbk Fungsi Planning &amp; Risk Management." Periode November 2025 CSP</t>
  </si>
  <si>
    <t>PP25-451</t>
  </si>
  <si>
    <t>Tagihan Dinas "Pengadaan Jasa Tenaga Alih Daya di Lingkungan Kantor Pusat PT PGE Tbk Fungsi Planning &amp; Risk Management." Periode September - November 2025 CSP</t>
  </si>
  <si>
    <t>6.727.817</t>
  </si>
  <si>
    <t>8.027.968</t>
  </si>
  <si>
    <t>PP25-452</t>
  </si>
  <si>
    <t>Tagihan Upah "Pengadaan Jasa Tenaga Alih Daya di Lingkungan Kantor Pusat PT PGE Tbk Fungsi Planning &amp; Risk Management." Periode November 2025 ICOFR</t>
  </si>
  <si>
    <t>PP25-453</t>
  </si>
  <si>
    <t>Tagihan Upah "Pengadaan Jasa Tenaga Alih Daya di Lingkungan Kantor Pusat PT PGE Tbk Fungsi Planning &amp; Risk Management." Periode November 2025 ERM</t>
  </si>
  <si>
    <t>PP25-454</t>
  </si>
  <si>
    <t>PP25-455</t>
  </si>
  <si>
    <t>Tagihan Upah "Pengadaan Jasa Tenaga Alih Daya Di Fungsi Project Development  PT. Pertamina Geothermal Energy No. Kontrak 3900558866 Tanggal 20 Februari 2025" untuk Proyek Hululais, Periode November 2025</t>
  </si>
  <si>
    <t>163.167.154</t>
  </si>
  <si>
    <t>8.647.859</t>
  </si>
  <si>
    <t>18.899.651</t>
  </si>
  <si>
    <t>190.714.665</t>
  </si>
  <si>
    <t>PP25-456</t>
  </si>
  <si>
    <t>Tagihan Upah "Pengadaan Jasa Tenaga Alih Daya Di Fungsi Project Development  PT. Pertamina Geothermal Energy No. Kontrak 3900558866 Tanggal 20 Februari 2025" untuk Kantor Pusat, Periode November 2025</t>
  </si>
  <si>
    <t>PP25-457</t>
  </si>
  <si>
    <t>Tagihan Upah "Pengadaan Jasa Tenaga Alih Daya Di Fungsi Project Development  PT. Pertamina Geothermal Energy No. Kontrak 3900558866 Tanggal 20 Februari 2025" untuk Proyek Sungai Penuh, Periode November 2025</t>
  </si>
  <si>
    <t>PP25-458</t>
  </si>
  <si>
    <t>Tagihan BHR "Pengadaan Jasa Tenaga Alih Daya Di Fungsi Project Development  PT. Pertamina Geothermal Energy No. Kontrak 3900558866 Tanggal 20 Februari 2025" untuk Proyek Hululais, Periode Tahun 2025</t>
  </si>
  <si>
    <t>77.791.079</t>
  </si>
  <si>
    <t>4.122.927</t>
  </si>
  <si>
    <t>9.010.541</t>
  </si>
  <si>
    <t>90.924.547</t>
  </si>
  <si>
    <t>PP25-459</t>
  </si>
  <si>
    <t>Tagihan BHR "Pengadaan Jasa Tenaga Alih Daya Di Fungsi Project Development  PT. Pertamina Geothermal Energy No. Kontrak 3900558866 Tanggal 20 Februari 2025" untuk Kantor Pusat, Periode Tahun 2025</t>
  </si>
  <si>
    <t>24.199.402</t>
  </si>
  <si>
    <t>1.282.568</t>
  </si>
  <si>
    <t>2.803.017</t>
  </si>
  <si>
    <t>28.284.987</t>
  </si>
  <si>
    <t>PP25-460</t>
  </si>
  <si>
    <t>Tagihan BHR "Pengadaan Jasa Tenaga Alih Daya Di Fungsi Project Development  PT. Pertamina Geothermal Energy No. Kontrak 3900558866 Tanggal 20 Februari 2025" untuk Proyek Sungai Penuh, Periode Tahun 2025</t>
  </si>
  <si>
    <t>19.471.547</t>
  </si>
  <si>
    <t>1.031.992</t>
  </si>
  <si>
    <t>2.255.389</t>
  </si>
  <si>
    <t>22.758.928</t>
  </si>
  <si>
    <t>PP25-461</t>
  </si>
  <si>
    <t>Tagihan BHR "Tenaga Alih Daya (TAD) di Lingkungan PT Pertamina Geothermal Energy Tbk Area Karaha" Periode 2025</t>
  </si>
  <si>
    <t>110.240.901</t>
  </si>
  <si>
    <t>6.173.490</t>
  </si>
  <si>
    <t>12.805.583</t>
  </si>
  <si>
    <t>129.219.975</t>
  </si>
  <si>
    <t>PP25-462</t>
  </si>
  <si>
    <t>Reimbursement biaya tiket pengadaan jasa TKJP bidang pemboran oktober - november</t>
  </si>
  <si>
    <t>56.529.981</t>
  </si>
  <si>
    <t>3.109.149</t>
  </si>
  <si>
    <t>6.560.304</t>
  </si>
  <si>
    <t>66.199.434</t>
  </si>
  <si>
    <t>PP25-463</t>
  </si>
  <si>
    <t>Tagihan Upah "Pengadaan Jasa Tenaga Alih Daya di Lingkungan Kantor Pusat PT PGE Tbk Fungsi Planning &amp; Risk Management." Periode November 2025</t>
  </si>
  <si>
    <t>PP25-464-1</t>
  </si>
  <si>
    <t>Tagihan Biaya Perjalanan Dinas "Pengadaan Jasa Tenaga Alih Daya di Lingkungan Kantor Pusat PT PGE Tbk." untuk fungsi Geoscience, Periode November 2025</t>
  </si>
  <si>
    <t>46.946.000</t>
  </si>
  <si>
    <t>5.164.060</t>
  </si>
  <si>
    <t>52.110.060</t>
  </si>
  <si>
    <t>PP25-464-2</t>
  </si>
  <si>
    <t>PP25-464-3</t>
  </si>
  <si>
    <t>PP25-465</t>
  </si>
  <si>
    <t>Tagihan Biaya Perjalanan Dinas "Pengadaan Jasa Tenaga Alih Daya di Lingkungan Kantor Pusat PT PGE Tbk." untuk fungsi Reservoir, Periode November 2025</t>
  </si>
  <si>
    <t>77.542.927</t>
  </si>
  <si>
    <t>4.652.576</t>
  </si>
  <si>
    <t>9.041.505</t>
  </si>
  <si>
    <t>91.237.008</t>
  </si>
  <si>
    <t>PP25-466</t>
  </si>
  <si>
    <t>Tagihan Dinas dan Lembur "Pengadaan Jasa Tenaga Alih Daya di Lingkungan Kantor Pusat PT PGE Tbk.", Periode November 2025</t>
  </si>
  <si>
    <t>149.270.290</t>
  </si>
  <si>
    <t>8.956.217</t>
  </si>
  <si>
    <t>17.404.916</t>
  </si>
  <si>
    <t>175.631.423</t>
  </si>
  <si>
    <t>PP25-467</t>
  </si>
  <si>
    <t>Jasa Studi Kelayakan Bisnis Atas Rencana Perubahan Kegiatan Usaha Alat Ukur Dua Fasa dan Laboratorium” no kontrak : 390056668</t>
  </si>
  <si>
    <t>445.000.000</t>
  </si>
  <si>
    <t>48.950.000</t>
  </si>
  <si>
    <t>493.950.000</t>
  </si>
  <si>
    <t>PP25-468</t>
  </si>
  <si>
    <t>Tagihan Perlengkapan Kerja Tambahan "Pengadaan Jasa Tenaga Kerja Jasa Penunjang Bidang Pemboran" Periode 2025</t>
  </si>
  <si>
    <t>23.280.000</t>
  </si>
  <si>
    <t>1.280.400</t>
  </si>
  <si>
    <t>2.701.644</t>
  </si>
  <si>
    <t>27.262.044</t>
  </si>
  <si>
    <t>PP25-469</t>
  </si>
  <si>
    <t>Tagihan Premi MAPS Tambahan "Pengadaan Jasa Tenaga Pekarya di Bidang Pemboran  PT. Pertamina Geothermal Energy. No. Kontrak 4650017160" Periode 2024</t>
  </si>
  <si>
    <t>12.123.577</t>
  </si>
  <si>
    <t>1.333.593</t>
  </si>
  <si>
    <t>13.457.170</t>
  </si>
  <si>
    <t>PP25-470</t>
  </si>
  <si>
    <t>Tagihan Profit MAPS Tambahan "Pengadaan Jasa Tenaga Pekarya di Bidang Pemboran  PT. Pertamina Geothermal Energy. No. Kontrak 4650017160" Periode 2024</t>
  </si>
  <si>
    <t>PP25-471</t>
  </si>
  <si>
    <t>Tagihan BHR "Pengadaan Jasa Tenaga Kerja Jasa Penunjang Bidang Pemboran" Periode 2025</t>
  </si>
  <si>
    <t>410.708.116</t>
  </si>
  <si>
    <t>22.588.946</t>
  </si>
  <si>
    <t>47.662.677</t>
  </si>
  <si>
    <t>480.959.739</t>
  </si>
  <si>
    <t>PP25-472</t>
  </si>
  <si>
    <t>Tagihan Upah "Pengadaan Jasa Konsultan Audit Support No. 3900556018" Periode November 2025</t>
  </si>
  <si>
    <t>21.863.935</t>
  </si>
  <si>
    <t>2.186.394</t>
  </si>
  <si>
    <t>2.645.536</t>
  </si>
  <si>
    <t>26.695.865</t>
  </si>
  <si>
    <t>PP25-473-1</t>
  </si>
  <si>
    <t>Tagihan Upah "Pengadaan Jasa Tenaga Kerja Jasa Penunjang Bidang Pemboran" Periode Desember 2025</t>
  </si>
  <si>
    <t>372.599.716</t>
  </si>
  <si>
    <t>40.985.969</t>
  </si>
  <si>
    <t>413.585.685</t>
  </si>
  <si>
    <t>PP25-473-2</t>
  </si>
  <si>
    <t>536.653.152</t>
  </si>
  <si>
    <t>59.031.847</t>
  </si>
  <si>
    <t>595.684.999</t>
  </si>
  <si>
    <t>PP25-474</t>
  </si>
  <si>
    <t>Tagihan BHR "Pengadaan Jasa Tenaga Alih Daya di Lingkungan Kantor Pusat PT PGE Tbk." untuk fungsi Geoscience, Periode 2025</t>
  </si>
  <si>
    <t>32.904.525</t>
  </si>
  <si>
    <t>1.974.272</t>
  </si>
  <si>
    <t>3.836.668</t>
  </si>
  <si>
    <t>38.715.464</t>
  </si>
  <si>
    <t>PP25-475</t>
  </si>
  <si>
    <t>Tagihan BHR "Pengadaan Jasa Tenaga Alih Daya di Lingkungan Kantor Pusat PT PGE Tbk." untuk fungsi Reservoir, Periode 2025</t>
  </si>
  <si>
    <t>26.215.965</t>
  </si>
  <si>
    <t>1.572.958</t>
  </si>
  <si>
    <t>3.056.782</t>
  </si>
  <si>
    <t>30.845.704</t>
  </si>
  <si>
    <t>PP25-476</t>
  </si>
  <si>
    <t>Tagihan BHR "Pengadaan Jasa Tenaga Alih Daya di Lingkungan Kantor Pusat PT PGE Tbk.", Periode 2025</t>
  </si>
  <si>
    <t>192.215.682</t>
  </si>
  <si>
    <t>11.532.941</t>
  </si>
  <si>
    <t>22.412.349</t>
  </si>
  <si>
    <t>226.160.971</t>
  </si>
  <si>
    <t>PP25-477</t>
  </si>
  <si>
    <t>15/12/25</t>
  </si>
  <si>
    <t>Tagihan BHR "Jasa PMC Proyek EPCC Unit-2 Tahun 2023-2025 PTPGE Area Lumut Balai No. 3900540206 tanggal 6 Desember 2023", Periode 2025</t>
  </si>
  <si>
    <t>115.645.031</t>
  </si>
  <si>
    <t>7.285.637</t>
  </si>
  <si>
    <t>13.522.373</t>
  </si>
  <si>
    <t>136.453.041</t>
  </si>
  <si>
    <t>PP25-478</t>
  </si>
  <si>
    <t>Accrual Biaya</t>
  </si>
  <si>
    <t>Tagihan Upah "Tenaga Alih Daya (TAD) di Lingkungan PT Pertamina Geothermal Energy Tbk Area Karaha" Periode Desember 2025</t>
  </si>
  <si>
    <t>PP25-479</t>
  </si>
  <si>
    <t>Tagihan Dinas &amp; Lembur "Tenaga Alih Daya (TAD) di Lingkungan PT Pertamina Geothermal Energy Tbk Area Karaha" Periode Desember 2025</t>
  </si>
  <si>
    <t>PP25-480</t>
  </si>
  <si>
    <t>Tagihan Rapel Atas Addendum I "Pengadaan Jasa Tenaga Kerja Penunjang Proyek Karaha Bodas PT. Pertamina Geothermal Energi" Periode 2025</t>
  </si>
  <si>
    <t>252.456.227</t>
  </si>
  <si>
    <t>14.137.549</t>
  </si>
  <si>
    <t>29.325.315</t>
  </si>
  <si>
    <t>295.919.091</t>
  </si>
  <si>
    <t>PP25-481</t>
  </si>
  <si>
    <t>Tagihan Upah Addendum III "Pengadaan Jasa Tenaga Alih Daya di Lingkungan Kantor Pusat PT PGE Tbk Fungsi Planning &amp; Risk Management." Periode Sept - Nov 25</t>
  </si>
  <si>
    <t>81.309.490</t>
  </si>
  <si>
    <t>6.098.212</t>
  </si>
  <si>
    <t>9.614.847</t>
  </si>
  <si>
    <t>97.022.549</t>
  </si>
  <si>
    <t>PP25-482</t>
  </si>
  <si>
    <t>Tagihan Upah Addendum III "Pengadaan Jasa Tenaga Alih Daya di Lingkungan Kantor Pusat PT PGE Tbk Fungsi Planning &amp; Risk Management." Periode Sept - Des 25</t>
  </si>
  <si>
    <t>25.850.463</t>
  </si>
  <si>
    <t>1.938.785</t>
  </si>
  <si>
    <t>3.056.817</t>
  </si>
  <si>
    <t>30.846.065</t>
  </si>
  <si>
    <t>PP25-483</t>
  </si>
  <si>
    <t>16/12/25</t>
  </si>
  <si>
    <t>Tagihan Dinas &amp; Lembur "Pengadaan Jasa Tenaga Alih Daya Di Fungsi Project Development  PT. Pertamina Geothermal Energy No. Kontrak 3900558866 Tanggal 20 Februari 2025" untuk Proyek Hululais, Periode November 2025</t>
  </si>
  <si>
    <t>13.055.152</t>
  </si>
  <si>
    <t>1.512.178</t>
  </si>
  <si>
    <t>15.259.253</t>
  </si>
  <si>
    <t>PP25-484</t>
  </si>
  <si>
    <t>Tagihan Dinas dan Lembur "Pengadaan Jasa Tenaga Alih Daya Di Fungsi Project Development  PT. Pertamina Geothermal Energy No. Kontrak 3900558866 Tanggal 20 Februari 2025" untuk Kantor Pusat, Periode November 2025</t>
  </si>
  <si>
    <t>2.880.000</t>
  </si>
  <si>
    <t>3.366.230</t>
  </si>
  <si>
    <t>PP25-485</t>
  </si>
  <si>
    <t>Tagihan Dinas dan Lembur "Pengadaan Jasa Tenaga Alih Daya Di Fungsi Project Development  PT. Pertamina Geothermal Energy No. Kontrak 3900558866 Tanggal 20 Februari 2025" untuk Proyek Lumut Balai, Periode November 2025</t>
  </si>
  <si>
    <t>7.865.715</t>
  </si>
  <si>
    <t>9.193.684</t>
  </si>
  <si>
    <t>PP25-486</t>
  </si>
  <si>
    <t>17/12/25</t>
  </si>
  <si>
    <t>Tagihan perlengkapan kerja  Pengadaan jasa TAD di lingkungan kantor pusat fungsi geoscience periode 2025</t>
  </si>
  <si>
    <t>45.473.946</t>
  </si>
  <si>
    <t>2.728.437</t>
  </si>
  <si>
    <t>5.302.262</t>
  </si>
  <si>
    <t>53.504.645</t>
  </si>
  <si>
    <t>PP25-487</t>
  </si>
  <si>
    <t>Tagihan perlengkapan kerja  Pengadaan jasa TAD di lingkungan kantor pusat fungsi reservoir periode 2025</t>
  </si>
  <si>
    <t>PP25-488</t>
  </si>
  <si>
    <t>Tagihan perlengkapan kerja  Pengadaan jasa TAD di lingkungan kantor pusat fungsi kantor pusat periode 2025</t>
  </si>
  <si>
    <t>93.170.000</t>
  </si>
  <si>
    <t>5.590.200</t>
  </si>
  <si>
    <t>10.863.622</t>
  </si>
  <si>
    <t>109.623.822</t>
  </si>
  <si>
    <t>PP25-489</t>
  </si>
  <si>
    <t>Reimburse MCU "Pengadaan Jasa Tenaga Alih Daya di Lingkungan Kantor Pusat PT PGE Tbk." untuk fungsi Geoscience, Periode 2025</t>
  </si>
  <si>
    <t>9.749.000</t>
  </si>
  <si>
    <t>10.398.283</t>
  </si>
  <si>
    <t>PP25-490</t>
  </si>
  <si>
    <t>Reimburse MCU "Pengadaan Jasa Tenaga Alih Daya di Lingkungan Kantor Pusat PT PGE Tbk." untuk fungsi Reservoir Periode 2025</t>
  </si>
  <si>
    <t>14.336.400</t>
  </si>
  <si>
    <t>15.291.204</t>
  </si>
  <si>
    <t>PP25-491</t>
  </si>
  <si>
    <t>Reimburse MCU "Pengadaan Jasa Tenaga Alih Daya di Lingkungan Kantor Pusat PT PGE Tbk.", Periode 2025</t>
  </si>
  <si>
    <t>50.808.000</t>
  </si>
  <si>
    <t>3.048.480</t>
  </si>
  <si>
    <t>54.191.813</t>
  </si>
  <si>
    <t>PP25-492</t>
  </si>
  <si>
    <t>Tagihan Dinas "Pengadaan Jasa Tenaga Alih Daya di Lingkungan Kantor Pusat PT PGE Tbk Fungsi Planning &amp; Risk Management." Periode Jan - Nov 25 (SPS)</t>
  </si>
  <si>
    <t>153.511.039</t>
  </si>
  <si>
    <t>PP25-493</t>
  </si>
  <si>
    <t>10.929.968</t>
  </si>
  <si>
    <t>1.292.469</t>
  </si>
  <si>
    <t>13.042.184</t>
  </si>
  <si>
    <t>PP25-494</t>
  </si>
  <si>
    <t>Tagihan Dinas "Pengadaan Jasa Tenaga Alih Daya di Lingkungan Kantor Pusat PT PGE Tbk Fungsi Planning &amp; Risk Management." Periode Jan - Nov 25 (PM)vv</t>
  </si>
  <si>
    <t>PP25-495</t>
  </si>
  <si>
    <t>Tagihan Upah "Pengadaan Jasa Tenaga Alih Daya di Lingkungan Kantor Pusat PT PGE Tbk Fungsi Planning &amp; Risk Management." Periode Desember 2025 ICOFR</t>
  </si>
  <si>
    <t>PP25-496</t>
  </si>
  <si>
    <t>Tagihan Upah "Pengadaan Jasa Tenaga Alih Daya di Lingkungan Kantor Pusat PT PGE Tbk Fungsi Planning &amp; Risk Management." Periode Desember 2025 CSP</t>
  </si>
  <si>
    <t>12.928.409</t>
  </si>
  <si>
    <t>1.528.784</t>
  </si>
  <si>
    <t>15.426.824</t>
  </si>
  <si>
    <t>PP25-497</t>
  </si>
  <si>
    <t>18/12/25</t>
  </si>
  <si>
    <t>Tagihan Upah "Pengadaan Jasa Tenaga Alih Daya di Lingkungan Kantor Pusat PT PGE Tbk Fungsi Planning &amp; Risk Management." Periode Desember 2025 PM</t>
  </si>
  <si>
    <t>9.564.770</t>
  </si>
  <si>
    <t>PP25-498</t>
  </si>
  <si>
    <t>Tagihan Upah "Pengadaan Jasa Tenaga Alih Daya di Lingkungan Kantor Pusat PT PGE Tbk Fungsi Planning &amp; Risk Management." Periode Desember 2025 SPS</t>
  </si>
  <si>
    <t>9.518.544</t>
  </si>
  <si>
    <t>PP25-499</t>
  </si>
  <si>
    <t>Tagihan Biaya Perjalanan Dinas "Pengadaan Jasa Tenaga Alih Daya di Lingkungan Kantor Pusat PT PGE Tbk." untuk fungsi Geoscience, Periode Desember 2025</t>
  </si>
  <si>
    <t>120.000.000</t>
  </si>
  <si>
    <t>7.200.000</t>
  </si>
  <si>
    <t>13.992.000</t>
  </si>
  <si>
    <t>141.192.000</t>
  </si>
  <si>
    <t>PP25-500</t>
  </si>
  <si>
    <t>Tagihan Biaya Perjalanan Dinas "Pengadaan Jasa Tenaga Alih Daya di Lingkungan Kantor Pusat PT PGE Tbk." untuk fungsi Reservoir Periode Desember 2025</t>
  </si>
  <si>
    <t>110.000.000</t>
  </si>
  <si>
    <t>6.600.000</t>
  </si>
  <si>
    <t>12.826.000</t>
  </si>
  <si>
    <t>129.426.000</t>
  </si>
  <si>
    <t>PP25-501</t>
  </si>
  <si>
    <t>Tagihan Dinas dan Lembur "Pengadaan Jasa Tenaga Alih Daya di Lingkungan Kantor Pusat PT PGE Tbk.", Periode Desember 2025</t>
  </si>
  <si>
    <t>205.026.243</t>
  </si>
  <si>
    <t>12.301.575</t>
  </si>
  <si>
    <t>23.906.060</t>
  </si>
  <si>
    <t>241.233.878</t>
  </si>
  <si>
    <t>PP25-502</t>
  </si>
  <si>
    <t>Tagihan Upah "Pengadaan Jasa Tenaga Alih Daya di Lingkungan Kantor Pusat PT PGE Tbk." untuk fungsi Geoscience, Periode Desember 2025</t>
  </si>
  <si>
    <t>PP25-503</t>
  </si>
  <si>
    <t>Tagihan Upah "Pengadaan Jasa Tenaga Alih Daya di Lingkungan Kantor Pusat PT PGE Tbk." untuk fungsi Reservoir, Periode Desember 2025</t>
  </si>
  <si>
    <t>PP25-504</t>
  </si>
  <si>
    <t>Tagihan Upah "Pengadaan Jasa Tenaga Alih Daya di Lingkungan Kantor Pusat PT PGE Tbk.", Periode Desember 2025</t>
  </si>
  <si>
    <t>430.853.923</t>
  </si>
  <si>
    <t>25.851.235</t>
  </si>
  <si>
    <t>50.237.567</t>
  </si>
  <si>
    <t>506.942.726</t>
  </si>
  <si>
    <t>PP25-505</t>
  </si>
  <si>
    <t>BHR TAD LMB 2025 dan MCU TAD LMB 2025</t>
  </si>
  <si>
    <t>104.184.434</t>
  </si>
  <si>
    <t>11.460.288</t>
  </si>
  <si>
    <t>115.644.722</t>
  </si>
  <si>
    <t>PP25-506</t>
  </si>
  <si>
    <t>Pengadaan Jasa TAD Ulubelu PGE lembur oktober 2025</t>
  </si>
  <si>
    <t>111.687.030</t>
  </si>
  <si>
    <t>5.919.413</t>
  </si>
  <si>
    <t>12.936.709</t>
  </si>
  <si>
    <t>130.543.151</t>
  </si>
  <si>
    <t>PP25-507</t>
  </si>
  <si>
    <t>Pengadaan Jasa TAD Ulubelu PGE APD 2025</t>
  </si>
  <si>
    <t>315.700.000</t>
  </si>
  <si>
    <t>34.727.000</t>
  </si>
  <si>
    <t>350.427.000</t>
  </si>
  <si>
    <t>PP25-508</t>
  </si>
  <si>
    <t>22/12/25</t>
  </si>
  <si>
    <t>Tagihan BHR "Pengadaan Jasa Tenaga Alih Daya di Lingkungan Kantor Pusat PT PGE Tbk Fungsi Planning &amp; Risk Management." Periode 2025 SPS</t>
  </si>
  <si>
    <t>4.226.397</t>
  </si>
  <si>
    <t>5.043.148</t>
  </si>
  <si>
    <t>PP25-509</t>
  </si>
  <si>
    <t>Tagihan BHR "Pengadaan Jasa Tenaga Alih Daya di Lingkungan Kantor Pusat PT PGE Tbk Fungsi Planning &amp; Risk Management." Periode 2025 PM</t>
  </si>
  <si>
    <t>7.993.560</t>
  </si>
  <si>
    <t>9.538.315</t>
  </si>
  <si>
    <t>PP25-510</t>
  </si>
  <si>
    <t>Tagihan BHR "Pengadaan Jasa Tenaga Alih Daya di Lingkungan Kantor Pusat PT PGE Tbk Fungsi Planning &amp; Risk Management." Periode 2025 ICOFR</t>
  </si>
  <si>
    <t>8.892.626</t>
  </si>
  <si>
    <t>1.051.553</t>
  </si>
  <si>
    <t>10.611.126</t>
  </si>
  <si>
    <t>PP25-511</t>
  </si>
  <si>
    <t>Tagihan BHR "Pengadaan Jasa Tenaga Alih Daya di Lingkungan Kantor Pusat PT PGE Tbk Fungsi Planning &amp; Risk Management." Periode 2025 CSP</t>
  </si>
  <si>
    <t>6.802.559</t>
  </si>
  <si>
    <t>8.117.154</t>
  </si>
  <si>
    <t>PP25-512</t>
  </si>
  <si>
    <t>23/12/25</t>
  </si>
  <si>
    <t>Tagihan Dinas "Pengadaan Jasa Tenaga Alih Daya di Lingkungan Kantor Pusat PT PGE Tbk Fungsi Planning &amp; Risk Management." Periode Desember 2025 CSP</t>
  </si>
  <si>
    <t>15.000.000</t>
  </si>
  <si>
    <t>1.125.000</t>
  </si>
  <si>
    <t>1.773.750</t>
  </si>
  <si>
    <t>17.898.750</t>
  </si>
  <si>
    <t>PP25-513</t>
  </si>
  <si>
    <t>Tagihan Dinas "Pengadaan Jasa Tenaga Alih Daya di Lingkungan Kantor Pusat PT PGE Tbk Fungsi Planning &amp; Risk Management." Periode Desember 2025 ICOFR</t>
  </si>
  <si>
    <t>21.000.000</t>
  </si>
  <si>
    <t>1.575.000</t>
  </si>
  <si>
    <t>2.483.250</t>
  </si>
  <si>
    <t>25.058.250</t>
  </si>
  <si>
    <t>PP25-514</t>
  </si>
  <si>
    <t>Tagihan Dinas "Pengadaan Jasa Tenaga Alih Daya di Lingkungan Kantor Pusat PT PGE Tbk Fungsi Planning &amp; Risk Management." Periode Desember 2025 PM</t>
  </si>
  <si>
    <t>1.800.000</t>
  </si>
  <si>
    <t>2.838.000</t>
  </si>
  <si>
    <t>28.638.000</t>
  </si>
  <si>
    <t>PP25-515</t>
  </si>
  <si>
    <t>Tagihan Dinas "Pengadaan Jasa Tenaga Alih Daya di Lingkungan Kantor Pusat PT PGE Tbk Fungsi Planning &amp; Risk Management." Periode Desember 2025 SPS</t>
  </si>
  <si>
    <t>1.500.000</t>
  </si>
  <si>
    <t>1.789.875</t>
  </si>
  <si>
    <t>PP25-516</t>
  </si>
  <si>
    <t>Pengadaan Jasa TAD Ulubelu PGE lembur pra dan pasca</t>
  </si>
  <si>
    <t>197.071.696</t>
  </si>
  <si>
    <t>10.838.943</t>
  </si>
  <si>
    <t>22.870.170</t>
  </si>
  <si>
    <t>230.780.810</t>
  </si>
  <si>
    <t>PP25-517</t>
  </si>
  <si>
    <t>Tagihan Upah "Pengadaan Jasa Konsultan Audit Support No. 3900556018" Periode Desember 2025</t>
  </si>
  <si>
    <t>29.458.877</t>
  </si>
  <si>
    <t>2.945.888</t>
  </si>
  <si>
    <t>3.564.524</t>
  </si>
  <si>
    <t>35.969.289</t>
  </si>
  <si>
    <t>PP25-518</t>
  </si>
  <si>
    <t>Pengadaan Jasa TAD Ulubelu PGE lembur Juli 2025</t>
  </si>
  <si>
    <t>131.958.976</t>
  </si>
  <si>
    <t>6.993.826</t>
  </si>
  <si>
    <t>15.284.808</t>
  </si>
  <si>
    <t>154.237.610</t>
  </si>
  <si>
    <t>PP25-519</t>
  </si>
  <si>
    <t>Reimbursement biaya tiket pesawat jasa TAD Kantor Pusat (HC) PGE</t>
  </si>
  <si>
    <t>64.388.000</t>
  </si>
  <si>
    <t>3.863.280</t>
  </si>
  <si>
    <t>68.676.241</t>
  </si>
  <si>
    <t>PP25-520</t>
  </si>
  <si>
    <t>Reimbursement biaya tiket pesawat jasa TAD Kantor Pusat (HC)- Geoscience ) PGE</t>
  </si>
  <si>
    <t>13.225.000</t>
  </si>
  <si>
    <t>14.105.785</t>
  </si>
  <si>
    <t>PP25-521</t>
  </si>
  <si>
    <t>Reimbursement biaya tiket pesawat jasa TAD Kantor Pusat (HC)- Reservoir ) PGE</t>
  </si>
  <si>
    <t>18.800.000</t>
  </si>
  <si>
    <t>1.128.000</t>
  </si>
  <si>
    <t>20.052.080</t>
  </si>
  <si>
    <t>PP25-522</t>
  </si>
  <si>
    <t>24/12/25</t>
  </si>
  <si>
    <t>Tagihan perlengkapan kerja pengadaan jasa TAD di lingkungan pusat PGE fungsi geoscience 2024</t>
  </si>
  <si>
    <t>33.615.946</t>
  </si>
  <si>
    <t>2.016.957</t>
  </si>
  <si>
    <t>3.919.619</t>
  </si>
  <si>
    <t>39.552.522</t>
  </si>
  <si>
    <t>PP25-523</t>
  </si>
  <si>
    <t>29/12/25</t>
  </si>
  <si>
    <t>Upah TAD LMB Desember 2025</t>
  </si>
  <si>
    <t>365.109.719</t>
  </si>
  <si>
    <t>21.176.364</t>
  </si>
  <si>
    <t>42.491.469</t>
  </si>
  <si>
    <t>428.777.552</t>
  </si>
  <si>
    <t>PP25-524</t>
  </si>
  <si>
    <t>Lembur TAD LMB Desember 2025</t>
  </si>
  <si>
    <t>90.276.154</t>
  </si>
  <si>
    <t>5.236.017</t>
  </si>
  <si>
    <t>10.506.339</t>
  </si>
  <si>
    <t>106.018.510</t>
  </si>
  <si>
    <t>PP25-525</t>
  </si>
  <si>
    <t>Dinas TAD LMB Desember 2025</t>
  </si>
  <si>
    <t>135.518.431</t>
  </si>
  <si>
    <t>7.860.069</t>
  </si>
  <si>
    <t>15.771.635</t>
  </si>
  <si>
    <t>159.150.135</t>
  </si>
  <si>
    <t>PP25-526</t>
  </si>
  <si>
    <t>Borongan Admin TAD LMB 2025</t>
  </si>
  <si>
    <t>9.014.597</t>
  </si>
  <si>
    <t>PP25-527</t>
  </si>
  <si>
    <t>Tagihan Upah "Pengadaan Jasa Tenaga Alih Daya di Lingkungan Kantor Pusat PT PGE Tbk Fungsi Planning &amp; Risk Management." Periode Desember 2025</t>
  </si>
  <si>
    <t>PP25-528</t>
  </si>
  <si>
    <t>Tagihan BHR "Pengadaan Jasa Tenaga Alih Daya di Lingkungan Kantor Pusat PT PGE Tbk Fungsi Planning &amp; Risk Management." Periode 2025</t>
  </si>
  <si>
    <t>PP25-529</t>
  </si>
  <si>
    <t>30/12/25</t>
  </si>
  <si>
    <t>Jasa PMC Proyek EPCC Unit-2 Tahun 2023-2025 PTPGE Area Lumut Balai No. 3900540206 tanggal 6 Desember 2023, Periode Desember 2025</t>
  </si>
  <si>
    <t>PP25-530</t>
  </si>
  <si>
    <t>Reimbursement biaya tiket pesawat pengadaan jasa PMC proyek EPCC unit 2 area lumut balai</t>
  </si>
  <si>
    <t>15.370.000</t>
  </si>
  <si>
    <t>1.792.142</t>
  </si>
  <si>
    <t>18.084.342</t>
  </si>
  <si>
    <t>PP25-531</t>
  </si>
  <si>
    <t>Tagihan Upah "Pengadaan Jasa Tenaga Alih Daya Di Fungsi Project Development  PT. Pertamina Geothermal Energy No. Kontrak 3900558866 Tanggal 20 Februari 2025" untuk Proyek Hululais, Periode Desember 2025</t>
  </si>
  <si>
    <t>163.431.517</t>
  </si>
  <si>
    <t>8.661.870</t>
  </si>
  <si>
    <t>18.930.273</t>
  </si>
  <si>
    <t>191.023.660</t>
  </si>
  <si>
    <t>PP25-532</t>
  </si>
  <si>
    <t>Tagihan Upah "Pengadaan Jasa Tenaga Alih Daya Di Fungsi Project Development  PT. Pertamina Geothermal Energy No. Kontrak 3900558866 Tanggal 20 Februari 2025" untuk Kantor Pusat, Periode Desember 2025</t>
  </si>
  <si>
    <t>21.353.310</t>
  </si>
  <si>
    <t>1.131.725</t>
  </si>
  <si>
    <t>2.473.354</t>
  </si>
  <si>
    <t>24.958.389</t>
  </si>
  <si>
    <t>PP25-533</t>
  </si>
  <si>
    <t>Tagihan Upah "Pengadaan Jasa Tenaga Alih Daya Di Fungsi Project Development  PT. Pertamina Geothermal Energy No. Kontrak 3900558866 Tanggal 20 Februari 2025" untuk Proyek Lumut Balai, Periode Desember 2025</t>
  </si>
  <si>
    <t>27.014.933</t>
  </si>
  <si>
    <t>1.431.791</t>
  </si>
  <si>
    <t>3.129.140</t>
  </si>
  <si>
    <t>31.575.864</t>
  </si>
  <si>
    <t>PP25-534</t>
  </si>
  <si>
    <t>Tagihan Upah "Pengadaan Jasa Tenaga Alih Daya Di Fungsi Project Development  PT. Pertamina Geothermal Energy No. Kontrak 3900558866 Tanggal 20 Februari 2025" untuk Proyek Sungai Penuh, Periode Desember 2025</t>
  </si>
  <si>
    <t>PP25-535</t>
  </si>
  <si>
    <t>Pengadaan jasa TAD area ulubelu PGE Lembur MI U4</t>
  </si>
  <si>
    <t>168.163.693</t>
  </si>
  <si>
    <t>18.498.006</t>
  </si>
  <si>
    <t>186.661.699</t>
  </si>
  <si>
    <t>PP25-536</t>
  </si>
  <si>
    <t>reimbursement biaya tiket pengadaan Jasa TKJP bidang pemboran september- november ulubelu</t>
  </si>
  <si>
    <t>48.416.264</t>
  </si>
  <si>
    <t>2.662.895</t>
  </si>
  <si>
    <t>5.618.707</t>
  </si>
  <si>
    <t>56.697.866</t>
  </si>
  <si>
    <t>PP25-537</t>
  </si>
  <si>
    <t>reimbursement biaya tiket pengadaan Jasa TKJP bidang pemboran september- november gunung tiga</t>
  </si>
  <si>
    <t>101.427.554</t>
  </si>
  <si>
    <t>5.578.515</t>
  </si>
  <si>
    <t>11.770.668</t>
  </si>
  <si>
    <t>118.776.737</t>
  </si>
  <si>
    <t>PP25-538</t>
  </si>
  <si>
    <t>reimbursement biaya tiket pengadaan Jasa TKJP bidang pemboran september- november karaha</t>
  </si>
  <si>
    <t>41.076.999</t>
  </si>
  <si>
    <t>2.259.235</t>
  </si>
  <si>
    <t>4.766.986</t>
  </si>
  <si>
    <t>48.103.220</t>
  </si>
  <si>
    <t>PP25-539</t>
  </si>
  <si>
    <t>reimbursement biaya tiket pengadaan Jasa TKJP bidang pemboran september- november lumut balai</t>
  </si>
  <si>
    <t>3.050.000</t>
  </si>
  <si>
    <t>3.571.703</t>
  </si>
  <si>
    <t>PP25-540</t>
  </si>
  <si>
    <t>Tagihan Rapel Upah "Pengadaan Jasa Tenaga Alih Daya Di Fungsi Project Development  PT. Pertamina Geothermal Energy No. Kontrak 3900558866 Tanggal 20 Februari 2025" untuk Proyek Hululais, Periode Januari - Desember 2025</t>
  </si>
  <si>
    <t>119.455.781</t>
  </si>
  <si>
    <t>6.331.156</t>
  </si>
  <si>
    <t>13.836.563</t>
  </si>
  <si>
    <t>139.623.501</t>
  </si>
  <si>
    <t>PP25-541</t>
  </si>
  <si>
    <t>Tagihan Rapel Upah "Pengadaan Jasa Tenaga Alih Daya Di Fungsi Project Development  PT. Pertamina Geothermal Energy No. Kontrak 3900558866 Tanggal 20 Februari 2025" untuk Proyek Sungai Penuh, Periode Januari-Desember 2025</t>
  </si>
  <si>
    <t>20.381.369</t>
  </si>
  <si>
    <t>1.080.213</t>
  </si>
  <si>
    <t>2.360.774</t>
  </si>
  <si>
    <t>23.822.356</t>
  </si>
  <si>
    <t>PP25-542</t>
  </si>
  <si>
    <t>Tagihan Rapel Lembur "Pengadaan Jasa Tenaga Alih Daya Di Fungsi Project Development  PT. Pertamina Geothermal Energy No. Kontrak 3900558866 Tanggal 20 Februari 2025" untuk Proyek Hululais, Periode Januari-Desember 2025</t>
  </si>
  <si>
    <t>7.428.046</t>
  </si>
  <si>
    <t>8.682.123</t>
  </si>
  <si>
    <t>PP25-543</t>
  </si>
  <si>
    <t>Tagihan Premi MAPS "Jasa PMC Proyek EPCC Unit-2 Tahun 2023-2025 PTPGE Area Lumut Balai No. 3900540206 tanggal 6 Desember 2023", Periode 2025</t>
  </si>
  <si>
    <t>339.918.378</t>
  </si>
  <si>
    <t>PP25-544</t>
  </si>
  <si>
    <t>Tagihan Profit MAPS "Jasa PMC Proyek EPCC Unit-2 Tahun 2023-2025 PTPGE Area Lumut Balai No. 3900540206 tanggal 6 Desember 2023", Periode 2025</t>
  </si>
  <si>
    <t>21.414.858</t>
  </si>
  <si>
    <t>2.355.634</t>
  </si>
  <si>
    <t>23.770.492</t>
  </si>
  <si>
    <t>PP25-545</t>
  </si>
  <si>
    <t>Tagihan Rapel Upah "Pengadaan Jasa Tenaga Alih Daya Di Fungsi Project Development  PT. Pertamina Geothermal Energy No. Kontrak 3900558866 Tanggal 20 Februari 2025" untuk Proyek Lumut Balai, Periode Januari-Desember 2025</t>
  </si>
  <si>
    <t>2.861.903</t>
  </si>
  <si>
    <t>3.345.078</t>
  </si>
  <si>
    <t>PP25-546</t>
  </si>
  <si>
    <t>Tagihan Rapel Upah "Pengadaan Jasa Tenaga Alih Daya Di Fungsi Project Development  PT. Pertamina Geothermal Energy No. Kontrak 3900558866 Tanggal 20 Februari 2025" untuk Kantor Pusat, Periode Jan-Des 2025</t>
  </si>
  <si>
    <t>3.170.166</t>
  </si>
  <si>
    <t>3.705.385</t>
  </si>
  <si>
    <t>PP25-547</t>
  </si>
  <si>
    <t>Tagihan APD "Jasa PMC Proyek EPCC Unit-2 Tahun 2023-2025 PTPGE Area Lumut Balai No. 3900540206 tanggal 6 Desember 2023", Periode 2025</t>
  </si>
  <si>
    <t>42.405.300</t>
  </si>
  <si>
    <t>2.671.534</t>
  </si>
  <si>
    <t>4.958.452</t>
  </si>
  <si>
    <t>50.035.286</t>
  </si>
  <si>
    <t>PP25-548</t>
  </si>
  <si>
    <t>Tagihan Dinas &amp; Lembur "Pengadaan Jasa Tenaga Alih Daya Di Fungsi Project Development  PT. Pertamina Geothermal Energy No. Kontrak 3900558866 Tanggal 20 Februari 2025" untuk Proyek Hululais, Periode Desember 2025</t>
  </si>
  <si>
    <t>41.344.443</t>
  </si>
  <si>
    <t>2.191.255</t>
  </si>
  <si>
    <t>4.788.927</t>
  </si>
  <si>
    <t>48.324.625</t>
  </si>
  <si>
    <t>PP25-549</t>
  </si>
  <si>
    <t>Tagihan Dinas dan Lembur "Pengadaan Jasa Tenaga Alih Daya Di Fungsi Project Development  PT. Pertamina Geothermal Energy No. Kontrak 3900558866 Tanggal 20 Februari 2025" untuk Kantor Pusat, Periode Desember 2025</t>
  </si>
  <si>
    <t>3.045.000</t>
  </si>
  <si>
    <t>3.559.087</t>
  </si>
  <si>
    <t>PP25-550</t>
  </si>
  <si>
    <t>Tagihan Dinas dan Lembur "Pengadaan Jasa Tenaga Alih Daya Di Fungsi Project Development  PT. Pertamina Geothermal Energy No. Kontrak 3900558866 Tanggal 20 Februari 2025" untuk Proyek Lumut Balai, Periode Desember 2025</t>
  </si>
  <si>
    <t>9.579.000</t>
  </si>
  <si>
    <t>1.109.536</t>
  </si>
  <si>
    <t>11.196.223</t>
  </si>
  <si>
    <t>PP25-551</t>
  </si>
  <si>
    <t>Tagihan Dinas dan Lembur "Pengadaan Jasa Tenaga Alih Daya Di Fungsi Project Development  PT. Pertamina Geothermal Energy No. Kontrak 3900558866 Tanggal 20 Februari 2025" untuk Proyek Sungai Penuh, Periode Desember 2025</t>
  </si>
  <si>
    <t>14.650.000</t>
  </si>
  <si>
    <t>1.696.910</t>
  </si>
  <si>
    <t>17.123.360</t>
  </si>
  <si>
    <t>PP25-552</t>
  </si>
  <si>
    <t>Tagihan Tiket Geovation "Pengadaan Jasa Tenaga Alih Daya Di Fungsi Project Development  PT. Pertamina Geothermal Energy No. Kontrak 3900558866 Tanggal 20 Februari 2025" untuk Proyek Hululais, Periode September 2025</t>
  </si>
  <si>
    <t>40.800.000</t>
  </si>
  <si>
    <t>2.162.400</t>
  </si>
  <si>
    <t>4.725.864</t>
  </si>
  <si>
    <t>47.688.264</t>
  </si>
  <si>
    <t>PP25-553</t>
  </si>
  <si>
    <t>Pekerjaan penyusunan prastudi kelayakan pengembangan pusat data dan alokasi kamojang</t>
  </si>
  <si>
    <t>531.024.000</t>
  </si>
  <si>
    <t>58.412.640</t>
  </si>
  <si>
    <t>589.436.640</t>
  </si>
  <si>
    <t>PP25-554</t>
  </si>
  <si>
    <t>Tagihan MCU "Jasa PMC Proyek EPCC Unit-2 Tahun 2023-2025 PTPGE Area Lumut Balai No. 3900540206 tanggal 6 Desember 2023", Periode 2025</t>
  </si>
  <si>
    <t>1.665.740</t>
  </si>
  <si>
    <t>1.965.457</t>
  </si>
  <si>
    <t>PP25-555</t>
  </si>
  <si>
    <t>Tagihan Rapel Upah TAD LMB "Pengadaan Jasa Tenaga Ahli Daya (TAD) PT PGE Tbk Area Lumut Balai"
Periode Januari-Desember 2025.</t>
  </si>
  <si>
    <t>311.441.987</t>
  </si>
  <si>
    <t>18.063.635</t>
  </si>
  <si>
    <t>36.245.618</t>
  </si>
  <si>
    <t>365.751.241</t>
  </si>
  <si>
    <t>PP25-556</t>
  </si>
  <si>
    <t>Tagihan Rapel Lembur TAD LMB "Pengadaan Jasa Tenaga Ahli Daya (TAD) PT PGE Tbk Area Lumut Balai"
Periode Januari-Desember 2025</t>
  </si>
  <si>
    <t>151.292.510</t>
  </si>
  <si>
    <t>8.774.966</t>
  </si>
  <si>
    <t>17.607.422</t>
  </si>
  <si>
    <t>177.674.898</t>
  </si>
  <si>
    <t>PP25-557</t>
  </si>
  <si>
    <t>Tagihan Dinas TAD LMB "Pengadaan Jasa Tenaga Ahli Daya (TAD) PT PGE Tbk Area Lumut Balai"
Periode 24-31 Desember 2025</t>
  </si>
  <si>
    <t>16.460.522</t>
  </si>
  <si>
    <t>1.915.676</t>
  </si>
  <si>
    <t>19.330.908</t>
  </si>
  <si>
    <t>PP25-558</t>
  </si>
  <si>
    <t>Tagihan Lembur TAD LMB "Pengadaan Jasa Tenaga Ahli Daya (TAD) PT PGE Tbk Area Lumut Balai"
Periode 24-31 Desember 2025</t>
  </si>
  <si>
    <t>47.150.650</t>
  </si>
  <si>
    <t>2.734.738</t>
  </si>
  <si>
    <t>5.487.393</t>
  </si>
  <si>
    <t>55.372.780</t>
  </si>
  <si>
    <t>PP25-559</t>
  </si>
  <si>
    <t>PP25-560</t>
  </si>
  <si>
    <t>Tagihan Upah dan Lembur atas Jasa Penyediaan Tenaga Kerja Jasa Penunjang PT. Asuransi Jiwa Syariah Bumiputera Periode Desember 2025</t>
  </si>
  <si>
    <t>94.420.823</t>
  </si>
  <si>
    <t>9.442.082</t>
  </si>
  <si>
    <t>1.038.629</t>
  </si>
  <si>
    <t>104.901.534</t>
  </si>
  <si>
    <t>No</t>
  </si>
  <si>
    <t>Huruf</t>
  </si>
  <si>
    <t>No Urut</t>
  </si>
  <si>
    <t>No Invoice</t>
  </si>
  <si>
    <t>No.Kontrak/No.Pengadaan/No.SPK</t>
  </si>
  <si>
    <t xml:space="preserve">Nomor Pekerjaan </t>
  </si>
  <si>
    <t>PT</t>
  </si>
  <si>
    <t>FUNGSI</t>
  </si>
  <si>
    <t>Judul Invoice</t>
  </si>
  <si>
    <t>Nominal Invoice</t>
  </si>
  <si>
    <t>Total stlh Profit</t>
  </si>
  <si>
    <t>Total stlh PPN</t>
  </si>
  <si>
    <t>POSISI Terakhir</t>
  </si>
  <si>
    <t>PIC KPG</t>
  </si>
  <si>
    <t>NO FAKTUR</t>
  </si>
  <si>
    <t>Keterangan</t>
  </si>
  <si>
    <t>User</t>
  </si>
  <si>
    <t>PP25-</t>
  </si>
  <si>
    <t>Tenaga Kerja</t>
  </si>
  <si>
    <t>HC-GEOSCIENCE</t>
  </si>
  <si>
    <t>CHATLYN</t>
  </si>
  <si>
    <t>HC-RESERVOIR</t>
  </si>
  <si>
    <t>HC-ADMIN</t>
  </si>
  <si>
    <t>UBL</t>
  </si>
  <si>
    <t>Yunita</t>
  </si>
  <si>
    <t>IA</t>
  </si>
  <si>
    <t>Robby</t>
  </si>
  <si>
    <t>LMB</t>
  </si>
  <si>
    <t>ADILIA</t>
  </si>
  <si>
    <t>013</t>
  </si>
  <si>
    <t>014</t>
  </si>
  <si>
    <t>015</t>
  </si>
  <si>
    <t>016</t>
  </si>
  <si>
    <t>017</t>
  </si>
  <si>
    <t>018</t>
  </si>
  <si>
    <t>019</t>
  </si>
  <si>
    <t>DRILLING</t>
  </si>
  <si>
    <t>020</t>
  </si>
  <si>
    <t>021</t>
  </si>
  <si>
    <t>022</t>
  </si>
  <si>
    <t>023</t>
  </si>
  <si>
    <t>HSSE-LMB</t>
  </si>
  <si>
    <t>024</t>
  </si>
  <si>
    <t>025</t>
  </si>
  <si>
    <t>026</t>
  </si>
  <si>
    <t>027</t>
  </si>
  <si>
    <t>028</t>
  </si>
  <si>
    <t>029</t>
  </si>
  <si>
    <t>PMC-LMB</t>
  </si>
  <si>
    <t>030</t>
  </si>
  <si>
    <t>031</t>
  </si>
  <si>
    <t>ANEKA</t>
  </si>
  <si>
    <t>032</t>
  </si>
  <si>
    <t>033</t>
  </si>
  <si>
    <t>034</t>
  </si>
  <si>
    <t>035</t>
  </si>
  <si>
    <t>036</t>
  </si>
  <si>
    <t>037</t>
  </si>
  <si>
    <t>038</t>
  </si>
  <si>
    <t>039</t>
  </si>
  <si>
    <t>040</t>
  </si>
  <si>
    <t>041</t>
  </si>
  <si>
    <t>042</t>
  </si>
  <si>
    <t>043</t>
  </si>
  <si>
    <t>044</t>
  </si>
  <si>
    <t>PRODEV</t>
  </si>
  <si>
    <t>OCA</t>
  </si>
  <si>
    <t>045</t>
  </si>
  <si>
    <t>046</t>
  </si>
  <si>
    <t>047</t>
  </si>
  <si>
    <t>048</t>
  </si>
  <si>
    <t>Kantor Pusat</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</si>
  <si>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</si>
  <si>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</si>
  <si>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</si>
  <si>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</si>
  <si>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</si>
  <si>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</si>
  <si>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</si>
  <si>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</si>
  <si>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</si>
  <si>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</si>
  <si>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</si>
  <si>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</si>
  <si>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</si>
  <si>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</si>
  <si>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</si>
  <si>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</si>
  <si>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</si>
  <si>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</si>
  <si>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</si>
  <si>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</si>
  <si>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</si>
  <si>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</si>
  <si>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</si>
  <si>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</si>
  <si>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</si>
  <si>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</si>
  <si>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</si>
  <si>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</si>
  <si>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</si>
  <si>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</si>
  <si>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</si>
  <si>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</si>
  <si>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</si>
  <si>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</si>
  <si>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</si>
  <si>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</si>
  <si>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</si>
  <si>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</si>
  <si>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</si>
  <si>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</si>
  <si>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</si>
  <si>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</si>
  <si>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</si>
  <si>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</si>
  <si>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</si>
  <si>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</si>
  <si>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</si>
  <si>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YUNITA</t>
  </si>
  <si>
    <t>096</t>
  </si>
  <si>
    <t>097</t>
  </si>
  <si>
    <t>098</t>
  </si>
  <si>
    <t>099</t>
  </si>
  <si>
    <t>100</t>
  </si>
  <si>
    <t>Tiket</t>
  </si>
  <si>
    <t>DAVID</t>
  </si>
  <si>
    <t>TENAGA KERJA</t>
  </si>
  <si>
    <t>253-1</t>
  </si>
  <si>
    <t>TIKET</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</si>
</sst>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 #,##0_-;\-* #,##0_-;_-* \-??_-;_-@"/>
    <numFmt numFmtId="165" formatCode="[$-409]d\-mmm\-yy"/>
    <numFmt numFmtId="166" formatCode="yyyy\-mm\-dd"/>
    <numFmt numFmtId="167" formatCode="d\ mmmm\ yyyy"/>
    <numFmt numFmtId="168" formatCode="d\ mmm\ yyyy"/>
    <numFmt numFmtId="169" formatCode="d/m/yy"/>
    <numFmt numFmtId="170" formatCode="_-* #,##0_-;\-* #,##0_-;_-* &quot;-&quot;_-;_-@"/>
    <numFmt numFmtId="171" formatCode="m/d/yyyy"/>
    <numFmt numFmtId="172" formatCode="_-* #,##0_-;\-* #,##0_-;_-* &quot;-&quot;??_-;_-@"/>
    <numFmt numFmtId="173" formatCode="0000"/>
    <numFmt numFmtId="174" formatCode="[$-409]dd\-mmm\-yy"/>
  </numFmts>
  <fonts count="18">
    <font>
      <sz val="10.0"/>
      <color rgb="FF000000"/>
      <name val="Arial"/>
      <scheme val="minor"/>
    </font>
    <font>
      <b/>
      <sz val="10.0"/>
      <color theme="1"/>
      <name val="Arial"/>
    </font>
    <font>
      <sz val="10.0"/>
      <color theme="1"/>
      <name val="Arial"/>
    </font>
    <font>
      <sz val="11.0"/>
      <color theme="1"/>
      <name val="Calibri"/>
    </font>
    <font>
      <color theme="1"/>
      <name val="Arial"/>
    </font>
    <font>
      <sz val="11.0"/>
      <color rgb="FF500050"/>
      <name val="Calibri"/>
    </font>
    <font>
      <sz val="10.0"/>
      <color rgb="FF222222"/>
      <name val="Arial"/>
    </font>
    <font>
      <color theme="1"/>
      <name val="Arial"/>
      <scheme val="minor"/>
    </font>
    <font>
      <b/>
      <sz val="11.0"/>
      <color theme="1"/>
      <name val="Bookman Old Style"/>
    </font>
    <font>
      <sz val="11.0"/>
      <color theme="1"/>
      <name val="Bookman Old Style"/>
    </font>
    <font>
      <b/>
      <sz val="12.0"/>
      <color theme="1"/>
      <name val="Calibri"/>
    </font>
    <font>
      <sz val="11.0"/>
      <color rgb="FF000000"/>
      <name val="Bookman Old Style"/>
    </font>
    <font>
      <sz val="12.0"/>
      <color theme="1"/>
      <name val="Bookman Old Style"/>
    </font>
    <font>
      <b/>
      <sz val="11.0"/>
      <color rgb="FFFF0000"/>
      <name val="Bookman Old Style"/>
    </font>
    <font>
      <sz val="10.0"/>
      <color theme="1"/>
      <name val="Bookman Old Style"/>
    </font>
    <font>
      <strike/>
      <sz val="11.0"/>
      <color rgb="FFFF0000"/>
      <name val="Bookman Old Style"/>
    </font>
    <font>
      <sz val="12.0"/>
      <color theme="1"/>
      <name val="Calibri"/>
    </font>
    <font>
      <sz val="10.0"/>
      <color theme="1"/>
      <name val="Calibri"/>
    </font>
  </fonts>
  <fills count="7">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9CC2E5"/>
        <bgColor rgb="FF9CC2E5"/>
      </patternFill>
    </fill>
    <fill>
      <patternFill patternType="solid">
        <fgColor theme="4"/>
        <bgColor theme="4"/>
      </patternFill>
    </fill>
    <fill>
      <patternFill patternType="solid">
        <fgColor rgb="FF00B0F0"/>
        <bgColor rgb="FF00B0F0"/>
      </patternFill>
    </fill>
  </fills>
  <borders count="5">
    <border/>
    <border>
      <left style="thin">
        <color rgb="FF000000"/>
      </left>
      <right style="thin">
        <color rgb="FF000000"/>
      </right>
      <top style="thin">
        <color rgb="FF000000"/>
      </top>
      <bottom style="thin">
        <color rgb="FF000000"/>
      </bottom>
    </border>
    <border>
      <left/>
      <right/>
      <top/>
      <bottom/>
    </border>
    <border>
      <left/>
      <right/>
      <top/>
    </border>
    <border>
      <left/>
      <right/>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1" fillId="2" fontId="1" numFmtId="0" xfId="0" applyAlignment="1" applyBorder="1" applyFont="1">
      <alignment horizontal="center" shrinkToFit="0" vertical="center" wrapText="0"/>
    </xf>
    <xf borderId="1" fillId="2" fontId="1" numFmtId="0" xfId="0" applyAlignment="1" applyBorder="1" applyFont="1">
      <alignment horizontal="left" vertical="center"/>
    </xf>
    <xf borderId="0" fillId="0" fontId="2" numFmtId="0" xfId="0" applyAlignment="1" applyFont="1">
      <alignment horizontal="center"/>
    </xf>
    <xf borderId="1" fillId="0" fontId="3" numFmtId="164" xfId="0" applyAlignment="1" applyBorder="1" applyFont="1" applyNumberFormat="1">
      <alignment horizontal="left" readingOrder="0" shrinkToFit="0" vertical="center" wrapText="1"/>
    </xf>
    <xf borderId="1" fillId="0" fontId="3" numFmtId="165"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quotePrefix="1" borderId="1" fillId="0" fontId="4" numFmtId="0" xfId="0" applyAlignment="1" applyBorder="1" applyFont="1">
      <alignment horizontal="center"/>
    </xf>
    <xf borderId="1" fillId="0" fontId="2" numFmtId="0" xfId="0" applyAlignment="1" applyBorder="1" applyFont="1">
      <alignment horizontal="center" readingOrder="0" shrinkToFit="0" wrapText="0"/>
    </xf>
    <xf borderId="1" fillId="0" fontId="2" numFmtId="0" xfId="0" applyAlignment="1" applyBorder="1" applyFont="1">
      <alignment horizontal="center" readingOrder="0"/>
    </xf>
    <xf borderId="1" fillId="0" fontId="2" numFmtId="0" xfId="0" applyAlignment="1" applyBorder="1" applyFont="1">
      <alignment horizontal="left" readingOrder="0"/>
    </xf>
    <xf borderId="0" fillId="0" fontId="2" numFmtId="0" xfId="0" applyFont="1"/>
    <xf borderId="1" fillId="0" fontId="4" numFmtId="0" xfId="0" applyAlignment="1" applyBorder="1" applyFont="1">
      <alignment horizontal="center"/>
    </xf>
    <xf borderId="1" fillId="0" fontId="3" numFmtId="166" xfId="0" applyAlignment="1" applyBorder="1" applyFont="1" applyNumberFormat="1">
      <alignment horizontal="center" readingOrder="0" shrinkToFit="0" vertical="center" wrapText="1"/>
    </xf>
    <xf borderId="1" fillId="0" fontId="2" numFmtId="166" xfId="0" applyAlignment="1" applyBorder="1" applyFont="1" applyNumberFormat="1">
      <alignment horizontal="left" readingOrder="0"/>
    </xf>
    <xf borderId="1" fillId="0" fontId="2" numFmtId="0" xfId="0" applyAlignment="1" applyBorder="1" applyFont="1">
      <alignment horizontal="center" shrinkToFit="0" wrapText="0"/>
    </xf>
    <xf borderId="0" fillId="0" fontId="2" numFmtId="0" xfId="0" applyAlignment="1" applyFont="1">
      <alignment horizontal="left" shrinkToFit="0" wrapText="1"/>
    </xf>
    <xf borderId="0" fillId="0" fontId="2" numFmtId="0" xfId="0" applyAlignment="1" applyFont="1">
      <alignment horizontal="center" shrinkToFit="0" wrapText="0"/>
    </xf>
    <xf borderId="0" fillId="0" fontId="2" numFmtId="0" xfId="0" applyAlignment="1" applyFont="1">
      <alignment horizontal="right"/>
    </xf>
    <xf borderId="0" fillId="0" fontId="2" numFmtId="0" xfId="0" applyAlignment="1" applyFont="1">
      <alignment horizontal="left"/>
    </xf>
    <xf borderId="0" fillId="0" fontId="3" numFmtId="164" xfId="0" applyAlignment="1" applyFont="1" applyNumberFormat="1">
      <alignment horizontal="right" shrinkToFit="0" vertical="center" wrapText="1"/>
    </xf>
    <xf borderId="0" fillId="0" fontId="3" numFmtId="165"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vertical="center" wrapText="0"/>
    </xf>
    <xf borderId="0" fillId="0" fontId="3" numFmtId="167" xfId="0" applyAlignment="1" applyFont="1" applyNumberFormat="1">
      <alignment horizontal="center" shrinkToFit="0" vertical="center" wrapText="1"/>
    </xf>
    <xf borderId="0" fillId="0" fontId="3" numFmtId="167" xfId="0" applyAlignment="1" applyFont="1" applyNumberFormat="1">
      <alignment horizontal="left" shrinkToFit="0" vertical="center" wrapText="1"/>
    </xf>
    <xf borderId="0" fillId="0" fontId="5" numFmtId="0" xfId="0" applyAlignment="1" applyFont="1">
      <alignment horizontal="center" shrinkToFit="0" vertical="center" wrapText="0"/>
    </xf>
    <xf borderId="0" fillId="0" fontId="3" numFmtId="168" xfId="0" applyAlignment="1" applyFont="1" applyNumberFormat="1">
      <alignment horizontal="center" shrinkToFit="0" vertical="center" wrapText="1"/>
    </xf>
    <xf borderId="0" fillId="0" fontId="3" numFmtId="168" xfId="0" applyAlignment="1" applyFont="1" applyNumberFormat="1">
      <alignment horizontal="left" shrinkToFit="0" vertical="center" wrapText="1"/>
    </xf>
    <xf borderId="0" fillId="0" fontId="6" numFmtId="164" xfId="0" applyAlignment="1" applyFont="1" applyNumberFormat="1">
      <alignment horizontal="right" shrinkToFit="0" vertical="center" wrapText="1"/>
    </xf>
    <xf borderId="0" fillId="0" fontId="3" numFmtId="169" xfId="0" applyAlignment="1" applyFont="1" applyNumberFormat="1">
      <alignment horizontal="center" shrinkToFit="0" vertical="center" wrapText="1"/>
    </xf>
    <xf borderId="0" fillId="0" fontId="3" numFmtId="169" xfId="0" applyAlignment="1" applyFont="1" applyNumberFormat="1">
      <alignment horizontal="left" shrinkToFit="0" vertical="center" wrapText="1"/>
    </xf>
    <xf borderId="0" fillId="0" fontId="3" numFmtId="165" xfId="0" applyAlignment="1" applyFont="1" applyNumberFormat="1">
      <alignment horizontal="center" shrinkToFit="0" vertical="center" wrapText="0"/>
    </xf>
    <xf borderId="0" fillId="0" fontId="3" numFmtId="0" xfId="0" applyAlignment="1" applyFont="1">
      <alignment horizontal="right" shrinkToFit="0" vertical="center" wrapText="1"/>
    </xf>
    <xf borderId="0" fillId="0" fontId="2" numFmtId="0" xfId="0" applyAlignment="1" applyFont="1">
      <alignment horizontal="right" shrinkToFit="0" wrapText="1"/>
    </xf>
    <xf borderId="1" fillId="2" fontId="1" numFmtId="166" xfId="0" applyAlignment="1" applyBorder="1" applyFont="1" applyNumberFormat="1">
      <alignment horizontal="center" shrinkToFit="0" vertical="center" wrapText="1"/>
    </xf>
    <xf borderId="1" fillId="2" fontId="1" numFmtId="0" xfId="0" applyAlignment="1" applyBorder="1" applyFont="1">
      <alignment horizontal="left" shrinkToFit="0" vertical="center" wrapText="1"/>
    </xf>
    <xf borderId="1" fillId="2" fontId="1" numFmtId="1" xfId="0" applyAlignment="1" applyBorder="1" applyFont="1" applyNumberFormat="1">
      <alignment horizontal="left" shrinkToFit="0" vertical="center" wrapText="1"/>
    </xf>
    <xf borderId="1" fillId="2" fontId="1" numFmtId="170" xfId="0" applyAlignment="1" applyBorder="1" applyFont="1" applyNumberFormat="1">
      <alignment horizontal="center" shrinkToFit="0" vertical="center" wrapText="1"/>
    </xf>
    <xf borderId="1" fillId="3" fontId="1" numFmtId="170" xfId="0" applyAlignment="1" applyBorder="1" applyFill="1" applyFont="1" applyNumberFormat="1">
      <alignment horizontal="center" shrinkToFit="0" vertical="center" wrapText="1"/>
    </xf>
    <xf borderId="0" fillId="0" fontId="4" numFmtId="0" xfId="0" applyFont="1"/>
    <xf borderId="0" fillId="0" fontId="2" numFmtId="166" xfId="0" applyFont="1" applyNumberFormat="1"/>
    <xf quotePrefix="1" borderId="0" fillId="0" fontId="4" numFmtId="0" xfId="0" applyFont="1"/>
    <xf borderId="0" fillId="0" fontId="2" numFmtId="1" xfId="0" applyAlignment="1" applyFont="1" applyNumberFormat="1">
      <alignment horizontal="left"/>
    </xf>
    <xf borderId="0" fillId="0" fontId="2" numFmtId="170" xfId="0" applyFont="1" applyNumberFormat="1"/>
    <xf borderId="2" fillId="3" fontId="2" numFmtId="170" xfId="0" applyBorder="1" applyFont="1" applyNumberFormat="1"/>
    <xf borderId="3" fillId="3" fontId="2" numFmtId="170" xfId="0" applyBorder="1" applyFont="1" applyNumberFormat="1"/>
    <xf borderId="1" fillId="0" fontId="4" numFmtId="0" xfId="0" applyAlignment="1" applyBorder="1" applyFont="1">
      <alignment readingOrder="0"/>
    </xf>
    <xf borderId="1" fillId="0" fontId="2" numFmtId="166" xfId="0" applyAlignment="1" applyBorder="1" applyFont="1" applyNumberFormat="1">
      <alignment horizontal="center" readingOrder="0"/>
    </xf>
    <xf borderId="1" fillId="0" fontId="4" numFmtId="0" xfId="0" applyAlignment="1" applyBorder="1" applyFont="1">
      <alignment horizontal="left" readingOrder="0"/>
    </xf>
    <xf borderId="1" fillId="0" fontId="2" numFmtId="1" xfId="0" applyAlignment="1" applyBorder="1" applyFont="1" applyNumberFormat="1">
      <alignment horizontal="left" readingOrder="0" shrinkToFit="0" wrapText="1"/>
    </xf>
    <xf borderId="1" fillId="0" fontId="4" numFmtId="0" xfId="0" applyAlignment="1" applyBorder="1" applyFont="1">
      <alignment readingOrder="0" shrinkToFit="0" wrapText="1"/>
    </xf>
    <xf borderId="1" fillId="0" fontId="2" numFmtId="170" xfId="0" applyAlignment="1" applyBorder="1" applyFont="1" applyNumberFormat="1">
      <alignment horizontal="right" readingOrder="0"/>
    </xf>
    <xf borderId="1" fillId="0" fontId="4" numFmtId="0" xfId="0" applyAlignment="1" applyBorder="1" applyFont="1">
      <alignment horizontal="right" readingOrder="0"/>
    </xf>
    <xf borderId="1" fillId="3" fontId="2" numFmtId="170" xfId="0" applyBorder="1" applyFont="1" applyNumberFormat="1"/>
    <xf borderId="1" fillId="0" fontId="2" numFmtId="170" xfId="0" applyAlignment="1" applyBorder="1" applyFont="1" applyNumberFormat="1">
      <alignment horizontal="right"/>
    </xf>
    <xf borderId="1" fillId="0" fontId="4" numFmtId="0" xfId="0" applyBorder="1" applyFont="1"/>
    <xf borderId="1" fillId="0" fontId="2" numFmtId="166" xfId="0" applyBorder="1" applyFont="1" applyNumberFormat="1"/>
    <xf quotePrefix="1" borderId="1" fillId="0" fontId="4" numFmtId="0" xfId="0" applyBorder="1" applyFont="1"/>
    <xf borderId="1" fillId="0" fontId="2" numFmtId="1" xfId="0" applyAlignment="1" applyBorder="1" applyFont="1" applyNumberFormat="1">
      <alignment horizontal="left"/>
    </xf>
    <xf borderId="1" fillId="0" fontId="2" numFmtId="170" xfId="0" applyBorder="1" applyFont="1" applyNumberFormat="1"/>
    <xf borderId="1" fillId="0" fontId="4" numFmtId="0" xfId="0" applyAlignment="1" applyBorder="1" applyFont="1">
      <alignment horizontal="left"/>
    </xf>
    <xf borderId="1" fillId="0" fontId="2" numFmtId="1" xfId="0" applyAlignment="1" applyBorder="1" applyFont="1" applyNumberFormat="1">
      <alignment horizontal="left" shrinkToFit="0" wrapText="1"/>
    </xf>
    <xf borderId="1" fillId="0" fontId="7" numFmtId="0" xfId="0" applyAlignment="1" applyBorder="1" applyFont="1">
      <alignment readingOrder="0" shrinkToFit="0" wrapText="1"/>
    </xf>
    <xf borderId="1" fillId="0" fontId="2" numFmtId="166" xfId="0" applyAlignment="1" applyBorder="1" applyFont="1" applyNumberFormat="1">
      <alignment horizontal="center"/>
    </xf>
    <xf borderId="1" fillId="0" fontId="4" numFmtId="0" xfId="0" applyAlignment="1" applyBorder="1" applyFont="1">
      <alignment shrinkToFit="0" wrapText="1"/>
    </xf>
    <xf borderId="1" fillId="0" fontId="7" numFmtId="0" xfId="0" applyBorder="1" applyFont="1"/>
    <xf borderId="1" fillId="0" fontId="7" numFmtId="0" xfId="0" applyAlignment="1" applyBorder="1" applyFont="1">
      <alignment readingOrder="0"/>
    </xf>
    <xf borderId="1" fillId="0" fontId="7" numFmtId="0" xfId="0" applyAlignment="1" applyBorder="1" applyFont="1">
      <alignment horizontal="left"/>
    </xf>
    <xf borderId="1" fillId="0" fontId="7" numFmtId="0" xfId="0" applyAlignment="1" applyBorder="1" applyFont="1">
      <alignment horizontal="right" readingOrder="0"/>
    </xf>
    <xf borderId="1" fillId="0" fontId="7" numFmtId="0" xfId="0" applyAlignment="1" applyBorder="1" applyFont="1">
      <alignment shrinkToFit="0" wrapText="1"/>
    </xf>
    <xf borderId="1" fillId="0" fontId="7" numFmtId="0" xfId="0" applyAlignment="1" applyBorder="1" applyFont="1">
      <alignment horizontal="right"/>
    </xf>
    <xf borderId="0" fillId="0" fontId="2" numFmtId="166" xfId="0" applyAlignment="1" applyFont="1" applyNumberFormat="1">
      <alignment horizontal="center"/>
    </xf>
    <xf borderId="0" fillId="0" fontId="7" numFmtId="0" xfId="0" applyAlignment="1" applyFont="1">
      <alignment horizontal="left"/>
    </xf>
    <xf borderId="0" fillId="0" fontId="2" numFmtId="1" xfId="0" applyAlignment="1" applyFont="1" applyNumberFormat="1">
      <alignment horizontal="left" shrinkToFit="0" wrapText="1"/>
    </xf>
    <xf borderId="4" fillId="3" fontId="2" numFmtId="170" xfId="0" applyBorder="1" applyFont="1" applyNumberFormat="1"/>
    <xf borderId="1" fillId="4" fontId="8" numFmtId="0" xfId="0" applyAlignment="1" applyBorder="1" applyFill="1" applyFont="1">
      <alignment horizontal="center" vertical="center"/>
    </xf>
    <xf borderId="1" fillId="4" fontId="8" numFmtId="14" xfId="0" applyAlignment="1" applyBorder="1" applyFont="1" applyNumberFormat="1">
      <alignment horizontal="center" vertical="center"/>
    </xf>
    <xf borderId="1" fillId="4" fontId="8" numFmtId="1" xfId="0" applyAlignment="1" applyBorder="1" applyFont="1" applyNumberFormat="1">
      <alignment horizontal="left" shrinkToFit="0" vertical="center" wrapText="1"/>
    </xf>
    <xf borderId="1" fillId="4" fontId="8" numFmtId="1" xfId="0" applyAlignment="1" applyBorder="1" applyFont="1" applyNumberFormat="1">
      <alignment horizontal="left" vertical="center"/>
    </xf>
    <xf borderId="1" fillId="4" fontId="8" numFmtId="1" xfId="0" applyAlignment="1" applyBorder="1" applyFont="1" applyNumberFormat="1">
      <alignment horizontal="left" vertical="top"/>
    </xf>
    <xf borderId="1" fillId="4" fontId="8" numFmtId="170" xfId="0" applyAlignment="1" applyBorder="1" applyFont="1" applyNumberFormat="1">
      <alignment horizontal="center" vertical="center"/>
    </xf>
    <xf borderId="1" fillId="4" fontId="8" numFmtId="3" xfId="0" applyAlignment="1" applyBorder="1" applyFont="1" applyNumberFormat="1">
      <alignment horizontal="right" vertical="center"/>
    </xf>
    <xf borderId="1" fillId="4" fontId="8" numFmtId="3" xfId="0" applyAlignment="1" applyBorder="1" applyFont="1" applyNumberFormat="1">
      <alignment horizontal="center" vertical="center"/>
    </xf>
    <xf borderId="1" fillId="5" fontId="9" numFmtId="0" xfId="0" applyAlignment="1" applyBorder="1" applyFill="1" applyFont="1">
      <alignment horizontal="center" vertical="center"/>
    </xf>
    <xf borderId="1" fillId="4" fontId="8" numFmtId="171" xfId="0" applyAlignment="1" applyBorder="1" applyFont="1" applyNumberFormat="1">
      <alignment horizontal="center" shrinkToFit="0" vertical="center" wrapText="1"/>
    </xf>
    <xf borderId="1" fillId="6" fontId="8" numFmtId="0" xfId="0" applyAlignment="1" applyBorder="1" applyFill="1" applyFont="1">
      <alignment vertical="center"/>
    </xf>
    <xf borderId="0" fillId="0" fontId="10" numFmtId="0" xfId="0" applyAlignment="1" applyFont="1">
      <alignment vertical="center"/>
    </xf>
    <xf borderId="1" fillId="0" fontId="9" numFmtId="0" xfId="0" applyAlignment="1" applyBorder="1" applyFont="1">
      <alignment horizontal="center" vertical="center"/>
    </xf>
    <xf quotePrefix="1" borderId="1" fillId="0" fontId="9" numFmtId="14" xfId="0" applyAlignment="1" applyBorder="1" applyFont="1" applyNumberFormat="1">
      <alignment horizontal="center" vertical="center"/>
    </xf>
    <xf borderId="1" fillId="0" fontId="9" numFmtId="14" xfId="0" applyAlignment="1" applyBorder="1" applyFont="1" applyNumberFormat="1">
      <alignment horizontal="center" vertical="center"/>
    </xf>
    <xf borderId="1" fillId="0" fontId="9" numFmtId="0" xfId="0" applyAlignment="1" applyBorder="1" applyFont="1">
      <alignment horizontal="left" vertical="center"/>
    </xf>
    <xf borderId="1" fillId="0" fontId="9" numFmtId="0" xfId="0" applyAlignment="1" applyBorder="1" applyFont="1">
      <alignment horizontal="left" vertical="top"/>
    </xf>
    <xf borderId="1" fillId="0" fontId="9" numFmtId="0" xfId="0" applyAlignment="1" applyBorder="1" applyFont="1">
      <alignment vertical="center"/>
    </xf>
    <xf borderId="1" fillId="0" fontId="9" numFmtId="3" xfId="0" applyAlignment="1" applyBorder="1" applyFont="1" applyNumberFormat="1">
      <alignment horizontal="right" vertical="center"/>
    </xf>
    <xf borderId="1" fillId="0" fontId="9" numFmtId="3" xfId="0" applyAlignment="1" applyBorder="1" applyFont="1" applyNumberFormat="1">
      <alignment vertical="center"/>
    </xf>
    <xf borderId="1" fillId="0" fontId="9" numFmtId="3" xfId="0" applyAlignment="1" applyBorder="1" applyFont="1" applyNumberFormat="1">
      <alignment shrinkToFit="0" vertical="center" wrapText="1"/>
    </xf>
    <xf borderId="1" fillId="0" fontId="9" numFmtId="0" xfId="0" applyAlignment="1" applyBorder="1" applyFont="1">
      <alignment shrinkToFit="0" vertical="center" wrapText="1"/>
    </xf>
    <xf borderId="1" fillId="0" fontId="9" numFmtId="171" xfId="0" applyAlignment="1" applyBorder="1" applyFont="1" applyNumberFormat="1">
      <alignment shrinkToFit="0" vertical="center" wrapText="1"/>
    </xf>
    <xf borderId="1" fillId="0" fontId="9" numFmtId="171" xfId="0" applyAlignment="1" applyBorder="1" applyFont="1" applyNumberFormat="1">
      <alignment horizontal="center" shrinkToFit="0" vertical="center" wrapText="1"/>
    </xf>
    <xf borderId="1" fillId="0" fontId="9" numFmtId="14" xfId="0" applyAlignment="1" applyBorder="1" applyFont="1" applyNumberFormat="1">
      <alignment vertical="center"/>
    </xf>
    <xf borderId="0" fillId="0" fontId="3" numFmtId="0" xfId="0" applyAlignment="1" applyFont="1">
      <alignment vertical="center"/>
    </xf>
    <xf borderId="0" fillId="0" fontId="3" numFmtId="172" xfId="0" applyAlignment="1" applyFont="1" applyNumberFormat="1">
      <alignment vertical="center"/>
    </xf>
    <xf quotePrefix="1" borderId="1" fillId="0" fontId="9" numFmtId="0" xfId="0" applyAlignment="1" applyBorder="1" applyFont="1">
      <alignment horizontal="center" vertical="center"/>
    </xf>
    <xf borderId="1" fillId="0" fontId="11" numFmtId="3" xfId="0" applyAlignment="1" applyBorder="1" applyFont="1" applyNumberFormat="1">
      <alignment horizontal="right" vertical="center"/>
    </xf>
    <xf quotePrefix="1" borderId="1" fillId="0" fontId="9" numFmtId="0" xfId="0" applyAlignment="1" applyBorder="1" applyFont="1">
      <alignment horizontal="left" vertical="center"/>
    </xf>
    <xf borderId="1" fillId="0" fontId="11" numFmtId="3" xfId="0" applyAlignment="1" applyBorder="1" applyFont="1" applyNumberFormat="1">
      <alignment horizontal="right"/>
    </xf>
    <xf borderId="1" fillId="0" fontId="9" numFmtId="0" xfId="0" applyAlignment="1" applyBorder="1" applyFont="1">
      <alignment horizontal="center" shrinkToFit="0" vertical="center" wrapText="1"/>
    </xf>
    <xf borderId="1" fillId="0" fontId="9" numFmtId="173" xfId="0" applyAlignment="1" applyBorder="1" applyFont="1" applyNumberFormat="1">
      <alignment horizontal="left" shrinkToFit="0" vertical="center" wrapText="1"/>
    </xf>
    <xf borderId="1" fillId="0" fontId="12" numFmtId="0" xfId="0" applyAlignment="1" applyBorder="1" applyFont="1">
      <alignment horizontal="center" shrinkToFit="0" vertical="center" wrapText="1"/>
    </xf>
    <xf borderId="1" fillId="0" fontId="9" numFmtId="0" xfId="0" applyAlignment="1" applyBorder="1" applyFont="1">
      <alignment horizontal="left" shrinkToFit="0" vertical="top" wrapText="1"/>
    </xf>
    <xf borderId="1" fillId="0" fontId="9" numFmtId="3" xfId="0" applyAlignment="1" applyBorder="1" applyFont="1" applyNumberFormat="1">
      <alignment horizontal="right" shrinkToFit="0" vertical="center" wrapText="1"/>
    </xf>
    <xf borderId="0" fillId="0" fontId="3" numFmtId="0" xfId="0" applyAlignment="1" applyFont="1">
      <alignment shrinkToFit="0" vertical="center" wrapText="1"/>
    </xf>
    <xf borderId="0" fillId="0" fontId="3" numFmtId="172" xfId="0" applyAlignment="1" applyFont="1" applyNumberFormat="1">
      <alignment shrinkToFit="0" vertical="center" wrapText="1"/>
    </xf>
    <xf borderId="1" fillId="0" fontId="12" numFmtId="0" xfId="0" applyAlignment="1" applyBorder="1" applyFont="1">
      <alignment horizontal="left" vertical="center"/>
    </xf>
    <xf borderId="1" fillId="0" fontId="9" numFmtId="15" xfId="0" applyAlignment="1" applyBorder="1" applyFont="1" applyNumberFormat="1">
      <alignment horizontal="center" shrinkToFit="0" vertical="center" wrapText="1"/>
    </xf>
    <xf borderId="1" fillId="0" fontId="9" numFmtId="0" xfId="0" applyAlignment="1" applyBorder="1" applyFont="1">
      <alignment horizontal="center"/>
    </xf>
    <xf borderId="1" fillId="0" fontId="9" numFmtId="14" xfId="0" applyAlignment="1" applyBorder="1" applyFont="1" applyNumberFormat="1">
      <alignment horizontal="center"/>
    </xf>
    <xf borderId="1" fillId="0" fontId="9" numFmtId="169" xfId="0" applyAlignment="1" applyBorder="1" applyFont="1" applyNumberFormat="1">
      <alignment horizontal="center" vertical="center"/>
    </xf>
    <xf borderId="1" fillId="0" fontId="13" numFmtId="14" xfId="0" applyAlignment="1" applyBorder="1" applyFont="1" applyNumberFormat="1">
      <alignment horizontal="center" vertical="center"/>
    </xf>
    <xf borderId="1" fillId="0" fontId="13" numFmtId="169" xfId="0" applyAlignment="1" applyBorder="1" applyFont="1" applyNumberFormat="1">
      <alignment horizontal="center" vertical="center"/>
    </xf>
    <xf borderId="1" fillId="0" fontId="13" numFmtId="0" xfId="0" applyAlignment="1" applyBorder="1" applyFont="1">
      <alignment horizontal="left" vertical="center"/>
    </xf>
    <xf borderId="1" fillId="0" fontId="13" numFmtId="0" xfId="0" applyAlignment="1" applyBorder="1" applyFont="1">
      <alignment horizontal="left" vertical="top"/>
    </xf>
    <xf borderId="1" fillId="0" fontId="13" numFmtId="0" xfId="0" applyAlignment="1" applyBorder="1" applyFont="1">
      <alignment vertical="center"/>
    </xf>
    <xf borderId="1" fillId="0" fontId="13" numFmtId="3" xfId="0" applyAlignment="1" applyBorder="1" applyFont="1" applyNumberFormat="1">
      <alignment horizontal="right" vertical="center"/>
    </xf>
    <xf borderId="1" fillId="0" fontId="13" numFmtId="3" xfId="0" applyAlignment="1" applyBorder="1" applyFont="1" applyNumberFormat="1">
      <alignment vertical="center"/>
    </xf>
    <xf borderId="1" fillId="0" fontId="13" numFmtId="3" xfId="0" applyAlignment="1" applyBorder="1" applyFont="1" applyNumberFormat="1">
      <alignment shrinkToFit="0" vertical="center" wrapText="1"/>
    </xf>
    <xf borderId="1" fillId="0" fontId="13" numFmtId="0" xfId="0" applyAlignment="1" applyBorder="1" applyFont="1">
      <alignment shrinkToFit="0" vertical="center" wrapText="1"/>
    </xf>
    <xf borderId="1" fillId="0" fontId="13" numFmtId="0" xfId="0" applyAlignment="1" applyBorder="1" applyFont="1">
      <alignment horizontal="center" vertical="center"/>
    </xf>
    <xf borderId="1" fillId="0" fontId="9" numFmtId="14" xfId="0" applyAlignment="1" applyBorder="1" applyFont="1" applyNumberFormat="1">
      <alignment shrinkToFit="0" vertical="center" wrapText="1"/>
    </xf>
    <xf borderId="1" fillId="0" fontId="3" numFmtId="0" xfId="0" applyAlignment="1" applyBorder="1" applyFont="1">
      <alignment horizontal="center" vertical="center"/>
    </xf>
    <xf borderId="1" fillId="0" fontId="12" numFmtId="169" xfId="0" applyAlignment="1" applyBorder="1" applyFont="1" applyNumberFormat="1">
      <alignment horizontal="center" vertical="center"/>
    </xf>
    <xf borderId="1" fillId="0" fontId="12" numFmtId="0" xfId="0" applyAlignment="1" applyBorder="1" applyFont="1">
      <alignment horizontal="left" vertical="top"/>
    </xf>
    <xf borderId="1" fillId="0" fontId="12" numFmtId="0" xfId="0" applyAlignment="1" applyBorder="1" applyFont="1">
      <alignment vertical="center"/>
    </xf>
    <xf borderId="1" fillId="0" fontId="12" numFmtId="3" xfId="0" applyAlignment="1" applyBorder="1" applyFont="1" applyNumberFormat="1">
      <alignment horizontal="right" vertical="center"/>
    </xf>
    <xf borderId="1" fillId="0" fontId="12" numFmtId="0" xfId="0" applyAlignment="1" applyBorder="1" applyFont="1">
      <alignment shrinkToFit="0" vertical="center" wrapText="1"/>
    </xf>
    <xf borderId="1" fillId="0" fontId="3" numFmtId="15" xfId="0" applyAlignment="1" applyBorder="1" applyFont="1" applyNumberFormat="1">
      <alignment shrinkToFit="0" vertical="center" wrapText="1"/>
    </xf>
    <xf borderId="1" fillId="0" fontId="3" numFmtId="0" xfId="0" applyAlignment="1" applyBorder="1" applyFont="1">
      <alignment vertical="center"/>
    </xf>
    <xf borderId="1" fillId="0" fontId="12" numFmtId="3" xfId="0" applyAlignment="1" applyBorder="1" applyFont="1" applyNumberFormat="1">
      <alignment vertical="center"/>
    </xf>
    <xf borderId="1" fillId="0" fontId="12" numFmtId="0" xfId="0" applyAlignment="1" applyBorder="1" applyFont="1">
      <alignment horizontal="center" vertical="center"/>
    </xf>
    <xf borderId="1" fillId="0" fontId="12" numFmtId="3" xfId="0" applyAlignment="1" applyBorder="1" applyFont="1" applyNumberFormat="1">
      <alignment shrinkToFit="0" vertical="center" wrapText="1"/>
    </xf>
    <xf borderId="1" fillId="0" fontId="12" numFmtId="14" xfId="0" applyAlignment="1" applyBorder="1" applyFont="1" applyNumberFormat="1">
      <alignment shrinkToFit="0" vertical="center" wrapText="1"/>
    </xf>
    <xf borderId="1" fillId="0" fontId="12" numFmtId="174" xfId="0" applyAlignment="1" applyBorder="1" applyFont="1" applyNumberFormat="1">
      <alignment shrinkToFit="0" vertical="center" wrapText="1"/>
    </xf>
    <xf borderId="1" fillId="0" fontId="3" numFmtId="0" xfId="0" applyAlignment="1" applyBorder="1" applyFont="1">
      <alignment shrinkToFit="0" vertical="center" wrapText="1"/>
    </xf>
    <xf borderId="1" fillId="0" fontId="12" numFmtId="169" xfId="0" applyAlignment="1" applyBorder="1" applyFont="1" applyNumberFormat="1">
      <alignment horizontal="right" vertical="center"/>
    </xf>
    <xf borderId="1" fillId="0" fontId="12" numFmtId="3" xfId="0" applyAlignment="1" applyBorder="1" applyFont="1" applyNumberFormat="1">
      <alignment horizontal="right" shrinkToFit="0" vertical="center" wrapText="1"/>
    </xf>
    <xf borderId="1" fillId="0" fontId="3" numFmtId="0" xfId="0" applyAlignment="1" applyBorder="1" applyFont="1">
      <alignment horizontal="center" shrinkToFit="0" vertical="center" wrapText="1"/>
    </xf>
    <xf borderId="1" fillId="0" fontId="12" numFmtId="14" xfId="0" applyAlignment="1" applyBorder="1" applyFont="1" applyNumberFormat="1">
      <alignment vertical="center"/>
    </xf>
    <xf borderId="1" fillId="0" fontId="12" numFmtId="0" xfId="0" applyAlignment="1" applyBorder="1" applyFont="1">
      <alignment horizontal="right" vertical="center"/>
    </xf>
    <xf borderId="1" fillId="0" fontId="12" numFmtId="174" xfId="0" applyAlignment="1" applyBorder="1" applyFont="1" applyNumberFormat="1">
      <alignment vertical="center"/>
    </xf>
    <xf borderId="1" fillId="0" fontId="14" numFmtId="0" xfId="0" applyAlignment="1" applyBorder="1" applyFont="1">
      <alignment vertical="center"/>
    </xf>
    <xf borderId="1" fillId="0" fontId="14" numFmtId="0" xfId="0" applyAlignment="1" applyBorder="1" applyFont="1">
      <alignment horizontal="left" vertical="center"/>
    </xf>
    <xf borderId="1" fillId="0" fontId="9" numFmtId="174" xfId="0" applyAlignment="1" applyBorder="1" applyFont="1" applyNumberFormat="1">
      <alignment shrinkToFit="0" vertical="center" wrapText="1"/>
    </xf>
    <xf borderId="1" fillId="0" fontId="14" numFmtId="3" xfId="0" applyAlignment="1" applyBorder="1" applyFont="1" applyNumberFormat="1">
      <alignment horizontal="right" vertical="center"/>
    </xf>
    <xf borderId="1" fillId="0" fontId="14" numFmtId="3" xfId="0" applyAlignment="1" applyBorder="1" applyFont="1" applyNumberFormat="1">
      <alignment vertical="center"/>
    </xf>
    <xf borderId="1" fillId="0" fontId="14" numFmtId="169" xfId="0" applyAlignment="1" applyBorder="1" applyFont="1" applyNumberFormat="1">
      <alignment vertical="center"/>
    </xf>
    <xf borderId="1" fillId="0" fontId="14" numFmtId="169" xfId="0" applyAlignment="1" applyBorder="1" applyFont="1" applyNumberFormat="1">
      <alignment horizontal="center" vertical="center"/>
    </xf>
    <xf borderId="1" fillId="0" fontId="3" numFmtId="15" xfId="0" applyAlignment="1" applyBorder="1" applyFont="1" applyNumberFormat="1">
      <alignment horizontal="center" shrinkToFit="0" vertical="center" wrapText="1"/>
    </xf>
    <xf borderId="1" fillId="0" fontId="15" numFmtId="169" xfId="0" applyAlignment="1" applyBorder="1" applyFont="1" applyNumberFormat="1">
      <alignment horizontal="center" vertical="center"/>
    </xf>
    <xf borderId="1" fillId="0" fontId="15" numFmtId="0" xfId="0" applyAlignment="1" applyBorder="1" applyFont="1">
      <alignment horizontal="left" vertical="center"/>
    </xf>
    <xf borderId="1" fillId="0" fontId="15" numFmtId="0" xfId="0" applyAlignment="1" applyBorder="1" applyFont="1">
      <alignment vertical="center"/>
    </xf>
    <xf borderId="1" fillId="0" fontId="15" numFmtId="3" xfId="0" applyAlignment="1" applyBorder="1" applyFont="1" applyNumberFormat="1">
      <alignment horizontal="right" vertical="center"/>
    </xf>
    <xf borderId="1" fillId="0" fontId="15" numFmtId="3" xfId="0" applyAlignment="1" applyBorder="1" applyFont="1" applyNumberFormat="1">
      <alignment vertical="center"/>
    </xf>
    <xf borderId="1" fillId="0" fontId="15" numFmtId="0" xfId="0" applyAlignment="1" applyBorder="1" applyFont="1">
      <alignment shrinkToFit="0" vertical="center" wrapText="1"/>
    </xf>
    <xf borderId="1" fillId="0" fontId="15" numFmtId="0" xfId="0" applyAlignment="1" applyBorder="1" applyFont="1">
      <alignment horizontal="center" shrinkToFit="0" vertical="center" wrapText="1"/>
    </xf>
    <xf borderId="1" fillId="0" fontId="16" numFmtId="0" xfId="0" applyAlignment="1" applyBorder="1" applyFont="1">
      <alignment horizontal="center" vertical="center"/>
    </xf>
    <xf borderId="1" fillId="0" fontId="3" numFmtId="14" xfId="0" applyAlignment="1" applyBorder="1" applyFont="1" applyNumberFormat="1">
      <alignment vertical="center"/>
    </xf>
    <xf borderId="1" fillId="0" fontId="17" numFmtId="3" xfId="0" applyAlignment="1" applyBorder="1" applyFont="1" applyNumberFormat="1">
      <alignment horizontal="center" vertical="center"/>
    </xf>
    <xf borderId="1" fillId="0" fontId="15" numFmtId="0" xfId="0" applyAlignment="1" applyBorder="1" applyFont="1">
      <alignment horizontal="lef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KERTAS%20KERJA%20INVOICE%202025-KPP.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O.PEKERJAAN BARANG &amp; JASA"/>
      <sheetName val="NO. INVOICE"/>
      <sheetName val="NSFP KPPE"/>
      <sheetName val="TARIKAN MY SAP"/>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75"/>
    <col customWidth="1" min="2" max="2" width="21.5"/>
    <col customWidth="1" min="3" max="3" width="17.13"/>
    <col customWidth="1" min="4" max="4" width="18.75"/>
    <col customWidth="1" min="5" max="5" width="22.0"/>
    <col customWidth="1" min="6" max="6" width="23.38"/>
    <col customWidth="1" min="7" max="7" width="15.63"/>
    <col customWidth="1" min="8" max="8" width="21.75"/>
    <col customWidth="1" min="9" max="9" width="18.5"/>
    <col customWidth="1" min="10" max="10" width="13.13"/>
    <col customWidth="1" min="11" max="11" width="13.5"/>
    <col customWidth="1" min="12" max="12" width="17.25"/>
    <col customWidth="1" min="13" max="49" width="11.5"/>
  </cols>
  <sheetData>
    <row r="1" ht="29.25" customHeight="1">
      <c r="A1" s="1" t="s">
        <v>0</v>
      </c>
      <c r="B1" s="2" t="s">
        <v>1</v>
      </c>
      <c r="C1" s="2" t="s">
        <v>2</v>
      </c>
      <c r="D1" s="2" t="s">
        <v>3</v>
      </c>
      <c r="E1" s="2" t="s">
        <v>4</v>
      </c>
      <c r="F1" s="3" t="s">
        <v>5</v>
      </c>
      <c r="G1" s="2" t="s">
        <v>6</v>
      </c>
      <c r="H1" s="2" t="s">
        <v>7</v>
      </c>
      <c r="I1" s="4" t="s">
        <v>8</v>
      </c>
      <c r="J1" s="2" t="s">
        <v>9</v>
      </c>
      <c r="K1" s="2" t="s">
        <v>10</v>
      </c>
      <c r="L1" s="2" t="s">
        <v>11</v>
      </c>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row>
    <row r="2" ht="22.5" customHeight="1">
      <c r="A2" s="6" t="s">
        <v>12</v>
      </c>
      <c r="B2" s="7">
        <v>45674.0</v>
      </c>
      <c r="C2" s="8" t="s">
        <v>13</v>
      </c>
      <c r="D2" s="9" t="s">
        <v>14</v>
      </c>
      <c r="E2" s="8" t="s">
        <v>15</v>
      </c>
      <c r="F2" s="10">
        <v>3.900554898E9</v>
      </c>
      <c r="G2" s="11" t="s">
        <v>16</v>
      </c>
      <c r="H2" s="8" t="s">
        <v>17</v>
      </c>
      <c r="I2" s="12" t="s">
        <v>18</v>
      </c>
      <c r="J2" s="11" t="s">
        <v>19</v>
      </c>
      <c r="K2" s="8" t="s">
        <v>20</v>
      </c>
      <c r="L2" s="8" t="s">
        <v>21</v>
      </c>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row>
    <row r="3" ht="23.25" customHeight="1">
      <c r="A3" s="6" t="s">
        <v>22</v>
      </c>
      <c r="B3" s="7">
        <v>45678.0</v>
      </c>
      <c r="C3" s="8" t="s">
        <v>13</v>
      </c>
      <c r="D3" s="9" t="s">
        <v>23</v>
      </c>
      <c r="E3" s="8" t="s">
        <v>24</v>
      </c>
      <c r="F3" s="10" t="s">
        <v>25</v>
      </c>
      <c r="G3" s="11" t="s">
        <v>26</v>
      </c>
      <c r="H3" s="8" t="s">
        <v>27</v>
      </c>
      <c r="I3" s="12" t="s">
        <v>28</v>
      </c>
      <c r="J3" s="11" t="s">
        <v>19</v>
      </c>
      <c r="K3" s="8" t="s">
        <v>29</v>
      </c>
      <c r="L3" s="8" t="s">
        <v>30</v>
      </c>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row>
    <row r="4" ht="12.75" customHeight="1">
      <c r="A4" s="6" t="s">
        <v>31</v>
      </c>
      <c r="B4" s="7">
        <v>45727.0</v>
      </c>
      <c r="C4" s="8" t="s">
        <v>13</v>
      </c>
      <c r="D4" s="14" t="s">
        <v>32</v>
      </c>
      <c r="E4" s="8" t="s">
        <v>33</v>
      </c>
      <c r="F4" s="10" t="s">
        <v>34</v>
      </c>
      <c r="G4" s="11" t="s">
        <v>35</v>
      </c>
      <c r="H4" s="15">
        <v>45658.0</v>
      </c>
      <c r="I4" s="12" t="s">
        <v>36</v>
      </c>
      <c r="J4" s="11" t="s">
        <v>19</v>
      </c>
      <c r="K4" s="8" t="s">
        <v>37</v>
      </c>
      <c r="L4" s="8" t="s">
        <v>38</v>
      </c>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row>
    <row r="5" ht="30.75" customHeight="1">
      <c r="A5" s="6" t="s">
        <v>39</v>
      </c>
      <c r="B5" s="7">
        <v>45762.0</v>
      </c>
      <c r="C5" s="8" t="s">
        <v>13</v>
      </c>
      <c r="D5" s="14" t="s">
        <v>40</v>
      </c>
      <c r="E5" s="8" t="s">
        <v>41</v>
      </c>
      <c r="F5" s="10" t="s">
        <v>42</v>
      </c>
      <c r="G5" s="11" t="s">
        <v>43</v>
      </c>
      <c r="H5" s="8" t="s">
        <v>44</v>
      </c>
      <c r="I5" s="16">
        <v>45935.0</v>
      </c>
      <c r="J5" s="11" t="s">
        <v>19</v>
      </c>
      <c r="K5" s="8" t="s">
        <v>45</v>
      </c>
      <c r="L5" s="8" t="s">
        <v>30</v>
      </c>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row>
    <row r="6" ht="12.75" customHeight="1">
      <c r="A6" s="6" t="s">
        <v>46</v>
      </c>
      <c r="B6" s="7">
        <v>45777.0</v>
      </c>
      <c r="C6" s="8" t="s">
        <v>13</v>
      </c>
      <c r="D6" s="14" t="s">
        <v>47</v>
      </c>
      <c r="E6" s="8" t="s">
        <v>48</v>
      </c>
      <c r="F6" s="17"/>
      <c r="G6" s="11" t="s">
        <v>49</v>
      </c>
      <c r="H6" s="15">
        <v>45663.0</v>
      </c>
      <c r="I6" s="12" t="s">
        <v>50</v>
      </c>
      <c r="J6" s="11" t="s">
        <v>51</v>
      </c>
      <c r="K6" s="8" t="s">
        <v>52</v>
      </c>
      <c r="L6" s="8" t="s">
        <v>21</v>
      </c>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row>
    <row r="7" ht="12.75" customHeight="1">
      <c r="A7" s="6" t="s">
        <v>53</v>
      </c>
      <c r="B7" s="7">
        <v>45777.0</v>
      </c>
      <c r="C7" s="8" t="s">
        <v>13</v>
      </c>
      <c r="D7" s="14" t="s">
        <v>54</v>
      </c>
      <c r="E7" s="8" t="s">
        <v>55</v>
      </c>
      <c r="F7" s="17"/>
      <c r="G7" s="11" t="s">
        <v>56</v>
      </c>
      <c r="H7" s="15">
        <v>45663.0</v>
      </c>
      <c r="I7" s="12" t="s">
        <v>50</v>
      </c>
      <c r="J7" s="11" t="s">
        <v>19</v>
      </c>
      <c r="K7" s="8" t="s">
        <v>57</v>
      </c>
      <c r="L7" s="8" t="s">
        <v>21</v>
      </c>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row>
    <row r="8" ht="12.75" customHeight="1">
      <c r="A8" s="6" t="s">
        <v>58</v>
      </c>
      <c r="B8" s="8" t="s">
        <v>59</v>
      </c>
      <c r="C8" s="8" t="s">
        <v>13</v>
      </c>
      <c r="D8" s="14" t="s">
        <v>60</v>
      </c>
      <c r="E8" s="8" t="s">
        <v>61</v>
      </c>
      <c r="F8" s="17"/>
      <c r="G8" s="11" t="s">
        <v>62</v>
      </c>
      <c r="H8" s="15">
        <v>45663.0</v>
      </c>
      <c r="I8" s="12" t="s">
        <v>50</v>
      </c>
      <c r="J8" s="11" t="s">
        <v>19</v>
      </c>
      <c r="K8" s="8" t="s">
        <v>63</v>
      </c>
      <c r="L8" s="8" t="s">
        <v>21</v>
      </c>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row>
    <row r="9" ht="12.75" customHeight="1">
      <c r="A9" s="6" t="s">
        <v>64</v>
      </c>
      <c r="B9" s="8" t="s">
        <v>65</v>
      </c>
      <c r="C9" s="8" t="s">
        <v>13</v>
      </c>
      <c r="D9" s="14" t="s">
        <v>66</v>
      </c>
      <c r="E9" s="8" t="s">
        <v>67</v>
      </c>
      <c r="F9" s="10" t="s">
        <v>68</v>
      </c>
      <c r="G9" s="11" t="s">
        <v>26</v>
      </c>
      <c r="H9" s="8" t="s">
        <v>69</v>
      </c>
      <c r="I9" s="16">
        <v>45664.0</v>
      </c>
      <c r="J9" s="11" t="s">
        <v>19</v>
      </c>
      <c r="K9" s="8" t="s">
        <v>29</v>
      </c>
      <c r="L9" s="8" t="s">
        <v>30</v>
      </c>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row>
    <row r="10" ht="12.75" customHeight="1">
      <c r="A10" s="6" t="s">
        <v>70</v>
      </c>
      <c r="B10" s="7">
        <v>45831.0</v>
      </c>
      <c r="C10" s="8" t="s">
        <v>13</v>
      </c>
      <c r="D10" s="14" t="s">
        <v>71</v>
      </c>
      <c r="E10" s="8" t="s">
        <v>72</v>
      </c>
      <c r="F10" s="10" t="s">
        <v>73</v>
      </c>
      <c r="G10" s="11" t="s">
        <v>74</v>
      </c>
      <c r="H10" s="8" t="s">
        <v>75</v>
      </c>
      <c r="I10" s="12" t="s">
        <v>75</v>
      </c>
      <c r="J10" s="11" t="s">
        <v>19</v>
      </c>
      <c r="K10" s="8" t="s">
        <v>76</v>
      </c>
      <c r="L10" s="8" t="s">
        <v>77</v>
      </c>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row>
    <row r="11" ht="12.75" customHeight="1">
      <c r="A11" s="6" t="s">
        <v>78</v>
      </c>
      <c r="B11" s="7">
        <v>45840.0</v>
      </c>
      <c r="C11" s="8" t="s">
        <v>13</v>
      </c>
      <c r="D11" s="14" t="s">
        <v>79</v>
      </c>
      <c r="E11" s="8" t="s">
        <v>80</v>
      </c>
      <c r="F11" s="10" t="s">
        <v>81</v>
      </c>
      <c r="G11" s="11" t="s">
        <v>82</v>
      </c>
      <c r="H11" s="15">
        <v>45695.0</v>
      </c>
      <c r="I11" s="16">
        <v>45665.0</v>
      </c>
      <c r="J11" s="11" t="s">
        <v>83</v>
      </c>
      <c r="K11" s="8" t="s">
        <v>84</v>
      </c>
      <c r="L11" s="8" t="s">
        <v>30</v>
      </c>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row>
    <row r="12" ht="12.75" customHeight="1">
      <c r="A12" s="6" t="s">
        <v>85</v>
      </c>
      <c r="B12" s="7">
        <v>45840.0</v>
      </c>
      <c r="C12" s="8" t="s">
        <v>13</v>
      </c>
      <c r="D12" s="14" t="s">
        <v>86</v>
      </c>
      <c r="E12" s="8" t="s">
        <v>87</v>
      </c>
      <c r="F12" s="10" t="s">
        <v>88</v>
      </c>
      <c r="G12" s="11" t="s">
        <v>89</v>
      </c>
      <c r="H12" s="15">
        <v>45664.0</v>
      </c>
      <c r="I12" s="12" t="s">
        <v>90</v>
      </c>
      <c r="J12" s="11" t="s">
        <v>19</v>
      </c>
      <c r="K12" s="8" t="s">
        <v>91</v>
      </c>
      <c r="L12" s="8" t="s">
        <v>21</v>
      </c>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row>
    <row r="13" ht="12.75" customHeight="1">
      <c r="A13" s="6" t="s">
        <v>92</v>
      </c>
      <c r="B13" s="7">
        <v>45840.0</v>
      </c>
      <c r="C13" s="8" t="s">
        <v>13</v>
      </c>
      <c r="D13" s="14" t="s">
        <v>93</v>
      </c>
      <c r="E13" s="8" t="s">
        <v>94</v>
      </c>
      <c r="F13" s="17"/>
      <c r="G13" s="11" t="s">
        <v>26</v>
      </c>
      <c r="H13" s="15">
        <v>45667.0</v>
      </c>
      <c r="I13" s="12" t="s">
        <v>95</v>
      </c>
      <c r="J13" s="11" t="s">
        <v>19</v>
      </c>
      <c r="K13" s="8" t="s">
        <v>96</v>
      </c>
      <c r="L13" s="8" t="s">
        <v>38</v>
      </c>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row>
    <row r="14" ht="12.75" customHeight="1">
      <c r="A14" s="18"/>
      <c r="B14" s="13"/>
      <c r="C14" s="13"/>
      <c r="D14" s="13"/>
      <c r="E14" s="13"/>
      <c r="F14" s="19"/>
      <c r="G14" s="20"/>
      <c r="H14" s="13"/>
      <c r="I14" s="21"/>
      <c r="J14" s="5"/>
      <c r="K14" s="5"/>
      <c r="L14" s="5"/>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row>
    <row r="15" ht="12.75" customHeight="1">
      <c r="A15" s="22"/>
      <c r="B15" s="23"/>
      <c r="C15" s="24"/>
      <c r="D15" s="24"/>
      <c r="E15" s="24"/>
      <c r="F15" s="25"/>
      <c r="G15" s="20"/>
      <c r="H15" s="26"/>
      <c r="I15" s="27"/>
      <c r="J15" s="5"/>
      <c r="K15" s="5"/>
      <c r="L15" s="24"/>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row>
    <row r="16" ht="12.75" customHeight="1">
      <c r="A16" s="22"/>
      <c r="B16" s="23"/>
      <c r="C16" s="24"/>
      <c r="D16" s="24"/>
      <c r="E16" s="24"/>
      <c r="F16" s="25"/>
      <c r="G16" s="20"/>
      <c r="H16" s="26"/>
      <c r="I16" s="27"/>
      <c r="J16" s="5"/>
      <c r="K16" s="5"/>
      <c r="L16" s="24"/>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row>
    <row r="17" ht="12.75" customHeight="1">
      <c r="A17" s="22"/>
      <c r="B17" s="23"/>
      <c r="C17" s="24"/>
      <c r="D17" s="24"/>
      <c r="E17" s="24"/>
      <c r="F17" s="25"/>
      <c r="G17" s="20"/>
      <c r="H17" s="26"/>
      <c r="I17" s="27"/>
      <c r="J17" s="5"/>
      <c r="K17" s="5"/>
      <c r="L17" s="24"/>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row>
    <row r="18" ht="12.75" customHeight="1">
      <c r="A18" s="22"/>
      <c r="B18" s="23"/>
      <c r="C18" s="24"/>
      <c r="D18" s="24"/>
      <c r="E18" s="24"/>
      <c r="F18" s="25"/>
      <c r="G18" s="20"/>
      <c r="H18" s="26"/>
      <c r="I18" s="27"/>
      <c r="J18" s="5"/>
      <c r="K18" s="5"/>
      <c r="L18" s="24"/>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row>
    <row r="19" ht="12.75" customHeight="1">
      <c r="A19" s="22"/>
      <c r="B19" s="23"/>
      <c r="C19" s="24"/>
      <c r="D19" s="24"/>
      <c r="E19" s="24"/>
      <c r="F19" s="25"/>
      <c r="G19" s="20"/>
      <c r="H19" s="26"/>
      <c r="I19" s="27"/>
      <c r="J19" s="5"/>
      <c r="K19" s="5"/>
      <c r="L19" s="24"/>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row>
    <row r="20" ht="12.75" customHeight="1">
      <c r="A20" s="22"/>
      <c r="B20" s="23"/>
      <c r="C20" s="24"/>
      <c r="D20" s="24"/>
      <c r="E20" s="24"/>
      <c r="F20" s="25"/>
      <c r="G20" s="20"/>
      <c r="H20" s="26"/>
      <c r="I20" s="27"/>
      <c r="J20" s="5"/>
      <c r="K20" s="5"/>
      <c r="L20" s="24"/>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row>
    <row r="21" ht="12.75" customHeight="1">
      <c r="A21" s="22"/>
      <c r="B21" s="23"/>
      <c r="C21" s="24"/>
      <c r="D21" s="24"/>
      <c r="E21" s="24"/>
      <c r="F21" s="25"/>
      <c r="G21" s="20"/>
      <c r="H21" s="26"/>
      <c r="I21" s="27"/>
      <c r="J21" s="5"/>
      <c r="K21" s="5"/>
      <c r="L21" s="24"/>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row>
    <row r="22" ht="12.75" customHeight="1">
      <c r="A22" s="22"/>
      <c r="B22" s="23"/>
      <c r="C22" s="24"/>
      <c r="D22" s="24"/>
      <c r="E22" s="24"/>
      <c r="F22" s="25"/>
      <c r="G22" s="20"/>
      <c r="H22" s="26"/>
      <c r="I22" s="27"/>
      <c r="J22" s="5"/>
      <c r="K22" s="5"/>
      <c r="L22" s="24"/>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row>
    <row r="23" ht="12.75" customHeight="1">
      <c r="A23" s="22"/>
      <c r="B23" s="23"/>
      <c r="C23" s="24"/>
      <c r="D23" s="24"/>
      <c r="E23" s="24"/>
      <c r="F23" s="25"/>
      <c r="G23" s="20"/>
      <c r="H23" s="26"/>
      <c r="I23" s="27"/>
      <c r="J23" s="5"/>
      <c r="K23" s="5"/>
      <c r="L23" s="24"/>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row>
    <row r="24" ht="12.75" customHeight="1">
      <c r="A24" s="22"/>
      <c r="B24" s="23"/>
      <c r="C24" s="24"/>
      <c r="D24" s="24"/>
      <c r="E24" s="24"/>
      <c r="F24" s="25"/>
      <c r="G24" s="20"/>
      <c r="H24" s="26"/>
      <c r="I24" s="27"/>
      <c r="J24" s="5"/>
      <c r="K24" s="5"/>
      <c r="L24" s="24"/>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row>
    <row r="25" ht="12.75" customHeight="1">
      <c r="A25" s="22"/>
      <c r="B25" s="23"/>
      <c r="C25" s="24"/>
      <c r="D25" s="24"/>
      <c r="E25" s="24"/>
      <c r="F25" s="25"/>
      <c r="G25" s="20"/>
      <c r="H25" s="26"/>
      <c r="I25" s="27"/>
      <c r="J25" s="5"/>
      <c r="K25" s="5"/>
      <c r="L25" s="24"/>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row>
    <row r="26" ht="27.75" customHeight="1">
      <c r="A26" s="22"/>
      <c r="B26" s="23"/>
      <c r="C26" s="24"/>
      <c r="D26" s="24"/>
      <c r="E26" s="24"/>
      <c r="F26" s="25"/>
      <c r="G26" s="20"/>
      <c r="H26" s="26"/>
      <c r="I26" s="27"/>
      <c r="J26" s="5"/>
      <c r="K26" s="5"/>
      <c r="L26" s="24"/>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row>
    <row r="27" ht="12.75" customHeight="1">
      <c r="A27" s="22"/>
      <c r="B27" s="23"/>
      <c r="C27" s="24"/>
      <c r="D27" s="24"/>
      <c r="E27" s="24"/>
      <c r="F27" s="25"/>
      <c r="G27" s="20"/>
      <c r="H27" s="26"/>
      <c r="I27" s="27"/>
      <c r="J27" s="5"/>
      <c r="K27" s="5"/>
      <c r="L27" s="24"/>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row>
    <row r="28" ht="12.75" customHeight="1">
      <c r="A28" s="22"/>
      <c r="B28" s="23"/>
      <c r="C28" s="24"/>
      <c r="D28" s="24"/>
      <c r="E28" s="24"/>
      <c r="F28" s="25"/>
      <c r="G28" s="20"/>
      <c r="H28" s="26"/>
      <c r="I28" s="27"/>
      <c r="J28" s="5"/>
      <c r="K28" s="5"/>
      <c r="L28" s="24"/>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row>
    <row r="29" ht="12.75" customHeight="1">
      <c r="A29" s="22"/>
      <c r="B29" s="23"/>
      <c r="C29" s="24"/>
      <c r="D29" s="24"/>
      <c r="E29" s="24"/>
      <c r="F29" s="25"/>
      <c r="G29" s="20"/>
      <c r="H29" s="26"/>
      <c r="I29" s="27"/>
      <c r="J29" s="5"/>
      <c r="K29" s="5"/>
      <c r="L29" s="24"/>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row>
    <row r="30" ht="12.75" customHeight="1">
      <c r="A30" s="22"/>
      <c r="B30" s="23"/>
      <c r="C30" s="24"/>
      <c r="D30" s="24"/>
      <c r="E30" s="24"/>
      <c r="F30" s="28"/>
      <c r="G30" s="20"/>
      <c r="H30" s="26"/>
      <c r="I30" s="27"/>
      <c r="J30" s="5"/>
      <c r="K30" s="5"/>
      <c r="L30" s="24"/>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row>
    <row r="31" ht="12.75" customHeight="1">
      <c r="A31" s="22"/>
      <c r="B31" s="23"/>
      <c r="C31" s="24"/>
      <c r="D31" s="24"/>
      <c r="E31" s="24"/>
      <c r="F31" s="25"/>
      <c r="G31" s="20"/>
      <c r="H31" s="26"/>
      <c r="I31" s="27"/>
      <c r="J31" s="5"/>
      <c r="K31" s="5"/>
      <c r="L31" s="24"/>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row>
    <row r="32" ht="12.75" customHeight="1">
      <c r="A32" s="22"/>
      <c r="B32" s="23"/>
      <c r="C32" s="24"/>
      <c r="D32" s="24"/>
      <c r="E32" s="24"/>
      <c r="F32" s="25"/>
      <c r="G32" s="20"/>
      <c r="H32" s="26"/>
      <c r="I32" s="27"/>
      <c r="J32" s="5"/>
      <c r="K32" s="5"/>
      <c r="L32" s="24"/>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row>
    <row r="33" ht="12.75" customHeight="1">
      <c r="A33" s="22"/>
      <c r="B33" s="23"/>
      <c r="C33" s="24"/>
      <c r="D33" s="24"/>
      <c r="E33" s="24"/>
      <c r="F33" s="25"/>
      <c r="G33" s="20"/>
      <c r="H33" s="26"/>
      <c r="I33" s="27"/>
      <c r="J33" s="5"/>
      <c r="K33" s="5"/>
      <c r="L33" s="24"/>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row>
    <row r="34" ht="12.75" customHeight="1">
      <c r="A34" s="22"/>
      <c r="B34" s="23"/>
      <c r="C34" s="24"/>
      <c r="D34" s="24"/>
      <c r="E34" s="24"/>
      <c r="F34" s="25"/>
      <c r="G34" s="20"/>
      <c r="H34" s="26"/>
      <c r="I34" s="27"/>
      <c r="J34" s="5"/>
      <c r="K34" s="5"/>
      <c r="L34" s="24"/>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row>
    <row r="35" ht="12.75" customHeight="1">
      <c r="A35" s="22"/>
      <c r="B35" s="23"/>
      <c r="C35" s="24"/>
      <c r="D35" s="24"/>
      <c r="E35" s="24"/>
      <c r="F35" s="25"/>
      <c r="G35" s="20"/>
      <c r="H35" s="26"/>
      <c r="I35" s="27"/>
      <c r="J35" s="5"/>
      <c r="K35" s="5"/>
      <c r="L35" s="24"/>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row>
    <row r="36" ht="12.75" customHeight="1">
      <c r="A36" s="22"/>
      <c r="B36" s="23"/>
      <c r="C36" s="24"/>
      <c r="D36" s="24"/>
      <c r="E36" s="24"/>
      <c r="F36" s="25"/>
      <c r="G36" s="20"/>
      <c r="H36" s="26"/>
      <c r="I36" s="27"/>
      <c r="J36" s="5"/>
      <c r="K36" s="5"/>
      <c r="L36" s="24"/>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row>
    <row r="37" ht="12.75" customHeight="1">
      <c r="A37" s="22"/>
      <c r="B37" s="23"/>
      <c r="C37" s="24"/>
      <c r="D37" s="24"/>
      <c r="E37" s="24"/>
      <c r="F37" s="25" t="s">
        <v>97</v>
      </c>
      <c r="G37" s="20"/>
      <c r="H37" s="26"/>
      <c r="I37" s="27"/>
      <c r="J37" s="5"/>
      <c r="K37" s="5"/>
      <c r="L37" s="24"/>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row>
    <row r="38" ht="12.75" customHeight="1">
      <c r="A38" s="22"/>
      <c r="B38" s="23"/>
      <c r="C38" s="24"/>
      <c r="D38" s="24"/>
      <c r="E38" s="24"/>
      <c r="F38" s="25" t="s">
        <v>97</v>
      </c>
      <c r="G38" s="20"/>
      <c r="H38" s="26"/>
      <c r="I38" s="27"/>
      <c r="J38" s="5"/>
      <c r="K38" s="5"/>
      <c r="L38" s="24"/>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row>
    <row r="39" ht="12.75" customHeight="1">
      <c r="A39" s="22"/>
      <c r="B39" s="23"/>
      <c r="C39" s="24"/>
      <c r="D39" s="24"/>
      <c r="E39" s="24"/>
      <c r="F39" s="25" t="s">
        <v>97</v>
      </c>
      <c r="G39" s="20"/>
      <c r="H39" s="26"/>
      <c r="I39" s="27"/>
      <c r="J39" s="5"/>
      <c r="K39" s="5"/>
      <c r="L39" s="24"/>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row>
    <row r="40" ht="12.75" customHeight="1">
      <c r="A40" s="22"/>
      <c r="B40" s="23"/>
      <c r="C40" s="24"/>
      <c r="D40" s="24"/>
      <c r="E40" s="24"/>
      <c r="F40" s="25" t="s">
        <v>97</v>
      </c>
      <c r="G40" s="20"/>
      <c r="H40" s="26"/>
      <c r="I40" s="27"/>
      <c r="J40" s="5"/>
      <c r="K40" s="5"/>
      <c r="L40" s="24"/>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row>
    <row r="41" ht="12.75" customHeight="1">
      <c r="A41" s="22"/>
      <c r="B41" s="23"/>
      <c r="C41" s="24"/>
      <c r="D41" s="24"/>
      <c r="E41" s="24"/>
      <c r="F41" s="25" t="s">
        <v>97</v>
      </c>
      <c r="G41" s="20"/>
      <c r="H41" s="26"/>
      <c r="I41" s="27"/>
      <c r="J41" s="5"/>
      <c r="K41" s="5"/>
      <c r="L41" s="24"/>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row>
    <row r="42" ht="12.75" customHeight="1">
      <c r="A42" s="22"/>
      <c r="B42" s="23"/>
      <c r="C42" s="24"/>
      <c r="D42" s="24"/>
      <c r="E42" s="24"/>
      <c r="F42" s="25" t="s">
        <v>97</v>
      </c>
      <c r="G42" s="20"/>
      <c r="H42" s="26"/>
      <c r="I42" s="27"/>
      <c r="J42" s="5"/>
      <c r="K42" s="5"/>
      <c r="L42" s="24"/>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row>
    <row r="43" ht="12.75" customHeight="1">
      <c r="A43" s="22"/>
      <c r="B43" s="23"/>
      <c r="C43" s="24"/>
      <c r="D43" s="24"/>
      <c r="E43" s="24"/>
      <c r="F43" s="25" t="s">
        <v>97</v>
      </c>
      <c r="G43" s="20"/>
      <c r="H43" s="26"/>
      <c r="I43" s="27"/>
      <c r="J43" s="5"/>
      <c r="K43" s="5"/>
      <c r="L43" s="24"/>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row>
    <row r="44" ht="12.75" customHeight="1">
      <c r="A44" s="22"/>
      <c r="B44" s="23"/>
      <c r="C44" s="24"/>
      <c r="D44" s="24"/>
      <c r="E44" s="24"/>
      <c r="F44" s="25" t="s">
        <v>97</v>
      </c>
      <c r="G44" s="20"/>
      <c r="H44" s="26"/>
      <c r="I44" s="27"/>
      <c r="J44" s="5"/>
      <c r="K44" s="5"/>
      <c r="L44" s="24"/>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row>
    <row r="45" ht="12.75" customHeight="1">
      <c r="A45" s="22"/>
      <c r="B45" s="23"/>
      <c r="C45" s="24"/>
      <c r="D45" s="24"/>
      <c r="E45" s="24"/>
      <c r="F45" s="25"/>
      <c r="G45" s="20"/>
      <c r="H45" s="26"/>
      <c r="I45" s="27"/>
      <c r="J45" s="5"/>
      <c r="K45" s="5"/>
      <c r="L45" s="24"/>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row>
    <row r="46" ht="12.75" customHeight="1">
      <c r="A46" s="22"/>
      <c r="B46" s="23"/>
      <c r="C46" s="24"/>
      <c r="D46" s="24"/>
      <c r="E46" s="24"/>
      <c r="F46" s="25"/>
      <c r="G46" s="20"/>
      <c r="H46" s="26"/>
      <c r="I46" s="27"/>
      <c r="J46" s="5"/>
      <c r="K46" s="5"/>
      <c r="L46" s="24"/>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row>
    <row r="47" ht="12.75" customHeight="1">
      <c r="A47" s="22"/>
      <c r="B47" s="23"/>
      <c r="C47" s="24"/>
      <c r="D47" s="24"/>
      <c r="E47" s="24"/>
      <c r="F47" s="25"/>
      <c r="G47" s="20"/>
      <c r="H47" s="26"/>
      <c r="I47" s="27"/>
      <c r="J47" s="5"/>
      <c r="K47" s="5"/>
      <c r="L47" s="24"/>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row>
    <row r="48" ht="12.75" customHeight="1">
      <c r="A48" s="22"/>
      <c r="B48" s="23"/>
      <c r="C48" s="24"/>
      <c r="D48" s="24"/>
      <c r="E48" s="24"/>
      <c r="F48" s="25"/>
      <c r="G48" s="20"/>
      <c r="H48" s="26"/>
      <c r="I48" s="27"/>
      <c r="J48" s="5"/>
      <c r="K48" s="5"/>
      <c r="L48" s="24"/>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row>
    <row r="49" ht="12.75" customHeight="1">
      <c r="A49" s="22"/>
      <c r="B49" s="23"/>
      <c r="C49" s="24"/>
      <c r="D49" s="24"/>
      <c r="E49" s="24"/>
      <c r="F49" s="25"/>
      <c r="G49" s="20"/>
      <c r="H49" s="26"/>
      <c r="I49" s="27"/>
      <c r="J49" s="5"/>
      <c r="K49" s="5"/>
      <c r="L49" s="24"/>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row>
    <row r="50" ht="12.75" customHeight="1">
      <c r="A50" s="22"/>
      <c r="B50" s="23"/>
      <c r="C50" s="24"/>
      <c r="D50" s="24"/>
      <c r="E50" s="24"/>
      <c r="F50" s="25"/>
      <c r="G50" s="20"/>
      <c r="H50" s="26"/>
      <c r="I50" s="27"/>
      <c r="J50" s="5"/>
      <c r="K50" s="5"/>
      <c r="L50" s="24"/>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row>
    <row r="51" ht="12.75" customHeight="1">
      <c r="A51" s="22"/>
      <c r="B51" s="23"/>
      <c r="C51" s="24"/>
      <c r="D51" s="24"/>
      <c r="E51" s="24"/>
      <c r="F51" s="25"/>
      <c r="G51" s="20"/>
      <c r="H51" s="26"/>
      <c r="I51" s="27"/>
      <c r="J51" s="5"/>
      <c r="K51" s="5"/>
      <c r="L51" s="24"/>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row>
    <row r="52" ht="12.75" customHeight="1">
      <c r="A52" s="22"/>
      <c r="B52" s="23"/>
      <c r="C52" s="24"/>
      <c r="D52" s="24"/>
      <c r="E52" s="24"/>
      <c r="F52" s="25"/>
      <c r="G52" s="20"/>
      <c r="H52" s="26"/>
      <c r="I52" s="27"/>
      <c r="J52" s="5"/>
      <c r="K52" s="5"/>
      <c r="L52" s="24"/>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row>
    <row r="53" ht="12.75" customHeight="1">
      <c r="A53" s="22"/>
      <c r="B53" s="23"/>
      <c r="C53" s="24"/>
      <c r="D53" s="24"/>
      <c r="E53" s="24"/>
      <c r="F53" s="25"/>
      <c r="G53" s="20"/>
      <c r="H53" s="26"/>
      <c r="I53" s="27"/>
      <c r="J53" s="5"/>
      <c r="K53" s="5"/>
      <c r="L53" s="24"/>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row>
    <row r="54" ht="12.75" customHeight="1">
      <c r="A54" s="22"/>
      <c r="B54" s="23"/>
      <c r="C54" s="24"/>
      <c r="D54" s="24"/>
      <c r="E54" s="24"/>
      <c r="F54" s="25"/>
      <c r="G54" s="20"/>
      <c r="H54" s="26"/>
      <c r="I54" s="27"/>
      <c r="J54" s="5"/>
      <c r="K54" s="5"/>
      <c r="L54" s="24"/>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row>
    <row r="55" ht="12.75" customHeight="1">
      <c r="A55" s="22"/>
      <c r="B55" s="23"/>
      <c r="C55" s="24"/>
      <c r="D55" s="24"/>
      <c r="E55" s="24"/>
      <c r="F55" s="25"/>
      <c r="G55" s="20"/>
      <c r="H55" s="26"/>
      <c r="I55" s="27"/>
      <c r="J55" s="5"/>
      <c r="K55" s="5"/>
      <c r="L55" s="24"/>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row>
    <row r="56" ht="12.75" customHeight="1">
      <c r="A56" s="22"/>
      <c r="B56" s="23"/>
      <c r="C56" s="24"/>
      <c r="D56" s="24"/>
      <c r="E56" s="24"/>
      <c r="F56" s="25"/>
      <c r="G56" s="20"/>
      <c r="H56" s="26"/>
      <c r="I56" s="27"/>
      <c r="J56" s="5"/>
      <c r="K56" s="5"/>
      <c r="L56" s="24"/>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row>
    <row r="57" ht="12.75" customHeight="1">
      <c r="A57" s="22"/>
      <c r="B57" s="23"/>
      <c r="C57" s="24"/>
      <c r="D57" s="24"/>
      <c r="E57" s="24"/>
      <c r="F57" s="25"/>
      <c r="G57" s="20"/>
      <c r="H57" s="26"/>
      <c r="I57" s="27"/>
      <c r="J57" s="5"/>
      <c r="K57" s="5"/>
      <c r="L57" s="24"/>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row>
    <row r="58" ht="12.75" customHeight="1">
      <c r="A58" s="22"/>
      <c r="B58" s="23"/>
      <c r="C58" s="24"/>
      <c r="D58" s="24"/>
      <c r="E58" s="24"/>
      <c r="F58" s="25"/>
      <c r="G58" s="20"/>
      <c r="H58" s="26"/>
      <c r="I58" s="27"/>
      <c r="J58" s="5"/>
      <c r="K58" s="5"/>
      <c r="L58" s="24"/>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row>
    <row r="59" ht="12.75" customHeight="1">
      <c r="A59" s="22"/>
      <c r="B59" s="23"/>
      <c r="C59" s="24"/>
      <c r="D59" s="24"/>
      <c r="E59" s="24"/>
      <c r="F59" s="25"/>
      <c r="G59" s="20"/>
      <c r="H59" s="26"/>
      <c r="I59" s="27"/>
      <c r="J59" s="5"/>
      <c r="K59" s="5"/>
      <c r="L59" s="24"/>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row>
    <row r="60" ht="12.75" customHeight="1">
      <c r="A60" s="22"/>
      <c r="B60" s="23"/>
      <c r="C60" s="24"/>
      <c r="D60" s="24"/>
      <c r="E60" s="24"/>
      <c r="F60" s="25"/>
      <c r="G60" s="20"/>
      <c r="H60" s="26"/>
      <c r="I60" s="27"/>
      <c r="J60" s="5"/>
      <c r="K60" s="5"/>
      <c r="L60" s="24"/>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row>
    <row r="61" ht="12.75" customHeight="1">
      <c r="A61" s="22"/>
      <c r="B61" s="23"/>
      <c r="C61" s="24"/>
      <c r="D61" s="24"/>
      <c r="E61" s="24"/>
      <c r="F61" s="25"/>
      <c r="G61" s="20"/>
      <c r="H61" s="26"/>
      <c r="I61" s="27"/>
      <c r="J61" s="5"/>
      <c r="K61" s="5"/>
      <c r="L61" s="24"/>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row>
    <row r="62" ht="12.75" customHeight="1">
      <c r="A62" s="22"/>
      <c r="B62" s="23"/>
      <c r="C62" s="24"/>
      <c r="D62" s="24"/>
      <c r="E62" s="24"/>
      <c r="F62" s="25"/>
      <c r="G62" s="20"/>
      <c r="H62" s="26"/>
      <c r="I62" s="27"/>
      <c r="J62" s="5"/>
      <c r="K62" s="5"/>
      <c r="L62" s="24"/>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row>
    <row r="63" ht="12.75" customHeight="1">
      <c r="A63" s="22"/>
      <c r="B63" s="23"/>
      <c r="C63" s="24"/>
      <c r="D63" s="24"/>
      <c r="E63" s="24"/>
      <c r="F63" s="25"/>
      <c r="G63" s="20"/>
      <c r="H63" s="26"/>
      <c r="I63" s="27"/>
      <c r="J63" s="5"/>
      <c r="K63" s="5"/>
      <c r="L63" s="24"/>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row>
    <row r="64" ht="12.75" customHeight="1">
      <c r="A64" s="22"/>
      <c r="B64" s="23"/>
      <c r="C64" s="24"/>
      <c r="D64" s="24"/>
      <c r="E64" s="24"/>
      <c r="F64" s="25"/>
      <c r="G64" s="20"/>
      <c r="H64" s="26"/>
      <c r="I64" s="27"/>
      <c r="J64" s="5"/>
      <c r="K64" s="5"/>
      <c r="L64" s="24"/>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row>
    <row r="65" ht="12.75" customHeight="1">
      <c r="A65" s="22"/>
      <c r="B65" s="23"/>
      <c r="C65" s="24"/>
      <c r="D65" s="24"/>
      <c r="E65" s="24"/>
      <c r="F65" s="25"/>
      <c r="G65" s="20"/>
      <c r="H65" s="26"/>
      <c r="I65" s="27"/>
      <c r="J65" s="5"/>
      <c r="K65" s="5"/>
      <c r="L65" s="24"/>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row>
    <row r="66" ht="12.75" customHeight="1">
      <c r="A66" s="22"/>
      <c r="B66" s="23"/>
      <c r="C66" s="24"/>
      <c r="D66" s="24"/>
      <c r="E66" s="24"/>
      <c r="F66" s="25"/>
      <c r="G66" s="20"/>
      <c r="H66" s="26"/>
      <c r="I66" s="27"/>
      <c r="J66" s="5"/>
      <c r="K66" s="5"/>
      <c r="L66" s="24"/>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row>
    <row r="67" ht="12.75" customHeight="1">
      <c r="A67" s="22"/>
      <c r="B67" s="23"/>
      <c r="C67" s="24"/>
      <c r="D67" s="24"/>
      <c r="E67" s="24"/>
      <c r="F67" s="25"/>
      <c r="G67" s="20"/>
      <c r="H67" s="26"/>
      <c r="I67" s="27"/>
      <c r="J67" s="5"/>
      <c r="K67" s="5"/>
      <c r="L67" s="24"/>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row>
    <row r="68" ht="12.75" customHeight="1">
      <c r="A68" s="22"/>
      <c r="B68" s="23"/>
      <c r="C68" s="24"/>
      <c r="D68" s="24"/>
      <c r="E68" s="24"/>
      <c r="F68" s="25"/>
      <c r="G68" s="20"/>
      <c r="H68" s="26"/>
      <c r="I68" s="27"/>
      <c r="J68" s="5"/>
      <c r="K68" s="5"/>
      <c r="L68" s="24"/>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row>
    <row r="69" ht="12.75" customHeight="1">
      <c r="A69" s="22"/>
      <c r="B69" s="23"/>
      <c r="C69" s="24"/>
      <c r="D69" s="24"/>
      <c r="E69" s="24"/>
      <c r="F69" s="25"/>
      <c r="G69" s="20"/>
      <c r="H69" s="26"/>
      <c r="I69" s="27"/>
      <c r="J69" s="5"/>
      <c r="K69" s="5"/>
      <c r="L69" s="24"/>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row>
    <row r="70" ht="12.75" customHeight="1">
      <c r="A70" s="22"/>
      <c r="B70" s="23"/>
      <c r="C70" s="24"/>
      <c r="D70" s="24"/>
      <c r="E70" s="24"/>
      <c r="F70" s="25"/>
      <c r="G70" s="20"/>
      <c r="H70" s="29"/>
      <c r="I70" s="30"/>
      <c r="J70" s="5"/>
      <c r="K70" s="5"/>
      <c r="L70" s="24"/>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row>
    <row r="71" ht="12.75" customHeight="1">
      <c r="A71" s="22"/>
      <c r="B71" s="23"/>
      <c r="C71" s="24"/>
      <c r="D71" s="24"/>
      <c r="E71" s="24"/>
      <c r="F71" s="25"/>
      <c r="G71" s="20"/>
      <c r="H71" s="29"/>
      <c r="I71" s="30"/>
      <c r="J71" s="5"/>
      <c r="K71" s="5"/>
      <c r="L71" s="24"/>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row>
    <row r="72" ht="12.75" customHeight="1">
      <c r="A72" s="22"/>
      <c r="B72" s="23"/>
      <c r="C72" s="24"/>
      <c r="D72" s="24"/>
      <c r="E72" s="24"/>
      <c r="F72" s="25"/>
      <c r="G72" s="20"/>
      <c r="H72" s="29"/>
      <c r="I72" s="30"/>
      <c r="J72" s="5"/>
      <c r="K72" s="5"/>
      <c r="L72" s="24"/>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row>
    <row r="73" ht="12.75" customHeight="1">
      <c r="A73" s="22"/>
      <c r="B73" s="23"/>
      <c r="C73" s="24"/>
      <c r="D73" s="24"/>
      <c r="E73" s="24"/>
      <c r="F73" s="25"/>
      <c r="G73" s="20"/>
      <c r="H73" s="29"/>
      <c r="I73" s="30"/>
      <c r="J73" s="5"/>
      <c r="K73" s="5"/>
      <c r="L73" s="24"/>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row>
    <row r="74" ht="12.75" customHeight="1">
      <c r="A74" s="22"/>
      <c r="B74" s="23"/>
      <c r="C74" s="24"/>
      <c r="D74" s="24"/>
      <c r="E74" s="24"/>
      <c r="F74" s="25"/>
      <c r="G74" s="20"/>
      <c r="H74" s="29"/>
      <c r="I74" s="30"/>
      <c r="J74" s="5"/>
      <c r="K74" s="5"/>
      <c r="L74" s="24"/>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row>
    <row r="75" ht="12.75" customHeight="1">
      <c r="A75" s="22"/>
      <c r="B75" s="23"/>
      <c r="C75" s="24"/>
      <c r="D75" s="24"/>
      <c r="E75" s="24"/>
      <c r="F75" s="25"/>
      <c r="G75" s="20"/>
      <c r="H75" s="29"/>
      <c r="I75" s="30"/>
      <c r="J75" s="5"/>
      <c r="K75" s="5"/>
      <c r="L75" s="24"/>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row>
    <row r="76" ht="12.75" customHeight="1">
      <c r="A76" s="22"/>
      <c r="B76" s="23"/>
      <c r="C76" s="24"/>
      <c r="D76" s="24"/>
      <c r="E76" s="24"/>
      <c r="F76" s="25"/>
      <c r="G76" s="20"/>
      <c r="H76" s="29"/>
      <c r="I76" s="30"/>
      <c r="J76" s="5"/>
      <c r="K76" s="5"/>
      <c r="L76" s="24"/>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row>
    <row r="77" ht="12.75" customHeight="1">
      <c r="A77" s="22"/>
      <c r="B77" s="23"/>
      <c r="C77" s="24"/>
      <c r="D77" s="24"/>
      <c r="E77" s="24"/>
      <c r="F77" s="25"/>
      <c r="G77" s="20"/>
      <c r="H77" s="29"/>
      <c r="I77" s="30"/>
      <c r="J77" s="5"/>
      <c r="K77" s="5"/>
      <c r="L77" s="24"/>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row>
    <row r="78" ht="12.75" customHeight="1">
      <c r="A78" s="22"/>
      <c r="B78" s="23"/>
      <c r="C78" s="24"/>
      <c r="D78" s="24"/>
      <c r="E78" s="24"/>
      <c r="F78" s="25"/>
      <c r="G78" s="20"/>
      <c r="H78" s="29"/>
      <c r="I78" s="30"/>
      <c r="J78" s="5"/>
      <c r="K78" s="5"/>
      <c r="L78" s="24"/>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row>
    <row r="79" ht="12.75" customHeight="1">
      <c r="A79" s="22"/>
      <c r="B79" s="23"/>
      <c r="C79" s="24"/>
      <c r="D79" s="24"/>
      <c r="E79" s="24"/>
      <c r="F79" s="25"/>
      <c r="G79" s="20"/>
      <c r="H79" s="29"/>
      <c r="I79" s="30"/>
      <c r="J79" s="5"/>
      <c r="K79" s="5"/>
      <c r="L79" s="24"/>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row>
    <row r="80" ht="12.75" customHeight="1">
      <c r="A80" s="22"/>
      <c r="B80" s="23"/>
      <c r="C80" s="24"/>
      <c r="D80" s="24"/>
      <c r="E80" s="24"/>
      <c r="F80" s="25"/>
      <c r="G80" s="20"/>
      <c r="H80" s="29"/>
      <c r="I80" s="30"/>
      <c r="J80" s="5"/>
      <c r="K80" s="5"/>
      <c r="L80" s="24"/>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row>
    <row r="81" ht="12.75" customHeight="1">
      <c r="A81" s="22"/>
      <c r="B81" s="23"/>
      <c r="C81" s="24"/>
      <c r="D81" s="24"/>
      <c r="E81" s="24"/>
      <c r="F81" s="25"/>
      <c r="G81" s="20"/>
      <c r="H81" s="29"/>
      <c r="I81" s="30"/>
      <c r="J81" s="5"/>
      <c r="K81" s="5"/>
      <c r="L81" s="24"/>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row>
    <row r="82" ht="12.75" customHeight="1">
      <c r="A82" s="22"/>
      <c r="B82" s="23"/>
      <c r="C82" s="24"/>
      <c r="D82" s="24"/>
      <c r="E82" s="24"/>
      <c r="F82" s="25"/>
      <c r="G82" s="20"/>
      <c r="H82" s="29"/>
      <c r="I82" s="30"/>
      <c r="J82" s="5"/>
      <c r="K82" s="5"/>
      <c r="L82" s="24"/>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row>
    <row r="83" ht="12.75" customHeight="1">
      <c r="A83" s="22"/>
      <c r="B83" s="23"/>
      <c r="C83" s="24"/>
      <c r="D83" s="24"/>
      <c r="E83" s="24"/>
      <c r="F83" s="25"/>
      <c r="G83" s="20"/>
      <c r="H83" s="29"/>
      <c r="I83" s="30"/>
      <c r="J83" s="5"/>
      <c r="K83" s="5"/>
      <c r="L83" s="24"/>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row>
    <row r="84" ht="12.75" customHeight="1">
      <c r="A84" s="22"/>
      <c r="B84" s="23"/>
      <c r="C84" s="24"/>
      <c r="D84" s="24"/>
      <c r="E84" s="24"/>
      <c r="F84" s="25"/>
      <c r="G84" s="20"/>
      <c r="H84" s="29"/>
      <c r="I84" s="30"/>
      <c r="J84" s="5"/>
      <c r="K84" s="5"/>
      <c r="L84" s="24"/>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row>
    <row r="85" ht="12.75" customHeight="1">
      <c r="A85" s="22"/>
      <c r="B85" s="23"/>
      <c r="C85" s="24"/>
      <c r="D85" s="24"/>
      <c r="E85" s="24"/>
      <c r="F85" s="25"/>
      <c r="G85" s="20"/>
      <c r="H85" s="29"/>
      <c r="I85" s="30"/>
      <c r="J85" s="5"/>
      <c r="K85" s="5"/>
      <c r="L85" s="24"/>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row>
    <row r="86" ht="12.75" customHeight="1">
      <c r="A86" s="31"/>
      <c r="B86" s="23"/>
      <c r="C86" s="24"/>
      <c r="D86" s="24"/>
      <c r="E86" s="24"/>
      <c r="F86" s="25"/>
      <c r="G86" s="20"/>
      <c r="H86" s="29"/>
      <c r="I86" s="30"/>
      <c r="J86" s="5"/>
      <c r="K86" s="5"/>
      <c r="L86" s="24"/>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row>
    <row r="87" ht="12.75" customHeight="1">
      <c r="A87" s="22"/>
      <c r="B87" s="23"/>
      <c r="C87" s="24"/>
      <c r="D87" s="24"/>
      <c r="E87" s="24"/>
      <c r="F87" s="25"/>
      <c r="G87" s="20"/>
      <c r="H87" s="29"/>
      <c r="I87" s="30"/>
      <c r="J87" s="5"/>
      <c r="K87" s="5"/>
      <c r="L87" s="24"/>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row>
    <row r="88" ht="12.75" customHeight="1">
      <c r="A88" s="22"/>
      <c r="B88" s="23"/>
      <c r="C88" s="24"/>
      <c r="D88" s="24"/>
      <c r="E88" s="24"/>
      <c r="F88" s="25"/>
      <c r="G88" s="20"/>
      <c r="H88" s="29"/>
      <c r="I88" s="30"/>
      <c r="J88" s="5"/>
      <c r="K88" s="5"/>
      <c r="L88" s="24"/>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row>
    <row r="89" ht="12.75" customHeight="1">
      <c r="A89" s="22"/>
      <c r="B89" s="23"/>
      <c r="C89" s="24"/>
      <c r="D89" s="24"/>
      <c r="E89" s="24"/>
      <c r="F89" s="25"/>
      <c r="G89" s="20"/>
      <c r="H89" s="29"/>
      <c r="I89" s="30"/>
      <c r="J89" s="5"/>
      <c r="K89" s="5"/>
      <c r="L89" s="24"/>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row>
    <row r="90" ht="12.75" customHeight="1">
      <c r="A90" s="22"/>
      <c r="B90" s="23"/>
      <c r="C90" s="24"/>
      <c r="D90" s="24"/>
      <c r="E90" s="24"/>
      <c r="F90" s="25"/>
      <c r="G90" s="20"/>
      <c r="H90" s="29"/>
      <c r="I90" s="30"/>
      <c r="J90" s="5"/>
      <c r="K90" s="5"/>
      <c r="L90" s="24"/>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row>
    <row r="91" ht="12.75" customHeight="1">
      <c r="A91" s="22"/>
      <c r="B91" s="23"/>
      <c r="C91" s="24"/>
      <c r="D91" s="24"/>
      <c r="E91" s="24"/>
      <c r="F91" s="25"/>
      <c r="G91" s="20"/>
      <c r="H91" s="29"/>
      <c r="I91" s="30"/>
      <c r="J91" s="5"/>
      <c r="K91" s="5"/>
      <c r="L91" s="24"/>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row>
    <row r="92" ht="12.75" customHeight="1">
      <c r="A92" s="22"/>
      <c r="B92" s="23"/>
      <c r="C92" s="24"/>
      <c r="D92" s="24"/>
      <c r="E92" s="24"/>
      <c r="F92" s="25"/>
      <c r="G92" s="20"/>
      <c r="H92" s="29"/>
      <c r="I92" s="30"/>
      <c r="J92" s="5"/>
      <c r="K92" s="5"/>
      <c r="L92" s="24"/>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row>
    <row r="93" ht="12.75" customHeight="1">
      <c r="A93" s="22"/>
      <c r="B93" s="23"/>
      <c r="C93" s="24"/>
      <c r="D93" s="24"/>
      <c r="E93" s="24"/>
      <c r="F93" s="25"/>
      <c r="G93" s="20"/>
      <c r="H93" s="29"/>
      <c r="I93" s="30"/>
      <c r="J93" s="5"/>
      <c r="K93" s="5"/>
      <c r="L93" s="24"/>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row>
    <row r="94" ht="12.75" customHeight="1">
      <c r="A94" s="22"/>
      <c r="B94" s="23"/>
      <c r="C94" s="24"/>
      <c r="D94" s="24"/>
      <c r="E94" s="24"/>
      <c r="F94" s="25"/>
      <c r="G94" s="20"/>
      <c r="H94" s="29"/>
      <c r="I94" s="30"/>
      <c r="J94" s="5"/>
      <c r="K94" s="5"/>
      <c r="L94" s="24"/>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row>
    <row r="95" ht="12.75" customHeight="1">
      <c r="A95" s="22"/>
      <c r="B95" s="23"/>
      <c r="C95" s="24"/>
      <c r="D95" s="24"/>
      <c r="E95" s="24"/>
      <c r="F95" s="25"/>
      <c r="G95" s="20"/>
      <c r="H95" s="29"/>
      <c r="I95" s="30"/>
      <c r="J95" s="5"/>
      <c r="K95" s="5"/>
      <c r="L95" s="24"/>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row>
    <row r="96" ht="12.75" customHeight="1">
      <c r="A96" s="22"/>
      <c r="B96" s="23"/>
      <c r="C96" s="24"/>
      <c r="D96" s="24"/>
      <c r="E96" s="24"/>
      <c r="F96" s="25"/>
      <c r="G96" s="20"/>
      <c r="H96" s="29"/>
      <c r="I96" s="30"/>
      <c r="J96" s="5"/>
      <c r="K96" s="5"/>
      <c r="L96" s="24"/>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row>
    <row r="97" ht="12.75" customHeight="1">
      <c r="A97" s="22"/>
      <c r="B97" s="23"/>
      <c r="C97" s="24"/>
      <c r="D97" s="24"/>
      <c r="E97" s="24"/>
      <c r="F97" s="25"/>
      <c r="G97" s="20"/>
      <c r="H97" s="29"/>
      <c r="I97" s="30"/>
      <c r="J97" s="5"/>
      <c r="K97" s="5"/>
      <c r="L97" s="24"/>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row>
    <row r="98" ht="12.75" customHeight="1">
      <c r="A98" s="22"/>
      <c r="B98" s="23"/>
      <c r="C98" s="24"/>
      <c r="D98" s="24"/>
      <c r="E98" s="24"/>
      <c r="F98" s="25"/>
      <c r="G98" s="20"/>
      <c r="H98" s="29"/>
      <c r="I98" s="30"/>
      <c r="J98" s="5"/>
      <c r="K98" s="5"/>
      <c r="L98" s="24"/>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row>
    <row r="99" ht="12.75" customHeight="1">
      <c r="A99" s="22"/>
      <c r="B99" s="23"/>
      <c r="C99" s="24"/>
      <c r="D99" s="24"/>
      <c r="E99" s="24"/>
      <c r="F99" s="25"/>
      <c r="G99" s="20"/>
      <c r="H99" s="29"/>
      <c r="I99" s="30"/>
      <c r="J99" s="5"/>
      <c r="K99" s="5"/>
      <c r="L99" s="24"/>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row>
    <row r="100" ht="12.75" customHeight="1">
      <c r="A100" s="22"/>
      <c r="B100" s="23"/>
      <c r="C100" s="24"/>
      <c r="D100" s="24"/>
      <c r="E100" s="24"/>
      <c r="F100" s="25"/>
      <c r="G100" s="20"/>
      <c r="H100" s="29"/>
      <c r="I100" s="30"/>
      <c r="J100" s="5"/>
      <c r="K100" s="5"/>
      <c r="L100" s="24"/>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row>
    <row r="101" ht="12.75" customHeight="1">
      <c r="A101" s="22"/>
      <c r="B101" s="23"/>
      <c r="C101" s="24"/>
      <c r="D101" s="24"/>
      <c r="E101" s="24"/>
      <c r="F101" s="25"/>
      <c r="G101" s="20"/>
      <c r="H101" s="29"/>
      <c r="I101" s="30"/>
      <c r="J101" s="5"/>
      <c r="K101" s="5"/>
      <c r="L101" s="24"/>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row>
    <row r="102" ht="12.75" customHeight="1">
      <c r="A102" s="22"/>
      <c r="B102" s="23"/>
      <c r="C102" s="24"/>
      <c r="D102" s="24"/>
      <c r="E102" s="24"/>
      <c r="F102" s="25"/>
      <c r="G102" s="20"/>
      <c r="H102" s="29"/>
      <c r="I102" s="30"/>
      <c r="J102" s="5"/>
      <c r="K102" s="5"/>
      <c r="L102" s="24"/>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row>
    <row r="103" ht="12.75" customHeight="1">
      <c r="A103" s="22"/>
      <c r="B103" s="23"/>
      <c r="C103" s="24"/>
      <c r="D103" s="24"/>
      <c r="E103" s="24"/>
      <c r="F103" s="25"/>
      <c r="G103" s="20"/>
      <c r="H103" s="29"/>
      <c r="I103" s="30"/>
      <c r="J103" s="5"/>
      <c r="K103" s="5"/>
      <c r="L103" s="24"/>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row>
    <row r="104" ht="12.75" customHeight="1">
      <c r="A104" s="22"/>
      <c r="B104" s="23"/>
      <c r="C104" s="24"/>
      <c r="D104" s="24"/>
      <c r="E104" s="24"/>
      <c r="F104" s="25"/>
      <c r="G104" s="20"/>
      <c r="H104" s="29"/>
      <c r="I104" s="30"/>
      <c r="J104" s="5"/>
      <c r="K104" s="5"/>
      <c r="L104" s="24"/>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row>
    <row r="105" ht="12.75" customHeight="1">
      <c r="A105" s="22"/>
      <c r="B105" s="23"/>
      <c r="C105" s="24"/>
      <c r="D105" s="24"/>
      <c r="E105" s="24"/>
      <c r="F105" s="25"/>
      <c r="G105" s="20"/>
      <c r="H105" s="29"/>
      <c r="I105" s="30"/>
      <c r="J105" s="5"/>
      <c r="K105" s="5"/>
      <c r="L105" s="24"/>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row>
    <row r="106" ht="12.75" customHeight="1">
      <c r="A106" s="22"/>
      <c r="B106" s="23"/>
      <c r="C106" s="24"/>
      <c r="D106" s="24"/>
      <c r="E106" s="24"/>
      <c r="F106" s="25"/>
      <c r="G106" s="20"/>
      <c r="H106" s="29"/>
      <c r="I106" s="30"/>
      <c r="J106" s="5"/>
      <c r="K106" s="5"/>
      <c r="L106" s="24"/>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row>
    <row r="107" ht="12.75" customHeight="1">
      <c r="A107" s="22"/>
      <c r="B107" s="23"/>
      <c r="C107" s="24"/>
      <c r="D107" s="24"/>
      <c r="E107" s="24"/>
      <c r="F107" s="25"/>
      <c r="G107" s="20"/>
      <c r="H107" s="29"/>
      <c r="I107" s="30"/>
      <c r="J107" s="5"/>
      <c r="K107" s="5"/>
      <c r="L107" s="24"/>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row>
    <row r="108" ht="12.75" customHeight="1">
      <c r="A108" s="22"/>
      <c r="B108" s="23"/>
      <c r="C108" s="24"/>
      <c r="D108" s="24"/>
      <c r="E108" s="24"/>
      <c r="F108" s="25"/>
      <c r="G108" s="20"/>
      <c r="H108" s="29"/>
      <c r="I108" s="30"/>
      <c r="J108" s="5"/>
      <c r="K108" s="5"/>
      <c r="L108" s="24"/>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row>
    <row r="109" ht="12.75" customHeight="1">
      <c r="A109" s="22"/>
      <c r="B109" s="23"/>
      <c r="C109" s="24"/>
      <c r="D109" s="24"/>
      <c r="E109" s="24"/>
      <c r="F109" s="25"/>
      <c r="G109" s="20"/>
      <c r="H109" s="29"/>
      <c r="I109" s="30"/>
      <c r="J109" s="5"/>
      <c r="K109" s="5"/>
      <c r="L109" s="24"/>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row>
    <row r="110" ht="12.75" customHeight="1">
      <c r="A110" s="22"/>
      <c r="B110" s="23"/>
      <c r="C110" s="24"/>
      <c r="D110" s="24"/>
      <c r="E110" s="24"/>
      <c r="F110" s="25"/>
      <c r="G110" s="20"/>
      <c r="H110" s="29"/>
      <c r="I110" s="30"/>
      <c r="J110" s="5"/>
      <c r="K110" s="5"/>
      <c r="L110" s="24"/>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row>
    <row r="111" ht="12.75" customHeight="1">
      <c r="A111" s="22"/>
      <c r="B111" s="23"/>
      <c r="C111" s="24"/>
      <c r="D111" s="24"/>
      <c r="E111" s="24"/>
      <c r="F111" s="25"/>
      <c r="G111" s="20"/>
      <c r="H111" s="29"/>
      <c r="I111" s="30"/>
      <c r="J111" s="5"/>
      <c r="K111" s="5"/>
      <c r="L111" s="24"/>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row>
    <row r="112" ht="12.75" customHeight="1">
      <c r="A112" s="22"/>
      <c r="B112" s="23"/>
      <c r="C112" s="24"/>
      <c r="D112" s="24"/>
      <c r="E112" s="24"/>
      <c r="F112" s="25"/>
      <c r="G112" s="20"/>
      <c r="H112" s="29"/>
      <c r="I112" s="30"/>
      <c r="J112" s="5"/>
      <c r="K112" s="5"/>
      <c r="L112" s="24"/>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row>
    <row r="113" ht="12.75" customHeight="1">
      <c r="A113" s="22"/>
      <c r="B113" s="23"/>
      <c r="C113" s="24"/>
      <c r="D113" s="24"/>
      <c r="E113" s="24"/>
      <c r="F113" s="25"/>
      <c r="G113" s="20"/>
      <c r="H113" s="29"/>
      <c r="I113" s="30"/>
      <c r="J113" s="5"/>
      <c r="K113" s="5"/>
      <c r="L113" s="24"/>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row>
    <row r="114" ht="12.75" customHeight="1">
      <c r="A114" s="22"/>
      <c r="B114" s="23"/>
      <c r="C114" s="24"/>
      <c r="D114" s="24"/>
      <c r="E114" s="24"/>
      <c r="F114" s="25"/>
      <c r="G114" s="20"/>
      <c r="H114" s="29"/>
      <c r="I114" s="30"/>
      <c r="J114" s="5"/>
      <c r="K114" s="5"/>
      <c r="L114" s="24"/>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row>
    <row r="115" ht="12.75" customHeight="1">
      <c r="A115" s="22"/>
      <c r="B115" s="23"/>
      <c r="C115" s="24"/>
      <c r="D115" s="24"/>
      <c r="E115" s="24"/>
      <c r="F115" s="25"/>
      <c r="G115" s="20"/>
      <c r="H115" s="29"/>
      <c r="I115" s="30"/>
      <c r="J115" s="5"/>
      <c r="K115" s="5"/>
      <c r="L115" s="24"/>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row>
    <row r="116" ht="12.75" customHeight="1">
      <c r="A116" s="22"/>
      <c r="B116" s="23"/>
      <c r="C116" s="24"/>
      <c r="D116" s="24"/>
      <c r="E116" s="24"/>
      <c r="F116" s="25"/>
      <c r="G116" s="20"/>
      <c r="H116" s="29"/>
      <c r="I116" s="30"/>
      <c r="J116" s="5"/>
      <c r="K116" s="5"/>
      <c r="L116" s="24"/>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row>
    <row r="117" ht="12.75" customHeight="1">
      <c r="A117" s="22"/>
      <c r="B117" s="23"/>
      <c r="C117" s="24"/>
      <c r="D117" s="24"/>
      <c r="E117" s="24"/>
      <c r="F117" s="25"/>
      <c r="G117" s="20"/>
      <c r="H117" s="32"/>
      <c r="I117" s="33"/>
      <c r="J117" s="5"/>
      <c r="K117" s="5"/>
      <c r="L117" s="24"/>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row>
    <row r="118" ht="12.75" customHeight="1">
      <c r="A118" s="22"/>
      <c r="B118" s="23"/>
      <c r="C118" s="24"/>
      <c r="D118" s="24"/>
      <c r="E118" s="24"/>
      <c r="F118" s="25"/>
      <c r="G118" s="20"/>
      <c r="H118" s="29"/>
      <c r="I118" s="30"/>
      <c r="J118" s="5"/>
      <c r="K118" s="5"/>
      <c r="L118" s="24"/>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row>
    <row r="119" ht="12.75" customHeight="1">
      <c r="A119" s="22"/>
      <c r="B119" s="23"/>
      <c r="C119" s="24"/>
      <c r="D119" s="24"/>
      <c r="E119" s="24"/>
      <c r="F119" s="25"/>
      <c r="G119" s="20"/>
      <c r="H119" s="29"/>
      <c r="I119" s="30"/>
      <c r="J119" s="5"/>
      <c r="K119" s="5"/>
      <c r="L119" s="24"/>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row>
    <row r="120" ht="12.75" customHeight="1">
      <c r="A120" s="22"/>
      <c r="B120" s="23"/>
      <c r="C120" s="24"/>
      <c r="D120" s="24"/>
      <c r="E120" s="24"/>
      <c r="F120" s="25"/>
      <c r="G120" s="20"/>
      <c r="H120" s="29"/>
      <c r="I120" s="30"/>
      <c r="J120" s="5"/>
      <c r="K120" s="5"/>
      <c r="L120" s="24"/>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row>
    <row r="121" ht="12.75" customHeight="1">
      <c r="A121" s="22"/>
      <c r="B121" s="23"/>
      <c r="C121" s="24"/>
      <c r="D121" s="24"/>
      <c r="E121" s="24"/>
      <c r="F121" s="25"/>
      <c r="G121" s="20"/>
      <c r="H121" s="29"/>
      <c r="I121" s="30"/>
      <c r="J121" s="5"/>
      <c r="K121" s="5"/>
      <c r="L121" s="24"/>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row>
    <row r="122" ht="12.75" customHeight="1">
      <c r="A122" s="22"/>
      <c r="B122" s="23"/>
      <c r="C122" s="24"/>
      <c r="D122" s="24"/>
      <c r="E122" s="24"/>
      <c r="F122" s="25"/>
      <c r="G122" s="20"/>
      <c r="H122" s="29"/>
      <c r="I122" s="30"/>
      <c r="J122" s="5"/>
      <c r="K122" s="5"/>
      <c r="L122" s="24"/>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row>
    <row r="123" ht="12.75" customHeight="1">
      <c r="A123" s="22"/>
      <c r="B123" s="23"/>
      <c r="C123" s="24"/>
      <c r="D123" s="24"/>
      <c r="E123" s="24"/>
      <c r="F123" s="25"/>
      <c r="G123" s="20"/>
      <c r="H123" s="29"/>
      <c r="I123" s="30"/>
      <c r="J123" s="5"/>
      <c r="K123" s="5"/>
      <c r="L123" s="24"/>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row>
    <row r="124" ht="12.75" customHeight="1">
      <c r="A124" s="22"/>
      <c r="B124" s="23"/>
      <c r="C124" s="24"/>
      <c r="D124" s="24"/>
      <c r="E124" s="24"/>
      <c r="F124" s="25"/>
      <c r="G124" s="20"/>
      <c r="H124" s="29"/>
      <c r="I124" s="30"/>
      <c r="J124" s="5"/>
      <c r="K124" s="5"/>
      <c r="L124" s="24"/>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row>
    <row r="125" ht="12.75" customHeight="1">
      <c r="A125" s="22"/>
      <c r="B125" s="23"/>
      <c r="C125" s="24"/>
      <c r="D125" s="24"/>
      <c r="E125" s="24"/>
      <c r="F125" s="25"/>
      <c r="G125" s="20"/>
      <c r="H125" s="29"/>
      <c r="I125" s="30"/>
      <c r="J125" s="5"/>
      <c r="K125" s="5"/>
      <c r="L125" s="24"/>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row>
    <row r="126" ht="12.75" customHeight="1">
      <c r="A126" s="22"/>
      <c r="B126" s="23"/>
      <c r="C126" s="24"/>
      <c r="D126" s="24"/>
      <c r="E126" s="24"/>
      <c r="F126" s="25"/>
      <c r="G126" s="20"/>
      <c r="H126" s="29"/>
      <c r="I126" s="30"/>
      <c r="J126" s="5"/>
      <c r="K126" s="5"/>
      <c r="L126" s="24"/>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row>
    <row r="127" ht="12.75" customHeight="1">
      <c r="A127" s="22"/>
      <c r="B127" s="23"/>
      <c r="C127" s="24"/>
      <c r="D127" s="24"/>
      <c r="E127" s="24"/>
      <c r="F127" s="25"/>
      <c r="G127" s="20"/>
      <c r="H127" s="29"/>
      <c r="I127" s="30"/>
      <c r="J127" s="5"/>
      <c r="K127" s="5"/>
      <c r="L127" s="24"/>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row>
    <row r="128" ht="12.75" customHeight="1">
      <c r="A128" s="22"/>
      <c r="B128" s="23"/>
      <c r="C128" s="24"/>
      <c r="D128" s="24"/>
      <c r="E128" s="24"/>
      <c r="F128" s="25"/>
      <c r="G128" s="20"/>
      <c r="H128" s="29"/>
      <c r="I128" s="30"/>
      <c r="J128" s="5"/>
      <c r="K128" s="5"/>
      <c r="L128" s="24"/>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row>
    <row r="129" ht="12.75" customHeight="1">
      <c r="A129" s="22"/>
      <c r="B129" s="23"/>
      <c r="C129" s="24"/>
      <c r="D129" s="24"/>
      <c r="E129" s="24"/>
      <c r="F129" s="25"/>
      <c r="G129" s="20"/>
      <c r="H129" s="29"/>
      <c r="I129" s="30"/>
      <c r="J129" s="5"/>
      <c r="K129" s="5"/>
      <c r="L129" s="24"/>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row>
    <row r="130" ht="12.75" customHeight="1">
      <c r="A130" s="22"/>
      <c r="B130" s="23"/>
      <c r="C130" s="24"/>
      <c r="D130" s="24"/>
      <c r="E130" s="24"/>
      <c r="F130" s="25"/>
      <c r="G130" s="20"/>
      <c r="H130" s="29"/>
      <c r="I130" s="30"/>
      <c r="J130" s="5"/>
      <c r="K130" s="5"/>
      <c r="L130" s="24"/>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row>
    <row r="131" ht="12.75" customHeight="1">
      <c r="A131" s="22"/>
      <c r="B131" s="23"/>
      <c r="C131" s="24"/>
      <c r="D131" s="24"/>
      <c r="E131" s="24"/>
      <c r="F131" s="25"/>
      <c r="G131" s="20"/>
      <c r="H131" s="29"/>
      <c r="I131" s="30"/>
      <c r="J131" s="5"/>
      <c r="K131" s="5"/>
      <c r="L131" s="24"/>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row>
    <row r="132" ht="12.75" customHeight="1">
      <c r="A132" s="22"/>
      <c r="B132" s="23"/>
      <c r="C132" s="24"/>
      <c r="D132" s="24"/>
      <c r="E132" s="24"/>
      <c r="F132" s="25"/>
      <c r="G132" s="20"/>
      <c r="H132" s="29"/>
      <c r="I132" s="30"/>
      <c r="J132" s="5"/>
      <c r="K132" s="5"/>
      <c r="L132" s="24"/>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row>
    <row r="133" ht="12.75" customHeight="1">
      <c r="A133" s="22"/>
      <c r="B133" s="23"/>
      <c r="C133" s="24"/>
      <c r="D133" s="24"/>
      <c r="E133" s="24"/>
      <c r="F133" s="25"/>
      <c r="G133" s="20"/>
      <c r="H133" s="29"/>
      <c r="I133" s="30"/>
      <c r="J133" s="5"/>
      <c r="K133" s="5"/>
      <c r="L133" s="24"/>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row>
    <row r="134" ht="12.75" customHeight="1">
      <c r="A134" s="22"/>
      <c r="B134" s="23"/>
      <c r="C134" s="24"/>
      <c r="D134" s="24"/>
      <c r="E134" s="24"/>
      <c r="F134" s="25"/>
      <c r="G134" s="20"/>
      <c r="H134" s="29"/>
      <c r="I134" s="30"/>
      <c r="J134" s="5"/>
      <c r="K134" s="5"/>
      <c r="L134" s="24"/>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row>
    <row r="135" ht="12.75" customHeight="1">
      <c r="A135" s="22"/>
      <c r="B135" s="23"/>
      <c r="C135" s="24"/>
      <c r="D135" s="24"/>
      <c r="E135" s="24"/>
      <c r="F135" s="25"/>
      <c r="G135" s="20"/>
      <c r="H135" s="29"/>
      <c r="I135" s="30"/>
      <c r="J135" s="5"/>
      <c r="K135" s="5"/>
      <c r="L135" s="24"/>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row>
    <row r="136" ht="12.75" customHeight="1">
      <c r="A136" s="22"/>
      <c r="B136" s="23"/>
      <c r="C136" s="24"/>
      <c r="D136" s="24"/>
      <c r="E136" s="24"/>
      <c r="F136" s="34"/>
      <c r="G136" s="20"/>
      <c r="H136" s="29"/>
      <c r="I136" s="30"/>
      <c r="J136" s="5"/>
      <c r="K136" s="5"/>
      <c r="L136" s="24"/>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row>
    <row r="137" ht="12.75" customHeight="1">
      <c r="A137" s="22"/>
      <c r="B137" s="23"/>
      <c r="C137" s="24"/>
      <c r="D137" s="24"/>
      <c r="E137" s="24"/>
      <c r="F137" s="25"/>
      <c r="G137" s="20"/>
      <c r="H137" s="29"/>
      <c r="I137" s="30"/>
      <c r="J137" s="5"/>
      <c r="K137" s="5"/>
      <c r="L137" s="24"/>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row>
    <row r="138" ht="12.75" customHeight="1">
      <c r="A138" s="22"/>
      <c r="B138" s="23"/>
      <c r="C138" s="24"/>
      <c r="D138" s="24"/>
      <c r="E138" s="24"/>
      <c r="F138" s="25"/>
      <c r="G138" s="20"/>
      <c r="H138" s="29"/>
      <c r="I138" s="30"/>
      <c r="J138" s="5"/>
      <c r="K138" s="5"/>
      <c r="L138" s="24"/>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row>
    <row r="139" ht="12.75" customHeight="1">
      <c r="A139" s="22"/>
      <c r="B139" s="23"/>
      <c r="C139" s="24"/>
      <c r="D139" s="24"/>
      <c r="E139" s="24"/>
      <c r="F139" s="25"/>
      <c r="G139" s="20"/>
      <c r="H139" s="29"/>
      <c r="I139" s="30"/>
      <c r="J139" s="5"/>
      <c r="K139" s="5"/>
      <c r="L139" s="24"/>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row>
    <row r="140" ht="12.75" customHeight="1">
      <c r="A140" s="22"/>
      <c r="B140" s="23"/>
      <c r="C140" s="24"/>
      <c r="D140" s="24"/>
      <c r="E140" s="24"/>
      <c r="F140" s="25"/>
      <c r="G140" s="20"/>
      <c r="H140" s="29"/>
      <c r="I140" s="30"/>
      <c r="J140" s="5"/>
      <c r="K140" s="5"/>
      <c r="L140" s="24"/>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row>
    <row r="141" ht="12.75" customHeight="1">
      <c r="A141" s="22"/>
      <c r="B141" s="23"/>
      <c r="C141" s="24"/>
      <c r="D141" s="24"/>
      <c r="E141" s="24"/>
      <c r="F141" s="25"/>
      <c r="G141" s="20"/>
      <c r="H141" s="29"/>
      <c r="I141" s="30"/>
      <c r="J141" s="5"/>
      <c r="K141" s="5"/>
      <c r="L141" s="24"/>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row>
    <row r="142" ht="12.75" customHeight="1">
      <c r="A142" s="22"/>
      <c r="B142" s="23"/>
      <c r="C142" s="24"/>
      <c r="D142" s="24"/>
      <c r="E142" s="24"/>
      <c r="F142" s="25"/>
      <c r="G142" s="20"/>
      <c r="H142" s="29"/>
      <c r="I142" s="30"/>
      <c r="J142" s="5"/>
      <c r="K142" s="5"/>
      <c r="L142" s="24"/>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row>
    <row r="143" ht="12.75" customHeight="1">
      <c r="A143" s="22"/>
      <c r="B143" s="23"/>
      <c r="C143" s="24"/>
      <c r="D143" s="24"/>
      <c r="E143" s="24"/>
      <c r="F143" s="25"/>
      <c r="G143" s="20"/>
      <c r="H143" s="29"/>
      <c r="I143" s="30"/>
      <c r="J143" s="5"/>
      <c r="K143" s="5"/>
      <c r="L143" s="24"/>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row>
    <row r="144" ht="12.75" customHeight="1">
      <c r="A144" s="22"/>
      <c r="B144" s="23"/>
      <c r="C144" s="24"/>
      <c r="D144" s="24"/>
      <c r="E144" s="24"/>
      <c r="F144" s="25"/>
      <c r="G144" s="20"/>
      <c r="H144" s="29"/>
      <c r="I144" s="30"/>
      <c r="J144" s="5"/>
      <c r="K144" s="5"/>
      <c r="L144" s="24"/>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row>
    <row r="145" ht="12.75" customHeight="1">
      <c r="A145" s="35"/>
      <c r="B145" s="23"/>
      <c r="C145" s="24"/>
      <c r="D145" s="24"/>
      <c r="E145" s="24"/>
      <c r="F145" s="25"/>
      <c r="G145" s="20"/>
      <c r="H145" s="29"/>
      <c r="I145" s="30"/>
      <c r="J145" s="5"/>
      <c r="K145" s="5"/>
      <c r="L145" s="24"/>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row>
    <row r="146" ht="12.75" customHeight="1">
      <c r="A146" s="22"/>
      <c r="B146" s="23"/>
      <c r="C146" s="24"/>
      <c r="D146" s="24"/>
      <c r="E146" s="24"/>
      <c r="F146" s="25"/>
      <c r="G146" s="20"/>
      <c r="H146" s="29"/>
      <c r="I146" s="30"/>
      <c r="J146" s="5"/>
      <c r="K146" s="5"/>
      <c r="L146" s="24"/>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row>
    <row r="147" ht="12.75" customHeight="1">
      <c r="A147" s="22"/>
      <c r="B147" s="23"/>
      <c r="C147" s="24"/>
      <c r="D147" s="24"/>
      <c r="E147" s="24"/>
      <c r="F147" s="25"/>
      <c r="G147" s="20"/>
      <c r="H147" s="29"/>
      <c r="I147" s="30"/>
      <c r="J147" s="5"/>
      <c r="K147" s="5"/>
      <c r="L147" s="24"/>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row>
    <row r="148" ht="12.75" customHeight="1">
      <c r="A148" s="22"/>
      <c r="B148" s="23"/>
      <c r="C148" s="24"/>
      <c r="D148" s="24"/>
      <c r="E148" s="24"/>
      <c r="F148" s="25"/>
      <c r="G148" s="20"/>
      <c r="H148" s="29"/>
      <c r="I148" s="30"/>
      <c r="J148" s="5"/>
      <c r="K148" s="5"/>
      <c r="L148" s="24"/>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row>
    <row r="149" ht="12.75" customHeight="1">
      <c r="A149" s="22"/>
      <c r="B149" s="23"/>
      <c r="C149" s="24"/>
      <c r="D149" s="24"/>
      <c r="E149" s="24"/>
      <c r="F149" s="25"/>
      <c r="G149" s="20"/>
      <c r="H149" s="29"/>
      <c r="I149" s="30"/>
      <c r="J149" s="5"/>
      <c r="K149" s="5"/>
      <c r="L149" s="24"/>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row>
    <row r="150" ht="12.75" customHeight="1">
      <c r="A150" s="22"/>
      <c r="B150" s="23"/>
      <c r="C150" s="24"/>
      <c r="D150" s="24"/>
      <c r="E150" s="24"/>
      <c r="F150" s="25"/>
      <c r="G150" s="20"/>
      <c r="H150" s="29"/>
      <c r="I150" s="30"/>
      <c r="J150" s="5"/>
      <c r="K150" s="5"/>
      <c r="L150" s="24"/>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row>
    <row r="151" ht="12.75" customHeight="1">
      <c r="A151" s="22"/>
      <c r="B151" s="23"/>
      <c r="C151" s="24"/>
      <c r="D151" s="24"/>
      <c r="E151" s="24"/>
      <c r="F151" s="25"/>
      <c r="G151" s="20"/>
      <c r="H151" s="29"/>
      <c r="I151" s="30"/>
      <c r="J151" s="5"/>
      <c r="K151" s="5"/>
      <c r="L151" s="24"/>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row>
    <row r="152" ht="12.75" customHeight="1">
      <c r="A152" s="22"/>
      <c r="B152" s="23"/>
      <c r="C152" s="24"/>
      <c r="D152" s="24"/>
      <c r="E152" s="24"/>
      <c r="F152" s="25"/>
      <c r="G152" s="20"/>
      <c r="H152" s="29"/>
      <c r="I152" s="30"/>
      <c r="J152" s="5"/>
      <c r="K152" s="5"/>
      <c r="L152" s="24"/>
      <c r="M152" s="13"/>
      <c r="N152" s="13"/>
      <c r="O152" s="13"/>
      <c r="P152" s="13"/>
      <c r="Q152" s="13"/>
      <c r="R152" s="13"/>
      <c r="S152" s="13"/>
      <c r="T152" s="13"/>
      <c r="U152" s="13"/>
      <c r="V152" s="13"/>
      <c r="W152" s="13"/>
      <c r="X152" s="13"/>
      <c r="Y152" s="13"/>
      <c r="Z152" s="13"/>
      <c r="AA152" s="13"/>
      <c r="AB152" s="13"/>
      <c r="AC152" s="13" t="s">
        <v>98</v>
      </c>
      <c r="AD152" s="13"/>
      <c r="AE152" s="13"/>
      <c r="AF152" s="13"/>
      <c r="AG152" s="13"/>
      <c r="AH152" s="13"/>
      <c r="AI152" s="13"/>
      <c r="AJ152" s="13"/>
      <c r="AK152" s="13"/>
      <c r="AL152" s="13"/>
      <c r="AM152" s="13"/>
      <c r="AN152" s="13"/>
      <c r="AO152" s="13"/>
      <c r="AP152" s="13"/>
      <c r="AQ152" s="13"/>
      <c r="AR152" s="13"/>
      <c r="AS152" s="13"/>
      <c r="AT152" s="13"/>
      <c r="AU152" s="13"/>
      <c r="AV152" s="13"/>
      <c r="AW152" s="13"/>
    </row>
    <row r="153" ht="12.75" customHeight="1">
      <c r="A153" s="22"/>
      <c r="B153" s="23"/>
      <c r="C153" s="24"/>
      <c r="D153" s="24"/>
      <c r="E153" s="24"/>
      <c r="F153" s="25"/>
      <c r="G153" s="20"/>
      <c r="H153" s="29"/>
      <c r="I153" s="30"/>
      <c r="J153" s="5"/>
      <c r="K153" s="5"/>
      <c r="L153" s="24"/>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row>
    <row r="154" ht="12.75" customHeight="1">
      <c r="A154" s="22"/>
      <c r="B154" s="23"/>
      <c r="C154" s="24"/>
      <c r="D154" s="24"/>
      <c r="E154" s="24"/>
      <c r="F154" s="25"/>
      <c r="G154" s="20"/>
      <c r="H154" s="29"/>
      <c r="I154" s="30"/>
      <c r="J154" s="5"/>
      <c r="K154" s="5"/>
      <c r="L154" s="24"/>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row>
    <row r="155" ht="12.75" customHeight="1">
      <c r="A155" s="22"/>
      <c r="B155" s="23"/>
      <c r="C155" s="24"/>
      <c r="D155" s="24"/>
      <c r="E155" s="24"/>
      <c r="F155" s="25"/>
      <c r="G155" s="20"/>
      <c r="H155" s="29"/>
      <c r="I155" s="30"/>
      <c r="J155" s="5"/>
      <c r="K155" s="5"/>
      <c r="L155" s="24"/>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row>
    <row r="156" ht="12.75" customHeight="1">
      <c r="A156" s="22"/>
      <c r="B156" s="23"/>
      <c r="C156" s="24"/>
      <c r="D156" s="24"/>
      <c r="E156" s="24"/>
      <c r="F156" s="25"/>
      <c r="G156" s="20"/>
      <c r="H156" s="29"/>
      <c r="I156" s="30"/>
      <c r="J156" s="5"/>
      <c r="K156" s="5"/>
      <c r="L156" s="24"/>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row>
    <row r="157" ht="12.75" customHeight="1">
      <c r="A157" s="22"/>
      <c r="B157" s="23"/>
      <c r="C157" s="24"/>
      <c r="D157" s="24"/>
      <c r="E157" s="24"/>
      <c r="F157" s="25"/>
      <c r="G157" s="20"/>
      <c r="H157" s="29"/>
      <c r="I157" s="30"/>
      <c r="J157" s="5"/>
      <c r="K157" s="5"/>
      <c r="L157" s="24"/>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row>
    <row r="158" ht="12.75" customHeight="1">
      <c r="A158" s="22"/>
      <c r="B158" s="23"/>
      <c r="C158" s="24"/>
      <c r="D158" s="24"/>
      <c r="E158" s="24"/>
      <c r="F158" s="25"/>
      <c r="G158" s="20"/>
      <c r="H158" s="29"/>
      <c r="I158" s="30"/>
      <c r="J158" s="5"/>
      <c r="K158" s="5"/>
      <c r="L158" s="24"/>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row>
    <row r="159" ht="12.75" customHeight="1">
      <c r="A159" s="22"/>
      <c r="B159" s="23"/>
      <c r="C159" s="24"/>
      <c r="D159" s="24"/>
      <c r="E159" s="24"/>
      <c r="F159" s="25"/>
      <c r="G159" s="20"/>
      <c r="H159" s="29"/>
      <c r="I159" s="30"/>
      <c r="J159" s="5"/>
      <c r="K159" s="5"/>
      <c r="L159" s="24"/>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row>
    <row r="160" ht="12.75" customHeight="1">
      <c r="A160" s="22"/>
      <c r="B160" s="23"/>
      <c r="C160" s="24"/>
      <c r="D160" s="24"/>
      <c r="E160" s="24"/>
      <c r="F160" s="25"/>
      <c r="G160" s="20"/>
      <c r="H160" s="24"/>
      <c r="I160" s="30"/>
      <c r="J160" s="5"/>
      <c r="K160" s="5"/>
      <c r="L160" s="24"/>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row>
    <row r="161" ht="12.75" customHeight="1">
      <c r="A161" s="22"/>
      <c r="B161" s="23"/>
      <c r="C161" s="24"/>
      <c r="D161" s="24"/>
      <c r="E161" s="24"/>
      <c r="F161" s="25"/>
      <c r="G161" s="20"/>
      <c r="H161" s="29"/>
      <c r="I161" s="30"/>
      <c r="J161" s="5"/>
      <c r="K161" s="5"/>
      <c r="L161" s="24"/>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row>
    <row r="162" ht="12.75" customHeight="1">
      <c r="A162" s="22"/>
      <c r="B162" s="23"/>
      <c r="C162" s="24"/>
      <c r="D162" s="24"/>
      <c r="E162" s="24"/>
      <c r="F162" s="25"/>
      <c r="G162" s="20"/>
      <c r="H162" s="29"/>
      <c r="I162" s="30"/>
      <c r="J162" s="5"/>
      <c r="K162" s="5"/>
      <c r="L162" s="24"/>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row>
    <row r="163" ht="12.75" customHeight="1">
      <c r="A163" s="22"/>
      <c r="B163" s="23"/>
      <c r="C163" s="24"/>
      <c r="D163" s="24"/>
      <c r="E163" s="24"/>
      <c r="F163" s="25"/>
      <c r="G163" s="20"/>
      <c r="H163" s="29"/>
      <c r="I163" s="30"/>
      <c r="J163" s="5"/>
      <c r="K163" s="5"/>
      <c r="L163" s="24"/>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row>
    <row r="164" ht="12.75" customHeight="1">
      <c r="A164" s="22"/>
      <c r="B164" s="23"/>
      <c r="C164" s="24"/>
      <c r="D164" s="24"/>
      <c r="E164" s="24"/>
      <c r="F164" s="25"/>
      <c r="G164" s="20"/>
      <c r="H164" s="29"/>
      <c r="I164" s="30"/>
      <c r="J164" s="5"/>
      <c r="K164" s="5"/>
      <c r="L164" s="24"/>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row>
    <row r="165" ht="12.75" customHeight="1">
      <c r="A165" s="22"/>
      <c r="B165" s="23"/>
      <c r="C165" s="24"/>
      <c r="D165" s="24"/>
      <c r="E165" s="24"/>
      <c r="F165" s="25"/>
      <c r="G165" s="20"/>
      <c r="H165" s="29"/>
      <c r="I165" s="30"/>
      <c r="J165" s="5"/>
      <c r="K165" s="5"/>
      <c r="L165" s="24"/>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row>
    <row r="166" ht="12.75" customHeight="1">
      <c r="A166" s="22"/>
      <c r="B166" s="23"/>
      <c r="C166" s="24"/>
      <c r="D166" s="24"/>
      <c r="E166" s="24"/>
      <c r="F166" s="25"/>
      <c r="G166" s="20"/>
      <c r="H166" s="29"/>
      <c r="I166" s="30"/>
      <c r="J166" s="5"/>
      <c r="K166" s="5"/>
      <c r="L166" s="24"/>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row>
    <row r="167" ht="12.75" customHeight="1">
      <c r="A167" s="22"/>
      <c r="B167" s="23"/>
      <c r="C167" s="24"/>
      <c r="D167" s="24"/>
      <c r="E167" s="24"/>
      <c r="F167" s="25"/>
      <c r="G167" s="20"/>
      <c r="H167" s="29"/>
      <c r="I167" s="30"/>
      <c r="J167" s="5"/>
      <c r="K167" s="5"/>
      <c r="L167" s="24"/>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row>
    <row r="168" ht="12.75" customHeight="1">
      <c r="A168" s="22"/>
      <c r="B168" s="23"/>
      <c r="C168" s="24"/>
      <c r="D168" s="24"/>
      <c r="E168" s="24"/>
      <c r="F168" s="25"/>
      <c r="G168" s="20"/>
      <c r="H168" s="29"/>
      <c r="I168" s="30"/>
      <c r="J168" s="5"/>
      <c r="K168" s="5"/>
      <c r="L168" s="24"/>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row>
    <row r="169" ht="12.75" customHeight="1">
      <c r="A169" s="22"/>
      <c r="B169" s="23"/>
      <c r="C169" s="24"/>
      <c r="D169" s="24"/>
      <c r="E169" s="24"/>
      <c r="F169" s="25"/>
      <c r="G169" s="20"/>
      <c r="H169" s="29"/>
      <c r="I169" s="30"/>
      <c r="J169" s="5"/>
      <c r="K169" s="5"/>
      <c r="L169" s="24"/>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row>
    <row r="170" ht="12.75" customHeight="1">
      <c r="A170" s="22"/>
      <c r="B170" s="23"/>
      <c r="C170" s="24"/>
      <c r="D170" s="24"/>
      <c r="E170" s="24"/>
      <c r="F170" s="25"/>
      <c r="G170" s="20"/>
      <c r="H170" s="29"/>
      <c r="I170" s="30"/>
      <c r="J170" s="5"/>
      <c r="K170" s="5"/>
      <c r="L170" s="24"/>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row>
    <row r="171" ht="12.75" customHeight="1">
      <c r="A171" s="22"/>
      <c r="B171" s="23"/>
      <c r="C171" s="24"/>
      <c r="D171" s="24"/>
      <c r="E171" s="24"/>
      <c r="F171" s="25"/>
      <c r="G171" s="20"/>
      <c r="H171" s="29"/>
      <c r="I171" s="30"/>
      <c r="J171" s="5"/>
      <c r="K171" s="5"/>
      <c r="L171" s="24"/>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row>
    <row r="172" ht="12.75" customHeight="1">
      <c r="A172" s="22"/>
      <c r="B172" s="23"/>
      <c r="C172" s="24"/>
      <c r="D172" s="24"/>
      <c r="E172" s="24"/>
      <c r="F172" s="25"/>
      <c r="G172" s="20"/>
      <c r="H172" s="29"/>
      <c r="I172" s="30"/>
      <c r="J172" s="5"/>
      <c r="K172" s="5"/>
      <c r="L172" s="24"/>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row>
    <row r="173" ht="12.75" customHeight="1">
      <c r="A173" s="22"/>
      <c r="B173" s="23"/>
      <c r="C173" s="24"/>
      <c r="D173" s="24"/>
      <c r="E173" s="24"/>
      <c r="F173" s="25"/>
      <c r="G173" s="20"/>
      <c r="H173" s="29"/>
      <c r="I173" s="30"/>
      <c r="J173" s="5"/>
      <c r="K173" s="5"/>
      <c r="L173" s="24"/>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row>
    <row r="174" ht="12.75" customHeight="1">
      <c r="A174" s="22"/>
      <c r="B174" s="23"/>
      <c r="C174" s="24"/>
      <c r="D174" s="24"/>
      <c r="E174" s="24"/>
      <c r="F174" s="25"/>
      <c r="G174" s="20"/>
      <c r="H174" s="29"/>
      <c r="I174" s="30"/>
      <c r="J174" s="5"/>
      <c r="K174" s="5"/>
      <c r="L174" s="24"/>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row>
    <row r="175" ht="12.75" customHeight="1">
      <c r="A175" s="22"/>
      <c r="B175" s="23"/>
      <c r="C175" s="24"/>
      <c r="D175" s="24"/>
      <c r="E175" s="24"/>
      <c r="F175" s="25"/>
      <c r="G175" s="20"/>
      <c r="H175" s="29"/>
      <c r="I175" s="30"/>
      <c r="J175" s="5"/>
      <c r="K175" s="5"/>
      <c r="L175" s="24"/>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row>
    <row r="176" ht="12.75" customHeight="1">
      <c r="A176" s="22"/>
      <c r="B176" s="23"/>
      <c r="C176" s="24"/>
      <c r="D176" s="24"/>
      <c r="E176" s="24"/>
      <c r="F176" s="25"/>
      <c r="G176" s="20"/>
      <c r="H176" s="29"/>
      <c r="I176" s="30"/>
      <c r="J176" s="5"/>
      <c r="K176" s="5"/>
      <c r="L176" s="24"/>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row>
    <row r="177" ht="12.75" customHeight="1">
      <c r="A177" s="22"/>
      <c r="B177" s="23"/>
      <c r="C177" s="24"/>
      <c r="D177" s="24"/>
      <c r="E177" s="24"/>
      <c r="F177" s="25"/>
      <c r="G177" s="20"/>
      <c r="H177" s="29"/>
      <c r="I177" s="30"/>
      <c r="J177" s="5"/>
      <c r="K177" s="5"/>
      <c r="L177" s="24"/>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row>
    <row r="178" ht="12.75" customHeight="1">
      <c r="A178" s="22"/>
      <c r="B178" s="23"/>
      <c r="C178" s="24"/>
      <c r="D178" s="24"/>
      <c r="E178" s="24"/>
      <c r="F178" s="25"/>
      <c r="G178" s="20"/>
      <c r="H178" s="29"/>
      <c r="I178" s="30"/>
      <c r="J178" s="5"/>
      <c r="K178" s="5"/>
      <c r="L178" s="24"/>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row>
    <row r="179" ht="12.75" customHeight="1">
      <c r="A179" s="22"/>
      <c r="B179" s="23"/>
      <c r="C179" s="24"/>
      <c r="D179" s="24"/>
      <c r="E179" s="24"/>
      <c r="F179" s="25"/>
      <c r="G179" s="20"/>
      <c r="H179" s="29"/>
      <c r="I179" s="30"/>
      <c r="J179" s="5"/>
      <c r="K179" s="5"/>
      <c r="L179" s="24"/>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row>
    <row r="180" ht="12.75" customHeight="1">
      <c r="A180" s="22"/>
      <c r="B180" s="23"/>
      <c r="C180" s="24"/>
      <c r="D180" s="24"/>
      <c r="E180" s="24"/>
      <c r="F180" s="25"/>
      <c r="G180" s="20"/>
      <c r="H180" s="29"/>
      <c r="I180" s="30"/>
      <c r="J180" s="5"/>
      <c r="K180" s="5"/>
      <c r="L180" s="24"/>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row>
    <row r="181" ht="12.75" customHeight="1">
      <c r="A181" s="22"/>
      <c r="B181" s="23"/>
      <c r="C181" s="24"/>
      <c r="D181" s="24"/>
      <c r="E181" s="24"/>
      <c r="F181" s="25"/>
      <c r="G181" s="20"/>
      <c r="H181" s="29"/>
      <c r="I181" s="30"/>
      <c r="J181" s="5"/>
      <c r="K181" s="5"/>
      <c r="L181" s="24"/>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row>
    <row r="182" ht="12.75" customHeight="1">
      <c r="A182" s="22"/>
      <c r="B182" s="23"/>
      <c r="C182" s="24"/>
      <c r="D182" s="24"/>
      <c r="E182" s="24"/>
      <c r="F182" s="25"/>
      <c r="G182" s="20"/>
      <c r="H182" s="29"/>
      <c r="I182" s="30"/>
      <c r="J182" s="5"/>
      <c r="K182" s="5"/>
      <c r="L182" s="24"/>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row>
    <row r="183" ht="12.75" customHeight="1">
      <c r="A183" s="22"/>
      <c r="B183" s="23"/>
      <c r="C183" s="24"/>
      <c r="D183" s="24"/>
      <c r="E183" s="24"/>
      <c r="F183" s="25"/>
      <c r="G183" s="20"/>
      <c r="H183" s="29"/>
      <c r="I183" s="30"/>
      <c r="J183" s="5"/>
      <c r="K183" s="5"/>
      <c r="L183" s="24"/>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row>
    <row r="184" ht="12.75" customHeight="1">
      <c r="A184" s="22"/>
      <c r="B184" s="23"/>
      <c r="C184" s="24"/>
      <c r="D184" s="24"/>
      <c r="E184" s="24"/>
      <c r="F184" s="25"/>
      <c r="G184" s="20"/>
      <c r="H184" s="29"/>
      <c r="I184" s="30"/>
      <c r="J184" s="5"/>
      <c r="K184" s="5"/>
      <c r="L184" s="24"/>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row>
    <row r="185" ht="12.75" customHeight="1">
      <c r="A185" s="22"/>
      <c r="B185" s="23"/>
      <c r="C185" s="24"/>
      <c r="D185" s="24"/>
      <c r="E185" s="24"/>
      <c r="F185" s="25"/>
      <c r="G185" s="20"/>
      <c r="H185" s="29"/>
      <c r="I185" s="30"/>
      <c r="J185" s="5"/>
      <c r="K185" s="5"/>
      <c r="L185" s="24"/>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row>
    <row r="186" ht="12.75" customHeight="1">
      <c r="A186" s="22"/>
      <c r="B186" s="23"/>
      <c r="C186" s="24"/>
      <c r="D186" s="24"/>
      <c r="E186" s="24"/>
      <c r="F186" s="25"/>
      <c r="G186" s="20"/>
      <c r="H186" s="29"/>
      <c r="I186" s="30"/>
      <c r="J186" s="5"/>
      <c r="K186" s="5"/>
      <c r="L186" s="24"/>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row>
    <row r="187" ht="12.75" customHeight="1">
      <c r="A187" s="22"/>
      <c r="B187" s="23"/>
      <c r="C187" s="24"/>
      <c r="D187" s="24"/>
      <c r="E187" s="24"/>
      <c r="F187" s="25"/>
      <c r="G187" s="20"/>
      <c r="H187" s="29"/>
      <c r="I187" s="30"/>
      <c r="J187" s="5"/>
      <c r="K187" s="5"/>
      <c r="L187" s="24"/>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row>
    <row r="188" ht="12.75" customHeight="1">
      <c r="A188" s="22"/>
      <c r="B188" s="23"/>
      <c r="C188" s="24"/>
      <c r="D188" s="24"/>
      <c r="E188" s="24"/>
      <c r="F188" s="25"/>
      <c r="G188" s="20"/>
      <c r="H188" s="29"/>
      <c r="I188" s="30"/>
      <c r="J188" s="5"/>
      <c r="K188" s="5"/>
      <c r="L188" s="24"/>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row>
    <row r="189" ht="12.75" customHeight="1">
      <c r="A189" s="22"/>
      <c r="B189" s="23"/>
      <c r="C189" s="24"/>
      <c r="D189" s="24"/>
      <c r="E189" s="24"/>
      <c r="F189" s="25"/>
      <c r="G189" s="20"/>
      <c r="H189" s="29"/>
      <c r="I189" s="30"/>
      <c r="J189" s="5"/>
      <c r="K189" s="5"/>
      <c r="L189" s="24"/>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row>
    <row r="190" ht="12.75" customHeight="1">
      <c r="A190" s="22"/>
      <c r="B190" s="23"/>
      <c r="C190" s="24"/>
      <c r="D190" s="24"/>
      <c r="E190" s="24"/>
      <c r="F190" s="25"/>
      <c r="G190" s="20"/>
      <c r="H190" s="29"/>
      <c r="I190" s="30"/>
      <c r="J190" s="5"/>
      <c r="K190" s="5"/>
      <c r="L190" s="24"/>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row>
    <row r="191" ht="12.75" customHeight="1">
      <c r="A191" s="22"/>
      <c r="B191" s="23"/>
      <c r="C191" s="24"/>
      <c r="D191" s="24"/>
      <c r="E191" s="24"/>
      <c r="F191" s="25"/>
      <c r="G191" s="20"/>
      <c r="H191" s="29"/>
      <c r="I191" s="30"/>
      <c r="J191" s="5"/>
      <c r="K191" s="5"/>
      <c r="L191" s="24"/>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row>
    <row r="192" ht="12.75" customHeight="1">
      <c r="A192" s="22"/>
      <c r="B192" s="23"/>
      <c r="C192" s="24"/>
      <c r="D192" s="24"/>
      <c r="E192" s="24"/>
      <c r="F192" s="25"/>
      <c r="G192" s="20"/>
      <c r="H192" s="29"/>
      <c r="I192" s="30"/>
      <c r="J192" s="5"/>
      <c r="K192" s="5"/>
      <c r="L192" s="24"/>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row>
    <row r="193" ht="12.75" customHeight="1">
      <c r="A193" s="22"/>
      <c r="B193" s="23"/>
      <c r="C193" s="24"/>
      <c r="D193" s="24"/>
      <c r="E193" s="24"/>
      <c r="F193" s="25"/>
      <c r="G193" s="20"/>
      <c r="H193" s="29"/>
      <c r="I193" s="30"/>
      <c r="J193" s="5"/>
      <c r="K193" s="5"/>
      <c r="L193" s="24"/>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row>
    <row r="194" ht="12.75" customHeight="1">
      <c r="A194" s="22"/>
      <c r="B194" s="23"/>
      <c r="C194" s="24"/>
      <c r="D194" s="24"/>
      <c r="E194" s="24"/>
      <c r="F194" s="25"/>
      <c r="G194" s="20"/>
      <c r="H194" s="29"/>
      <c r="I194" s="30"/>
      <c r="J194" s="5"/>
      <c r="K194" s="5"/>
      <c r="L194" s="24"/>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row>
    <row r="195" ht="12.75" customHeight="1">
      <c r="A195" s="22"/>
      <c r="B195" s="23"/>
      <c r="C195" s="24"/>
      <c r="D195" s="24"/>
      <c r="E195" s="24"/>
      <c r="F195" s="25"/>
      <c r="G195" s="20"/>
      <c r="H195" s="29"/>
      <c r="I195" s="30"/>
      <c r="J195" s="5"/>
      <c r="K195" s="5"/>
      <c r="L195" s="24"/>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row>
    <row r="196" ht="12.75" customHeight="1">
      <c r="A196" s="22"/>
      <c r="B196" s="23"/>
      <c r="C196" s="24"/>
      <c r="D196" s="24"/>
      <c r="E196" s="24"/>
      <c r="F196" s="25"/>
      <c r="G196" s="20"/>
      <c r="H196" s="29"/>
      <c r="I196" s="30"/>
      <c r="J196" s="5"/>
      <c r="K196" s="5"/>
      <c r="L196" s="24"/>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row>
    <row r="197" ht="12.75" customHeight="1">
      <c r="A197" s="22"/>
      <c r="B197" s="23"/>
      <c r="C197" s="24"/>
      <c r="D197" s="24"/>
      <c r="E197" s="24"/>
      <c r="F197" s="25"/>
      <c r="G197" s="20"/>
      <c r="H197" s="29"/>
      <c r="I197" s="30"/>
      <c r="J197" s="5"/>
      <c r="K197" s="5"/>
      <c r="L197" s="24"/>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row>
    <row r="198" ht="12.75" customHeight="1">
      <c r="A198" s="22"/>
      <c r="B198" s="23"/>
      <c r="C198" s="24"/>
      <c r="D198" s="24"/>
      <c r="E198" s="24"/>
      <c r="F198" s="25"/>
      <c r="G198" s="20"/>
      <c r="H198" s="29"/>
      <c r="I198" s="30"/>
      <c r="J198" s="5"/>
      <c r="K198" s="5"/>
      <c r="L198" s="24"/>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row>
    <row r="199" ht="12.75" customHeight="1">
      <c r="A199" s="22"/>
      <c r="B199" s="23"/>
      <c r="C199" s="24"/>
      <c r="D199" s="24"/>
      <c r="E199" s="24"/>
      <c r="F199" s="25"/>
      <c r="G199" s="20"/>
      <c r="H199" s="24"/>
      <c r="I199" s="30"/>
      <c r="J199" s="5"/>
      <c r="K199" s="5"/>
      <c r="L199" s="24"/>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row>
    <row r="200" ht="12.75" customHeight="1">
      <c r="A200" s="22"/>
      <c r="B200" s="23"/>
      <c r="C200" s="24"/>
      <c r="D200" s="24"/>
      <c r="E200" s="24"/>
      <c r="F200" s="25"/>
      <c r="G200" s="20"/>
      <c r="H200" s="24"/>
      <c r="I200" s="30"/>
      <c r="J200" s="5"/>
      <c r="K200" s="5"/>
      <c r="L200" s="24"/>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row>
    <row r="201" ht="12.75" customHeight="1">
      <c r="A201" s="22"/>
      <c r="B201" s="23"/>
      <c r="C201" s="24"/>
      <c r="D201" s="24"/>
      <c r="E201" s="24"/>
      <c r="F201" s="25"/>
      <c r="G201" s="20"/>
      <c r="H201" s="29"/>
      <c r="I201" s="30"/>
      <c r="J201" s="5"/>
      <c r="K201" s="5"/>
      <c r="L201" s="24"/>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row>
    <row r="202" ht="12.75" customHeight="1">
      <c r="A202" s="22"/>
      <c r="B202" s="23"/>
      <c r="C202" s="24"/>
      <c r="D202" s="24"/>
      <c r="E202" s="24"/>
      <c r="F202" s="25"/>
      <c r="G202" s="20"/>
      <c r="H202" s="29"/>
      <c r="I202" s="30"/>
      <c r="J202" s="5"/>
      <c r="K202" s="5"/>
      <c r="L202" s="24"/>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row>
    <row r="203" ht="12.75" customHeight="1">
      <c r="A203" s="22"/>
      <c r="B203" s="23"/>
      <c r="C203" s="24"/>
      <c r="D203" s="24"/>
      <c r="E203" s="24"/>
      <c r="F203" s="25"/>
      <c r="G203" s="20"/>
      <c r="H203" s="29"/>
      <c r="I203" s="30"/>
      <c r="J203" s="5"/>
      <c r="K203" s="5"/>
      <c r="L203" s="24"/>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row>
    <row r="204" ht="12.75" customHeight="1">
      <c r="A204" s="22"/>
      <c r="B204" s="23"/>
      <c r="C204" s="24"/>
      <c r="D204" s="24"/>
      <c r="E204" s="24"/>
      <c r="F204" s="25"/>
      <c r="G204" s="20"/>
      <c r="H204" s="29"/>
      <c r="I204" s="30"/>
      <c r="J204" s="5"/>
      <c r="K204" s="5"/>
      <c r="L204" s="24"/>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row>
    <row r="205" ht="12.75" customHeight="1">
      <c r="A205" s="22"/>
      <c r="B205" s="23"/>
      <c r="C205" s="24"/>
      <c r="D205" s="24"/>
      <c r="E205" s="24"/>
      <c r="F205" s="25"/>
      <c r="G205" s="20"/>
      <c r="H205" s="29"/>
      <c r="I205" s="30"/>
      <c r="J205" s="5"/>
      <c r="K205" s="5"/>
      <c r="L205" s="24"/>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row>
    <row r="206" ht="12.75" customHeight="1">
      <c r="A206" s="22"/>
      <c r="B206" s="23"/>
      <c r="C206" s="24"/>
      <c r="D206" s="24"/>
      <c r="E206" s="24"/>
      <c r="F206" s="25"/>
      <c r="G206" s="20"/>
      <c r="H206" s="32"/>
      <c r="I206" s="30"/>
      <c r="J206" s="5"/>
      <c r="K206" s="5"/>
      <c r="L206" s="24"/>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row>
    <row r="207" ht="12.75" customHeight="1">
      <c r="A207" s="22"/>
      <c r="B207" s="23"/>
      <c r="C207" s="24"/>
      <c r="D207" s="24"/>
      <c r="E207" s="24"/>
      <c r="F207" s="25"/>
      <c r="G207" s="20"/>
      <c r="H207" s="29"/>
      <c r="I207" s="30"/>
      <c r="J207" s="5"/>
      <c r="K207" s="5"/>
      <c r="L207" s="24"/>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row>
    <row r="208" ht="12.75" customHeight="1">
      <c r="A208" s="22"/>
      <c r="B208" s="23"/>
      <c r="C208" s="24"/>
      <c r="D208" s="24"/>
      <c r="E208" s="24"/>
      <c r="F208" s="25"/>
      <c r="G208" s="20"/>
      <c r="H208" s="29"/>
      <c r="I208" s="30"/>
      <c r="J208" s="5"/>
      <c r="K208" s="5"/>
      <c r="L208" s="24"/>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row>
    <row r="209" ht="12.75" customHeight="1">
      <c r="A209" s="22"/>
      <c r="B209" s="23"/>
      <c r="C209" s="24"/>
      <c r="D209" s="24"/>
      <c r="E209" s="24"/>
      <c r="F209" s="25"/>
      <c r="G209" s="20"/>
      <c r="H209" s="29"/>
      <c r="I209" s="30"/>
      <c r="J209" s="5"/>
      <c r="K209" s="5"/>
      <c r="L209" s="24"/>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row>
    <row r="210" ht="12.75" customHeight="1">
      <c r="A210" s="22"/>
      <c r="B210" s="23"/>
      <c r="C210" s="24"/>
      <c r="D210" s="24"/>
      <c r="E210" s="24"/>
      <c r="F210" s="25"/>
      <c r="G210" s="20"/>
      <c r="H210" s="29"/>
      <c r="I210" s="30"/>
      <c r="J210" s="5"/>
      <c r="K210" s="5"/>
      <c r="L210" s="24"/>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row>
    <row r="211" ht="12.75" customHeight="1">
      <c r="A211" s="22"/>
      <c r="B211" s="23"/>
      <c r="C211" s="24"/>
      <c r="D211" s="24"/>
      <c r="E211" s="24"/>
      <c r="F211" s="25"/>
      <c r="G211" s="20"/>
      <c r="H211" s="29"/>
      <c r="I211" s="30"/>
      <c r="J211" s="5"/>
      <c r="K211" s="5"/>
      <c r="L211" s="24"/>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row>
    <row r="212" ht="12.75" customHeight="1">
      <c r="A212" s="22"/>
      <c r="B212" s="23"/>
      <c r="C212" s="24"/>
      <c r="D212" s="24"/>
      <c r="E212" s="24"/>
      <c r="F212" s="25"/>
      <c r="G212" s="20"/>
      <c r="H212" s="29"/>
      <c r="I212" s="30"/>
      <c r="J212" s="5"/>
      <c r="K212" s="5"/>
      <c r="L212" s="24"/>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row>
    <row r="213" ht="12.75" customHeight="1">
      <c r="A213" s="22"/>
      <c r="B213" s="23"/>
      <c r="C213" s="24"/>
      <c r="D213" s="24"/>
      <c r="E213" s="24"/>
      <c r="F213" s="25"/>
      <c r="G213" s="20"/>
      <c r="H213" s="29"/>
      <c r="I213" s="30"/>
      <c r="J213" s="5"/>
      <c r="K213" s="5"/>
      <c r="L213" s="24"/>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row>
    <row r="214" ht="12.75" customHeight="1">
      <c r="A214" s="22"/>
      <c r="B214" s="23"/>
      <c r="C214" s="24"/>
      <c r="D214" s="24"/>
      <c r="E214" s="24"/>
      <c r="F214" s="25"/>
      <c r="G214" s="20"/>
      <c r="H214" s="29"/>
      <c r="I214" s="30"/>
      <c r="J214" s="5"/>
      <c r="K214" s="5"/>
      <c r="L214" s="24"/>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row>
    <row r="215" ht="12.75" customHeight="1">
      <c r="A215" s="22"/>
      <c r="B215" s="23"/>
      <c r="C215" s="24"/>
      <c r="D215" s="24"/>
      <c r="E215" s="24"/>
      <c r="F215" s="25"/>
      <c r="G215" s="20"/>
      <c r="H215" s="29"/>
      <c r="I215" s="30"/>
      <c r="J215" s="5"/>
      <c r="K215" s="5"/>
      <c r="L215" s="24"/>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row>
    <row r="216" ht="12.75" customHeight="1">
      <c r="A216" s="22"/>
      <c r="B216" s="23"/>
      <c r="C216" s="24"/>
      <c r="D216" s="24"/>
      <c r="E216" s="24"/>
      <c r="F216" s="25"/>
      <c r="G216" s="20"/>
      <c r="H216" s="29"/>
      <c r="I216" s="30"/>
      <c r="J216" s="5"/>
      <c r="K216" s="5"/>
      <c r="L216" s="24"/>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row>
    <row r="217" ht="12.75" customHeight="1">
      <c r="A217" s="22"/>
      <c r="B217" s="23"/>
      <c r="C217" s="24"/>
      <c r="D217" s="24"/>
      <c r="E217" s="24"/>
      <c r="F217" s="25"/>
      <c r="G217" s="20"/>
      <c r="H217" s="29"/>
      <c r="I217" s="30"/>
      <c r="J217" s="5"/>
      <c r="K217" s="5"/>
      <c r="L217" s="24"/>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row>
    <row r="218" ht="12.75" customHeight="1">
      <c r="A218" s="22"/>
      <c r="B218" s="23"/>
      <c r="C218" s="24"/>
      <c r="D218" s="24"/>
      <c r="E218" s="24"/>
      <c r="F218" s="25"/>
      <c r="G218" s="20"/>
      <c r="H218" s="29"/>
      <c r="I218" s="30"/>
      <c r="J218" s="5"/>
      <c r="K218" s="5"/>
      <c r="L218" s="24"/>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row>
    <row r="219" ht="12.75" customHeight="1">
      <c r="A219" s="22"/>
      <c r="B219" s="23"/>
      <c r="C219" s="24"/>
      <c r="D219" s="24"/>
      <c r="E219" s="24"/>
      <c r="F219" s="25"/>
      <c r="G219" s="20"/>
      <c r="H219" s="32"/>
      <c r="I219" s="30"/>
      <c r="J219" s="5"/>
      <c r="K219" s="5"/>
      <c r="L219" s="24"/>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row>
    <row r="220" ht="12.75" customHeight="1">
      <c r="A220" s="22"/>
      <c r="B220" s="23"/>
      <c r="C220" s="24"/>
      <c r="D220" s="24"/>
      <c r="E220" s="24"/>
      <c r="F220" s="25"/>
      <c r="G220" s="20"/>
      <c r="H220" s="29"/>
      <c r="I220" s="30"/>
      <c r="J220" s="5"/>
      <c r="K220" s="5"/>
      <c r="L220" s="24"/>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row>
    <row r="221" ht="12.75" customHeight="1">
      <c r="A221" s="22"/>
      <c r="B221" s="23"/>
      <c r="C221" s="24"/>
      <c r="D221" s="24"/>
      <c r="E221" s="24"/>
      <c r="F221" s="25"/>
      <c r="G221" s="20"/>
      <c r="H221" s="29"/>
      <c r="I221" s="30"/>
      <c r="J221" s="5"/>
      <c r="K221" s="5"/>
      <c r="L221" s="24"/>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row>
    <row r="222" ht="12.75" customHeight="1">
      <c r="A222" s="22"/>
      <c r="B222" s="23"/>
      <c r="C222" s="24"/>
      <c r="D222" s="24"/>
      <c r="E222" s="24"/>
      <c r="F222" s="25"/>
      <c r="G222" s="20"/>
      <c r="H222" s="29"/>
      <c r="I222" s="30"/>
      <c r="J222" s="5"/>
      <c r="K222" s="5"/>
      <c r="L222" s="24"/>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row>
    <row r="223" ht="12.75" customHeight="1">
      <c r="A223" s="22"/>
      <c r="B223" s="23"/>
      <c r="C223" s="24"/>
      <c r="D223" s="24"/>
      <c r="E223" s="24"/>
      <c r="F223" s="25"/>
      <c r="G223" s="20"/>
      <c r="H223" s="29"/>
      <c r="I223" s="30"/>
      <c r="J223" s="5"/>
      <c r="K223" s="5"/>
      <c r="L223" s="24"/>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row>
    <row r="224" ht="12.75" customHeight="1">
      <c r="A224" s="22"/>
      <c r="B224" s="23"/>
      <c r="C224" s="24"/>
      <c r="D224" s="24"/>
      <c r="E224" s="24"/>
      <c r="F224" s="25"/>
      <c r="G224" s="20"/>
      <c r="H224" s="29"/>
      <c r="I224" s="30"/>
      <c r="J224" s="5"/>
      <c r="K224" s="5"/>
      <c r="L224" s="24"/>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row>
    <row r="225" ht="12.75" customHeight="1">
      <c r="A225" s="22"/>
      <c r="B225" s="23"/>
      <c r="C225" s="24"/>
      <c r="D225" s="24"/>
      <c r="E225" s="24"/>
      <c r="F225" s="25"/>
      <c r="G225" s="20"/>
      <c r="H225" s="29"/>
      <c r="I225" s="30"/>
      <c r="J225" s="5"/>
      <c r="K225" s="5"/>
      <c r="L225" s="24"/>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row>
    <row r="226" ht="12.75" customHeight="1">
      <c r="A226" s="22"/>
      <c r="B226" s="23"/>
      <c r="C226" s="24"/>
      <c r="D226" s="24"/>
      <c r="E226" s="24"/>
      <c r="F226" s="25"/>
      <c r="G226" s="20"/>
      <c r="H226" s="29"/>
      <c r="I226" s="30"/>
      <c r="J226" s="5"/>
      <c r="K226" s="5"/>
      <c r="L226" s="24"/>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row>
    <row r="227" ht="12.75" customHeight="1">
      <c r="A227" s="22"/>
      <c r="B227" s="23"/>
      <c r="C227" s="24"/>
      <c r="D227" s="24"/>
      <c r="E227" s="24"/>
      <c r="F227" s="25"/>
      <c r="G227" s="20"/>
      <c r="H227" s="29"/>
      <c r="I227" s="30"/>
      <c r="J227" s="5"/>
      <c r="K227" s="5"/>
      <c r="L227" s="24"/>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row>
    <row r="228" ht="12.75" customHeight="1">
      <c r="A228" s="22"/>
      <c r="B228" s="23"/>
      <c r="C228" s="24"/>
      <c r="D228" s="24"/>
      <c r="E228" s="24"/>
      <c r="F228" s="25"/>
      <c r="G228" s="20"/>
      <c r="H228" s="29"/>
      <c r="I228" s="30"/>
      <c r="J228" s="5"/>
      <c r="K228" s="5"/>
      <c r="L228" s="24"/>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row>
    <row r="229" ht="12.75" customHeight="1">
      <c r="A229" s="22"/>
      <c r="B229" s="23"/>
      <c r="C229" s="24"/>
      <c r="D229" s="24"/>
      <c r="E229" s="24"/>
      <c r="F229" s="25"/>
      <c r="G229" s="20"/>
      <c r="H229" s="29"/>
      <c r="I229" s="30"/>
      <c r="J229" s="5"/>
      <c r="K229" s="5"/>
      <c r="L229" s="24"/>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row>
    <row r="230" ht="12.75" customHeight="1">
      <c r="A230" s="22"/>
      <c r="B230" s="23"/>
      <c r="C230" s="24"/>
      <c r="D230" s="24"/>
      <c r="E230" s="24"/>
      <c r="F230" s="25"/>
      <c r="G230" s="20"/>
      <c r="H230" s="29"/>
      <c r="I230" s="30"/>
      <c r="J230" s="5"/>
      <c r="K230" s="5"/>
      <c r="L230" s="24"/>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row>
    <row r="231" ht="12.75" customHeight="1">
      <c r="A231" s="22"/>
      <c r="B231" s="23"/>
      <c r="C231" s="24"/>
      <c r="D231" s="24"/>
      <c r="E231" s="24"/>
      <c r="F231" s="25"/>
      <c r="G231" s="20"/>
      <c r="H231" s="29"/>
      <c r="I231" s="30"/>
      <c r="J231" s="5"/>
      <c r="K231" s="5"/>
      <c r="L231" s="24"/>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row>
    <row r="232" ht="12.75" customHeight="1">
      <c r="A232" s="22"/>
      <c r="B232" s="23"/>
      <c r="C232" s="24"/>
      <c r="D232" s="24"/>
      <c r="E232" s="24"/>
      <c r="F232" s="25"/>
      <c r="G232" s="20"/>
      <c r="H232" s="29"/>
      <c r="I232" s="30"/>
      <c r="J232" s="5"/>
      <c r="K232" s="5"/>
      <c r="L232" s="24"/>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row>
    <row r="233" ht="12.75" customHeight="1">
      <c r="A233" s="22"/>
      <c r="B233" s="23"/>
      <c r="C233" s="24"/>
      <c r="D233" s="24"/>
      <c r="E233" s="24"/>
      <c r="F233" s="25"/>
      <c r="G233" s="20"/>
      <c r="H233" s="29"/>
      <c r="I233" s="30"/>
      <c r="J233" s="5"/>
      <c r="K233" s="5"/>
      <c r="L233" s="24"/>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row>
    <row r="234" ht="12.75" customHeight="1">
      <c r="A234" s="22"/>
      <c r="B234" s="23"/>
      <c r="C234" s="24"/>
      <c r="D234" s="24"/>
      <c r="E234" s="24"/>
      <c r="F234" s="25"/>
      <c r="G234" s="20"/>
      <c r="H234" s="29"/>
      <c r="I234" s="30"/>
      <c r="J234" s="5"/>
      <c r="K234" s="5"/>
      <c r="L234" s="24"/>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row>
    <row r="235" ht="12.75" customHeight="1">
      <c r="A235" s="22"/>
      <c r="B235" s="23"/>
      <c r="C235" s="24"/>
      <c r="D235" s="24"/>
      <c r="E235" s="24"/>
      <c r="F235" s="25"/>
      <c r="G235" s="20"/>
      <c r="H235" s="29"/>
      <c r="I235" s="30"/>
      <c r="J235" s="5"/>
      <c r="K235" s="5"/>
      <c r="L235" s="24"/>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row>
    <row r="236" ht="12.75" customHeight="1">
      <c r="A236" s="22"/>
      <c r="B236" s="23"/>
      <c r="C236" s="24"/>
      <c r="D236" s="24"/>
      <c r="E236" s="24"/>
      <c r="F236" s="25"/>
      <c r="G236" s="20"/>
      <c r="H236" s="29"/>
      <c r="I236" s="30"/>
      <c r="J236" s="5"/>
      <c r="K236" s="5"/>
      <c r="L236" s="24"/>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row>
    <row r="237" ht="12.75" customHeight="1">
      <c r="A237" s="22"/>
      <c r="B237" s="23"/>
      <c r="C237" s="24"/>
      <c r="D237" s="24"/>
      <c r="E237" s="24"/>
      <c r="F237" s="25"/>
      <c r="G237" s="20"/>
      <c r="H237" s="29"/>
      <c r="I237" s="30"/>
      <c r="J237" s="5"/>
      <c r="K237" s="5"/>
      <c r="L237" s="24"/>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row>
    <row r="238" ht="12.75" customHeight="1">
      <c r="A238" s="22"/>
      <c r="B238" s="23"/>
      <c r="C238" s="24"/>
      <c r="D238" s="24"/>
      <c r="E238" s="24"/>
      <c r="F238" s="25"/>
      <c r="G238" s="20"/>
      <c r="H238" s="29"/>
      <c r="I238" s="30"/>
      <c r="J238" s="5"/>
      <c r="K238" s="5"/>
      <c r="L238" s="24"/>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row>
    <row r="239" ht="12.75" customHeight="1">
      <c r="A239" s="22"/>
      <c r="B239" s="23"/>
      <c r="C239" s="24"/>
      <c r="D239" s="24"/>
      <c r="E239" s="24"/>
      <c r="F239" s="25"/>
      <c r="G239" s="20"/>
      <c r="H239" s="29"/>
      <c r="I239" s="30"/>
      <c r="J239" s="5"/>
      <c r="K239" s="5"/>
      <c r="L239" s="24"/>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row>
    <row r="240" ht="12.75" customHeight="1">
      <c r="A240" s="22"/>
      <c r="B240" s="23"/>
      <c r="C240" s="24"/>
      <c r="D240" s="24"/>
      <c r="E240" s="24"/>
      <c r="F240" s="25"/>
      <c r="G240" s="20"/>
      <c r="H240" s="29"/>
      <c r="I240" s="30"/>
      <c r="J240" s="5"/>
      <c r="K240" s="5"/>
      <c r="L240" s="24"/>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row>
    <row r="241" ht="12.75" customHeight="1">
      <c r="A241" s="22"/>
      <c r="B241" s="23"/>
      <c r="C241" s="24"/>
      <c r="D241" s="24"/>
      <c r="E241" s="24"/>
      <c r="F241" s="25"/>
      <c r="G241" s="20"/>
      <c r="H241" s="29"/>
      <c r="I241" s="30"/>
      <c r="J241" s="5"/>
      <c r="K241" s="5"/>
      <c r="L241" s="24"/>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row>
    <row r="242" ht="12.75" customHeight="1">
      <c r="A242" s="22"/>
      <c r="B242" s="23"/>
      <c r="C242" s="24"/>
      <c r="D242" s="24"/>
      <c r="E242" s="24"/>
      <c r="F242" s="25"/>
      <c r="G242" s="20"/>
      <c r="H242" s="29"/>
      <c r="I242" s="30"/>
      <c r="J242" s="5"/>
      <c r="K242" s="5"/>
      <c r="L242" s="24"/>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row>
    <row r="243" ht="12.75" customHeight="1">
      <c r="A243" s="22"/>
      <c r="B243" s="23"/>
      <c r="C243" s="24"/>
      <c r="D243" s="24"/>
      <c r="E243" s="24"/>
      <c r="F243" s="25"/>
      <c r="G243" s="20"/>
      <c r="H243" s="29"/>
      <c r="I243" s="30"/>
      <c r="J243" s="5"/>
      <c r="K243" s="5"/>
      <c r="L243" s="24"/>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row>
    <row r="244" ht="12.75" customHeight="1">
      <c r="A244" s="22"/>
      <c r="B244" s="23"/>
      <c r="C244" s="24"/>
      <c r="D244" s="24"/>
      <c r="E244" s="24"/>
      <c r="F244" s="25"/>
      <c r="G244" s="20"/>
      <c r="H244" s="29"/>
      <c r="I244" s="30"/>
      <c r="J244" s="5"/>
      <c r="K244" s="5"/>
      <c r="L244" s="24"/>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row>
    <row r="245" ht="12.75" customHeight="1">
      <c r="A245" s="22"/>
      <c r="B245" s="23"/>
      <c r="C245" s="24"/>
      <c r="D245" s="24"/>
      <c r="E245" s="24"/>
      <c r="F245" s="25"/>
      <c r="G245" s="20"/>
      <c r="H245" s="29"/>
      <c r="I245" s="30"/>
      <c r="J245" s="5"/>
      <c r="K245" s="5"/>
      <c r="L245" s="24"/>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row>
    <row r="246" ht="12.75" customHeight="1">
      <c r="A246" s="22"/>
      <c r="B246" s="23"/>
      <c r="C246" s="24"/>
      <c r="D246" s="24"/>
      <c r="E246" s="24"/>
      <c r="F246" s="25"/>
      <c r="G246" s="20"/>
      <c r="H246" s="29"/>
      <c r="I246" s="30"/>
      <c r="J246" s="5"/>
      <c r="K246" s="5"/>
      <c r="L246" s="24"/>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row>
    <row r="247" ht="12.75" customHeight="1">
      <c r="A247" s="22"/>
      <c r="B247" s="23"/>
      <c r="C247" s="24"/>
      <c r="D247" s="24"/>
      <c r="E247" s="24"/>
      <c r="F247" s="25"/>
      <c r="G247" s="20"/>
      <c r="H247" s="29"/>
      <c r="I247" s="30"/>
      <c r="J247" s="5"/>
      <c r="K247" s="5"/>
      <c r="L247" s="24"/>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row>
    <row r="248" ht="12.75" customHeight="1">
      <c r="A248" s="22"/>
      <c r="B248" s="23"/>
      <c r="C248" s="24"/>
      <c r="D248" s="24"/>
      <c r="E248" s="24"/>
      <c r="F248" s="25"/>
      <c r="G248" s="20"/>
      <c r="H248" s="29"/>
      <c r="I248" s="30"/>
      <c r="J248" s="5"/>
      <c r="K248" s="5"/>
      <c r="L248" s="24"/>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row>
    <row r="249" ht="12.75" customHeight="1">
      <c r="A249" s="22"/>
      <c r="B249" s="23"/>
      <c r="C249" s="24"/>
      <c r="D249" s="24"/>
      <c r="E249" s="24"/>
      <c r="F249" s="25"/>
      <c r="G249" s="20"/>
      <c r="H249" s="29"/>
      <c r="I249" s="30"/>
      <c r="J249" s="5"/>
      <c r="K249" s="5"/>
      <c r="L249" s="24"/>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row>
    <row r="250" ht="12.75" customHeight="1">
      <c r="A250" s="22"/>
      <c r="B250" s="23"/>
      <c r="C250" s="24"/>
      <c r="D250" s="24"/>
      <c r="E250" s="24"/>
      <c r="F250" s="25"/>
      <c r="G250" s="20"/>
      <c r="H250" s="29"/>
      <c r="I250" s="30"/>
      <c r="J250" s="5"/>
      <c r="K250" s="5"/>
      <c r="L250" s="24"/>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row>
    <row r="251" ht="12.75" customHeight="1">
      <c r="A251" s="22"/>
      <c r="B251" s="23"/>
      <c r="C251" s="24"/>
      <c r="D251" s="24"/>
      <c r="E251" s="24"/>
      <c r="F251" s="25"/>
      <c r="G251" s="20"/>
      <c r="H251" s="29"/>
      <c r="I251" s="30"/>
      <c r="J251" s="5"/>
      <c r="K251" s="5"/>
      <c r="L251" s="24"/>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row>
    <row r="252" ht="12.75" customHeight="1">
      <c r="A252" s="22"/>
      <c r="B252" s="23"/>
      <c r="C252" s="24"/>
      <c r="D252" s="24"/>
      <c r="E252" s="24"/>
      <c r="F252" s="25"/>
      <c r="G252" s="20"/>
      <c r="H252" s="29"/>
      <c r="I252" s="30"/>
      <c r="J252" s="5"/>
      <c r="K252" s="5"/>
      <c r="L252" s="24"/>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row>
    <row r="253" ht="12.75" customHeight="1">
      <c r="A253" s="22"/>
      <c r="B253" s="23"/>
      <c r="C253" s="24"/>
      <c r="D253" s="24"/>
      <c r="E253" s="24"/>
      <c r="F253" s="25"/>
      <c r="G253" s="20"/>
      <c r="H253" s="29"/>
      <c r="I253" s="30"/>
      <c r="J253" s="5"/>
      <c r="K253" s="5"/>
      <c r="L253" s="24"/>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row>
    <row r="254" ht="12.75" customHeight="1">
      <c r="A254" s="22"/>
      <c r="B254" s="23"/>
      <c r="C254" s="24"/>
      <c r="D254" s="24"/>
      <c r="E254" s="24"/>
      <c r="F254" s="25"/>
      <c r="G254" s="20"/>
      <c r="H254" s="29"/>
      <c r="I254" s="30"/>
      <c r="J254" s="5"/>
      <c r="K254" s="5"/>
      <c r="L254" s="24"/>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row>
    <row r="255" ht="12.75" customHeight="1">
      <c r="A255" s="22"/>
      <c r="B255" s="23"/>
      <c r="C255" s="24"/>
      <c r="D255" s="24"/>
      <c r="E255" s="24"/>
      <c r="F255" s="25"/>
      <c r="G255" s="20"/>
      <c r="H255" s="29"/>
      <c r="I255" s="30"/>
      <c r="J255" s="5"/>
      <c r="K255" s="5"/>
      <c r="L255" s="24"/>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row>
    <row r="256" ht="12.75" customHeight="1">
      <c r="A256" s="22"/>
      <c r="B256" s="23"/>
      <c r="C256" s="24"/>
      <c r="D256" s="24"/>
      <c r="E256" s="24"/>
      <c r="F256" s="25"/>
      <c r="G256" s="20"/>
      <c r="H256" s="29"/>
      <c r="I256" s="30"/>
      <c r="J256" s="5"/>
      <c r="K256" s="5"/>
      <c r="L256" s="24"/>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row>
    <row r="257" ht="12.75" customHeight="1">
      <c r="A257" s="22"/>
      <c r="B257" s="23"/>
      <c r="C257" s="24"/>
      <c r="D257" s="24"/>
      <c r="E257" s="24"/>
      <c r="F257" s="25"/>
      <c r="G257" s="20"/>
      <c r="H257" s="29"/>
      <c r="I257" s="30"/>
      <c r="J257" s="5"/>
      <c r="K257" s="5"/>
      <c r="L257" s="24"/>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row>
    <row r="258" ht="12.75" customHeight="1">
      <c r="A258" s="22"/>
      <c r="B258" s="23"/>
      <c r="C258" s="24"/>
      <c r="D258" s="24"/>
      <c r="E258" s="24"/>
      <c r="F258" s="25"/>
      <c r="G258" s="20"/>
      <c r="H258" s="29"/>
      <c r="I258" s="30"/>
      <c r="J258" s="5"/>
      <c r="K258" s="5"/>
      <c r="L258" s="24"/>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row>
    <row r="259" ht="12.75" customHeight="1">
      <c r="A259" s="22"/>
      <c r="B259" s="23"/>
      <c r="C259" s="24"/>
      <c r="D259" s="24"/>
      <c r="E259" s="24"/>
      <c r="F259" s="25"/>
      <c r="G259" s="20"/>
      <c r="H259" s="29"/>
      <c r="I259" s="30"/>
      <c r="J259" s="5"/>
      <c r="K259" s="5"/>
      <c r="L259" s="24"/>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row>
    <row r="260" ht="12.75" customHeight="1">
      <c r="A260" s="36"/>
      <c r="B260" s="13"/>
      <c r="C260" s="13"/>
      <c r="D260" s="13"/>
      <c r="E260" s="13"/>
      <c r="F260" s="19"/>
      <c r="G260" s="20"/>
      <c r="H260" s="13"/>
      <c r="I260" s="21"/>
      <c r="J260" s="5"/>
      <c r="K260" s="5"/>
      <c r="L260" s="5"/>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row>
    <row r="261" ht="12.75" customHeight="1">
      <c r="A261" s="36"/>
      <c r="B261" s="13"/>
      <c r="C261" s="13"/>
      <c r="D261" s="13"/>
      <c r="E261" s="13"/>
      <c r="F261" s="19"/>
      <c r="G261" s="20"/>
      <c r="H261" s="13"/>
      <c r="I261" s="21"/>
      <c r="J261" s="5"/>
      <c r="K261" s="5"/>
      <c r="L261" s="5"/>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row>
    <row r="262" ht="12.75" customHeight="1">
      <c r="A262" s="36"/>
      <c r="B262" s="13"/>
      <c r="C262" s="13"/>
      <c r="D262" s="13"/>
      <c r="E262" s="13"/>
      <c r="F262" s="19"/>
      <c r="G262" s="20"/>
      <c r="H262" s="13"/>
      <c r="I262" s="21"/>
      <c r="J262" s="5"/>
      <c r="K262" s="5"/>
      <c r="L262" s="5"/>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row>
    <row r="263" ht="12.75" customHeight="1">
      <c r="A263" s="36"/>
      <c r="B263" s="13"/>
      <c r="C263" s="13"/>
      <c r="D263" s="13"/>
      <c r="E263" s="13"/>
      <c r="F263" s="19"/>
      <c r="G263" s="20"/>
      <c r="H263" s="13"/>
      <c r="I263" s="21"/>
      <c r="J263" s="5"/>
      <c r="K263" s="5"/>
      <c r="L263" s="5"/>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row>
    <row r="264" ht="12.75" customHeight="1">
      <c r="A264" s="36"/>
      <c r="B264" s="13"/>
      <c r="C264" s="13"/>
      <c r="D264" s="13"/>
      <c r="E264" s="13"/>
      <c r="F264" s="19"/>
      <c r="G264" s="20"/>
      <c r="H264" s="13"/>
      <c r="I264" s="21"/>
      <c r="J264" s="5"/>
      <c r="K264" s="5"/>
      <c r="L264" s="5"/>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row>
    <row r="265" ht="12.75" customHeight="1">
      <c r="A265" s="36"/>
      <c r="B265" s="13"/>
      <c r="C265" s="13"/>
      <c r="D265" s="13"/>
      <c r="E265" s="13"/>
      <c r="F265" s="19"/>
      <c r="G265" s="20"/>
      <c r="H265" s="13"/>
      <c r="I265" s="21"/>
      <c r="J265" s="5"/>
      <c r="K265" s="5"/>
      <c r="L265" s="5"/>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row>
    <row r="266" ht="12.75" customHeight="1">
      <c r="A266" s="36"/>
      <c r="B266" s="13"/>
      <c r="C266" s="13"/>
      <c r="D266" s="13"/>
      <c r="E266" s="13"/>
      <c r="F266" s="19"/>
      <c r="G266" s="20"/>
      <c r="H266" s="13"/>
      <c r="I266" s="21"/>
      <c r="J266" s="5"/>
      <c r="K266" s="5"/>
      <c r="L266" s="5"/>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row>
    <row r="267" ht="12.75" customHeight="1">
      <c r="A267" s="36"/>
      <c r="B267" s="13"/>
      <c r="C267" s="13"/>
      <c r="D267" s="13"/>
      <c r="E267" s="13"/>
      <c r="F267" s="19"/>
      <c r="G267" s="20"/>
      <c r="H267" s="13"/>
      <c r="I267" s="21"/>
      <c r="J267" s="5"/>
      <c r="K267" s="5"/>
      <c r="L267" s="5"/>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row>
    <row r="268" ht="12.75" customHeight="1">
      <c r="A268" s="36"/>
      <c r="B268" s="13"/>
      <c r="C268" s="13"/>
      <c r="D268" s="13"/>
      <c r="E268" s="13"/>
      <c r="F268" s="19"/>
      <c r="G268" s="20"/>
      <c r="H268" s="13"/>
      <c r="I268" s="21"/>
      <c r="J268" s="5"/>
      <c r="K268" s="5"/>
      <c r="L268" s="5"/>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row>
    <row r="269" ht="12.75" customHeight="1">
      <c r="A269" s="36"/>
      <c r="B269" s="13"/>
      <c r="C269" s="13"/>
      <c r="D269" s="13"/>
      <c r="E269" s="13"/>
      <c r="F269" s="19"/>
      <c r="G269" s="20"/>
      <c r="H269" s="13"/>
      <c r="I269" s="21"/>
      <c r="J269" s="5"/>
      <c r="K269" s="5"/>
      <c r="L269" s="5"/>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row>
    <row r="270" ht="12.75" customHeight="1">
      <c r="A270" s="36"/>
      <c r="B270" s="13"/>
      <c r="C270" s="13"/>
      <c r="D270" s="13"/>
      <c r="E270" s="13"/>
      <c r="F270" s="19"/>
      <c r="G270" s="20"/>
      <c r="H270" s="13"/>
      <c r="I270" s="21"/>
      <c r="J270" s="5"/>
      <c r="K270" s="5"/>
      <c r="L270" s="5"/>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row>
    <row r="271" ht="12.75" customHeight="1">
      <c r="A271" s="36"/>
      <c r="B271" s="13"/>
      <c r="C271" s="13"/>
      <c r="D271" s="13"/>
      <c r="E271" s="13"/>
      <c r="F271" s="19"/>
      <c r="G271" s="20"/>
      <c r="H271" s="13"/>
      <c r="I271" s="21"/>
      <c r="J271" s="5"/>
      <c r="K271" s="5"/>
      <c r="L271" s="5"/>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row>
    <row r="272" ht="12.75" customHeight="1">
      <c r="A272" s="36"/>
      <c r="B272" s="13"/>
      <c r="C272" s="13"/>
      <c r="D272" s="13"/>
      <c r="E272" s="13"/>
      <c r="F272" s="19"/>
      <c r="G272" s="20"/>
      <c r="H272" s="13"/>
      <c r="I272" s="21"/>
      <c r="J272" s="5"/>
      <c r="K272" s="5"/>
      <c r="L272" s="5"/>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row>
    <row r="273" ht="12.75" customHeight="1">
      <c r="A273" s="36"/>
      <c r="B273" s="13"/>
      <c r="C273" s="13"/>
      <c r="D273" s="13"/>
      <c r="E273" s="13"/>
      <c r="F273" s="19"/>
      <c r="G273" s="20"/>
      <c r="H273" s="13"/>
      <c r="I273" s="21"/>
      <c r="J273" s="5"/>
      <c r="K273" s="5"/>
      <c r="L273" s="5"/>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row>
    <row r="274" ht="12.75" customHeight="1">
      <c r="A274" s="36"/>
      <c r="B274" s="13"/>
      <c r="C274" s="13"/>
      <c r="D274" s="13"/>
      <c r="E274" s="13"/>
      <c r="F274" s="19"/>
      <c r="G274" s="20"/>
      <c r="H274" s="13"/>
      <c r="I274" s="21"/>
      <c r="J274" s="5"/>
      <c r="K274" s="5"/>
      <c r="L274" s="5"/>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row>
    <row r="275" ht="12.75" customHeight="1">
      <c r="A275" s="36"/>
      <c r="B275" s="13"/>
      <c r="C275" s="13"/>
      <c r="D275" s="13"/>
      <c r="E275" s="13"/>
      <c r="F275" s="19"/>
      <c r="G275" s="20"/>
      <c r="H275" s="13"/>
      <c r="I275" s="21"/>
      <c r="J275" s="5"/>
      <c r="K275" s="5"/>
      <c r="L275" s="5"/>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row>
    <row r="276" ht="12.75" customHeight="1">
      <c r="A276" s="36"/>
      <c r="B276" s="13"/>
      <c r="C276" s="13"/>
      <c r="D276" s="13"/>
      <c r="E276" s="13"/>
      <c r="F276" s="19"/>
      <c r="G276" s="20"/>
      <c r="H276" s="13"/>
      <c r="I276" s="21"/>
      <c r="J276" s="5"/>
      <c r="K276" s="5"/>
      <c r="L276" s="5"/>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row>
    <row r="277" ht="12.75" customHeight="1">
      <c r="A277" s="36"/>
      <c r="B277" s="13"/>
      <c r="C277" s="13"/>
      <c r="D277" s="13"/>
      <c r="E277" s="13"/>
      <c r="F277" s="19"/>
      <c r="G277" s="20"/>
      <c r="H277" s="13"/>
      <c r="I277" s="21"/>
      <c r="J277" s="5"/>
      <c r="K277" s="5"/>
      <c r="L277" s="5"/>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row>
    <row r="278" ht="12.75" customHeight="1">
      <c r="A278" s="36"/>
      <c r="B278" s="13"/>
      <c r="C278" s="13"/>
      <c r="D278" s="13"/>
      <c r="E278" s="13"/>
      <c r="F278" s="19"/>
      <c r="G278" s="20"/>
      <c r="H278" s="13"/>
      <c r="I278" s="21"/>
      <c r="J278" s="5"/>
      <c r="K278" s="5"/>
      <c r="L278" s="5"/>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row>
    <row r="279" ht="12.75" customHeight="1">
      <c r="A279" s="36"/>
      <c r="B279" s="13"/>
      <c r="C279" s="13"/>
      <c r="D279" s="13"/>
      <c r="E279" s="13"/>
      <c r="F279" s="19"/>
      <c r="G279" s="20"/>
      <c r="H279" s="13"/>
      <c r="I279" s="21"/>
      <c r="J279" s="5"/>
      <c r="K279" s="5"/>
      <c r="L279" s="5"/>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row>
    <row r="280" ht="12.75" customHeight="1">
      <c r="A280" s="36"/>
      <c r="B280" s="13"/>
      <c r="C280" s="13"/>
      <c r="D280" s="13"/>
      <c r="E280" s="13"/>
      <c r="F280" s="19"/>
      <c r="G280" s="20"/>
      <c r="H280" s="13"/>
      <c r="I280" s="21"/>
      <c r="J280" s="5"/>
      <c r="K280" s="5"/>
      <c r="L280" s="5"/>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row>
    <row r="281" ht="12.75" customHeight="1">
      <c r="A281" s="36"/>
      <c r="B281" s="13"/>
      <c r="C281" s="13"/>
      <c r="D281" s="13"/>
      <c r="E281" s="13"/>
      <c r="F281" s="19"/>
      <c r="G281" s="20"/>
      <c r="H281" s="13"/>
      <c r="I281" s="21"/>
      <c r="J281" s="5"/>
      <c r="K281" s="5"/>
      <c r="L281" s="5"/>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row>
    <row r="282" ht="12.75" customHeight="1">
      <c r="A282" s="36"/>
      <c r="B282" s="13"/>
      <c r="C282" s="13"/>
      <c r="D282" s="13"/>
      <c r="E282" s="13"/>
      <c r="F282" s="19"/>
      <c r="G282" s="20"/>
      <c r="H282" s="13"/>
      <c r="I282" s="21"/>
      <c r="J282" s="5"/>
      <c r="K282" s="5"/>
      <c r="L282" s="5"/>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row>
    <row r="283" ht="12.75" customHeight="1">
      <c r="A283" s="36"/>
      <c r="B283" s="13"/>
      <c r="C283" s="13"/>
      <c r="D283" s="13"/>
      <c r="E283" s="13"/>
      <c r="F283" s="19"/>
      <c r="G283" s="20"/>
      <c r="H283" s="13"/>
      <c r="I283" s="21"/>
      <c r="J283" s="5"/>
      <c r="K283" s="5"/>
      <c r="L283" s="5"/>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row>
    <row r="284" ht="12.75" customHeight="1">
      <c r="A284" s="36"/>
      <c r="B284" s="13"/>
      <c r="C284" s="13"/>
      <c r="D284" s="13"/>
      <c r="E284" s="13"/>
      <c r="F284" s="19"/>
      <c r="G284" s="20"/>
      <c r="H284" s="13"/>
      <c r="I284" s="21"/>
      <c r="J284" s="5"/>
      <c r="K284" s="5"/>
      <c r="L284" s="5"/>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row>
    <row r="285" ht="12.75" customHeight="1">
      <c r="A285" s="36"/>
      <c r="B285" s="13"/>
      <c r="C285" s="13"/>
      <c r="D285" s="13"/>
      <c r="E285" s="13"/>
      <c r="F285" s="19"/>
      <c r="G285" s="20"/>
      <c r="H285" s="13"/>
      <c r="I285" s="21"/>
      <c r="J285" s="5"/>
      <c r="K285" s="5"/>
      <c r="L285" s="5"/>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row>
    <row r="286" ht="12.75" customHeight="1">
      <c r="A286" s="36"/>
      <c r="B286" s="13"/>
      <c r="C286" s="13"/>
      <c r="D286" s="13"/>
      <c r="E286" s="13"/>
      <c r="F286" s="19"/>
      <c r="G286" s="20"/>
      <c r="H286" s="13"/>
      <c r="I286" s="21"/>
      <c r="J286" s="5"/>
      <c r="K286" s="5"/>
      <c r="L286" s="5"/>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row>
    <row r="287" ht="12.75" customHeight="1">
      <c r="A287" s="36"/>
      <c r="B287" s="13"/>
      <c r="C287" s="13"/>
      <c r="D287" s="13"/>
      <c r="E287" s="13"/>
      <c r="F287" s="19"/>
      <c r="G287" s="20"/>
      <c r="H287" s="13"/>
      <c r="I287" s="21"/>
      <c r="J287" s="5"/>
      <c r="K287" s="5"/>
      <c r="L287" s="5"/>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row>
    <row r="288" ht="12.75" customHeight="1">
      <c r="A288" s="36"/>
      <c r="B288" s="13"/>
      <c r="C288" s="13"/>
      <c r="D288" s="13"/>
      <c r="E288" s="13"/>
      <c r="F288" s="19"/>
      <c r="G288" s="20"/>
      <c r="H288" s="13"/>
      <c r="I288" s="21"/>
      <c r="J288" s="5"/>
      <c r="K288" s="5"/>
      <c r="L288" s="5"/>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row>
    <row r="289" ht="12.75" customHeight="1">
      <c r="A289" s="36"/>
      <c r="B289" s="13"/>
      <c r="C289" s="13"/>
      <c r="D289" s="13"/>
      <c r="E289" s="13"/>
      <c r="F289" s="19"/>
      <c r="G289" s="20"/>
      <c r="H289" s="13"/>
      <c r="I289" s="21"/>
      <c r="J289" s="5"/>
      <c r="K289" s="5"/>
      <c r="L289" s="5"/>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row>
    <row r="290" ht="12.75" customHeight="1">
      <c r="A290" s="36"/>
      <c r="B290" s="13"/>
      <c r="C290" s="13"/>
      <c r="D290" s="13"/>
      <c r="E290" s="13"/>
      <c r="F290" s="19"/>
      <c r="G290" s="20"/>
      <c r="H290" s="13"/>
      <c r="I290" s="21"/>
      <c r="J290" s="5"/>
      <c r="K290" s="5"/>
      <c r="L290" s="5"/>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row>
    <row r="291" ht="12.75" customHeight="1">
      <c r="A291" s="36"/>
      <c r="B291" s="13"/>
      <c r="C291" s="13"/>
      <c r="D291" s="13"/>
      <c r="E291" s="13"/>
      <c r="F291" s="19"/>
      <c r="G291" s="20"/>
      <c r="H291" s="13"/>
      <c r="I291" s="21"/>
      <c r="J291" s="5"/>
      <c r="K291" s="5"/>
      <c r="L291" s="5"/>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row>
    <row r="292" ht="12.75" customHeight="1">
      <c r="A292" s="36"/>
      <c r="B292" s="13"/>
      <c r="C292" s="13"/>
      <c r="D292" s="13"/>
      <c r="E292" s="13"/>
      <c r="F292" s="19"/>
      <c r="G292" s="20"/>
      <c r="H292" s="13"/>
      <c r="I292" s="21"/>
      <c r="J292" s="5"/>
      <c r="K292" s="5"/>
      <c r="L292" s="5"/>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row>
    <row r="293" ht="12.75" customHeight="1">
      <c r="A293" s="36"/>
      <c r="B293" s="13"/>
      <c r="C293" s="13"/>
      <c r="D293" s="13"/>
      <c r="E293" s="13"/>
      <c r="F293" s="19"/>
      <c r="G293" s="20"/>
      <c r="H293" s="13"/>
      <c r="I293" s="21"/>
      <c r="J293" s="5"/>
      <c r="K293" s="5"/>
      <c r="L293" s="5"/>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row>
    <row r="294" ht="12.75" customHeight="1">
      <c r="A294" s="36"/>
      <c r="B294" s="13"/>
      <c r="C294" s="13"/>
      <c r="D294" s="13"/>
      <c r="E294" s="13"/>
      <c r="F294" s="19"/>
      <c r="G294" s="20"/>
      <c r="H294" s="13"/>
      <c r="I294" s="21"/>
      <c r="J294" s="5"/>
      <c r="K294" s="5"/>
      <c r="L294" s="5"/>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row>
    <row r="295" ht="12.75" customHeight="1">
      <c r="A295" s="36"/>
      <c r="B295" s="13"/>
      <c r="C295" s="13"/>
      <c r="D295" s="13"/>
      <c r="E295" s="13"/>
      <c r="F295" s="19"/>
      <c r="G295" s="20"/>
      <c r="H295" s="13"/>
      <c r="I295" s="21"/>
      <c r="J295" s="5"/>
      <c r="K295" s="5"/>
      <c r="L295" s="5"/>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row>
    <row r="296" ht="12.75" customHeight="1">
      <c r="A296" s="36"/>
      <c r="B296" s="13"/>
      <c r="C296" s="13"/>
      <c r="D296" s="13"/>
      <c r="E296" s="13"/>
      <c r="F296" s="19"/>
      <c r="G296" s="20"/>
      <c r="H296" s="13"/>
      <c r="I296" s="21"/>
      <c r="J296" s="5"/>
      <c r="K296" s="5"/>
      <c r="L296" s="5"/>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row>
    <row r="297" ht="12.75" customHeight="1">
      <c r="A297" s="36"/>
      <c r="B297" s="13"/>
      <c r="C297" s="13"/>
      <c r="D297" s="13"/>
      <c r="E297" s="13"/>
      <c r="F297" s="19"/>
      <c r="G297" s="20"/>
      <c r="H297" s="13"/>
      <c r="I297" s="21"/>
      <c r="J297" s="5"/>
      <c r="K297" s="5"/>
      <c r="L297" s="5"/>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row>
    <row r="298" ht="12.75" customHeight="1">
      <c r="A298" s="36"/>
      <c r="B298" s="13"/>
      <c r="C298" s="13"/>
      <c r="D298" s="13"/>
      <c r="E298" s="13"/>
      <c r="F298" s="19"/>
      <c r="G298" s="20"/>
      <c r="H298" s="13"/>
      <c r="I298" s="21"/>
      <c r="J298" s="5"/>
      <c r="K298" s="5"/>
      <c r="L298" s="5"/>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row>
    <row r="299" ht="12.75" customHeight="1">
      <c r="A299" s="36"/>
      <c r="B299" s="13"/>
      <c r="C299" s="13"/>
      <c r="D299" s="13"/>
      <c r="E299" s="13"/>
      <c r="F299" s="19"/>
      <c r="G299" s="20"/>
      <c r="H299" s="13"/>
      <c r="I299" s="21"/>
      <c r="J299" s="5"/>
      <c r="K299" s="5"/>
      <c r="L299" s="5"/>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row>
    <row r="300" ht="12.75" customHeight="1">
      <c r="A300" s="36"/>
      <c r="B300" s="13"/>
      <c r="C300" s="13"/>
      <c r="D300" s="13"/>
      <c r="E300" s="13"/>
      <c r="F300" s="19"/>
      <c r="G300" s="20"/>
      <c r="H300" s="13"/>
      <c r="I300" s="21"/>
      <c r="J300" s="5"/>
      <c r="K300" s="5"/>
      <c r="L300" s="5"/>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row>
    <row r="301" ht="12.75" customHeight="1">
      <c r="A301" s="36"/>
      <c r="B301" s="13"/>
      <c r="C301" s="13"/>
      <c r="D301" s="13"/>
      <c r="E301" s="13"/>
      <c r="F301" s="19"/>
      <c r="G301" s="20"/>
      <c r="H301" s="13"/>
      <c r="I301" s="21"/>
      <c r="J301" s="5"/>
      <c r="K301" s="5"/>
      <c r="L301" s="5"/>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row>
    <row r="302" ht="12.75" customHeight="1">
      <c r="A302" s="36"/>
      <c r="B302" s="13"/>
      <c r="C302" s="13"/>
      <c r="D302" s="13"/>
      <c r="E302" s="13"/>
      <c r="F302" s="19"/>
      <c r="G302" s="20"/>
      <c r="H302" s="13"/>
      <c r="I302" s="21"/>
      <c r="J302" s="5"/>
      <c r="K302" s="5"/>
      <c r="L302" s="5"/>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row>
    <row r="303" ht="12.75" customHeight="1">
      <c r="A303" s="36"/>
      <c r="B303" s="13"/>
      <c r="C303" s="13"/>
      <c r="D303" s="13"/>
      <c r="E303" s="13"/>
      <c r="F303" s="19"/>
      <c r="G303" s="20"/>
      <c r="H303" s="13"/>
      <c r="I303" s="21"/>
      <c r="J303" s="5"/>
      <c r="K303" s="5"/>
      <c r="L303" s="5"/>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row>
    <row r="304" ht="12.75" customHeight="1">
      <c r="A304" s="36"/>
      <c r="B304" s="13"/>
      <c r="C304" s="13"/>
      <c r="D304" s="13"/>
      <c r="E304" s="13"/>
      <c r="F304" s="19"/>
      <c r="G304" s="20"/>
      <c r="H304" s="13"/>
      <c r="I304" s="21"/>
      <c r="J304" s="5"/>
      <c r="K304" s="5"/>
      <c r="L304" s="5"/>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row>
    <row r="305" ht="12.75" customHeight="1">
      <c r="A305" s="36"/>
      <c r="B305" s="13"/>
      <c r="C305" s="13"/>
      <c r="D305" s="13"/>
      <c r="E305" s="13"/>
      <c r="F305" s="19"/>
      <c r="G305" s="20"/>
      <c r="H305" s="13"/>
      <c r="I305" s="21"/>
      <c r="J305" s="5"/>
      <c r="K305" s="5"/>
      <c r="L305" s="5"/>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row>
    <row r="306" ht="12.75" customHeight="1">
      <c r="A306" s="36"/>
      <c r="B306" s="13"/>
      <c r="C306" s="13"/>
      <c r="D306" s="13"/>
      <c r="E306" s="13"/>
      <c r="F306" s="19"/>
      <c r="G306" s="20"/>
      <c r="H306" s="13"/>
      <c r="I306" s="21"/>
      <c r="J306" s="5"/>
      <c r="K306" s="5"/>
      <c r="L306" s="5"/>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row>
    <row r="307" ht="12.75" customHeight="1">
      <c r="A307" s="36"/>
      <c r="B307" s="13"/>
      <c r="C307" s="13"/>
      <c r="D307" s="13"/>
      <c r="E307" s="13"/>
      <c r="F307" s="19"/>
      <c r="G307" s="20"/>
      <c r="H307" s="13"/>
      <c r="I307" s="21"/>
      <c r="J307" s="5"/>
      <c r="K307" s="5"/>
      <c r="L307" s="5"/>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row>
    <row r="308" ht="12.75" customHeight="1">
      <c r="A308" s="36"/>
      <c r="B308" s="13"/>
      <c r="C308" s="13"/>
      <c r="D308" s="13"/>
      <c r="E308" s="13"/>
      <c r="F308" s="19"/>
      <c r="G308" s="20"/>
      <c r="H308" s="13"/>
      <c r="I308" s="21"/>
      <c r="J308" s="5"/>
      <c r="K308" s="5"/>
      <c r="L308" s="5"/>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row>
    <row r="309" ht="12.75" customHeight="1">
      <c r="A309" s="36"/>
      <c r="B309" s="13"/>
      <c r="C309" s="13"/>
      <c r="D309" s="13"/>
      <c r="E309" s="13"/>
      <c r="F309" s="19"/>
      <c r="G309" s="20"/>
      <c r="H309" s="13"/>
      <c r="I309" s="21"/>
      <c r="J309" s="5"/>
      <c r="K309" s="5"/>
      <c r="L309" s="5"/>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row>
    <row r="310" ht="12.75" customHeight="1">
      <c r="A310" s="36"/>
      <c r="B310" s="13"/>
      <c r="C310" s="13"/>
      <c r="D310" s="13"/>
      <c r="E310" s="13"/>
      <c r="F310" s="19"/>
      <c r="G310" s="20"/>
      <c r="H310" s="13"/>
      <c r="I310" s="21"/>
      <c r="J310" s="5"/>
      <c r="K310" s="5"/>
      <c r="L310" s="5"/>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row>
    <row r="311" ht="12.75" customHeight="1">
      <c r="A311" s="36"/>
      <c r="B311" s="13"/>
      <c r="C311" s="13"/>
      <c r="D311" s="13"/>
      <c r="E311" s="13"/>
      <c r="F311" s="19"/>
      <c r="G311" s="20"/>
      <c r="H311" s="13"/>
      <c r="I311" s="21"/>
      <c r="J311" s="5"/>
      <c r="K311" s="5"/>
      <c r="L311" s="5"/>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row>
    <row r="312" ht="12.75" customHeight="1">
      <c r="A312" s="36"/>
      <c r="B312" s="13"/>
      <c r="C312" s="13"/>
      <c r="D312" s="13"/>
      <c r="E312" s="13"/>
      <c r="F312" s="19"/>
      <c r="G312" s="20"/>
      <c r="H312" s="13"/>
      <c r="I312" s="21"/>
      <c r="J312" s="5"/>
      <c r="K312" s="5"/>
      <c r="L312" s="5"/>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row>
    <row r="313" ht="12.75" customHeight="1">
      <c r="A313" s="36"/>
      <c r="B313" s="13"/>
      <c r="C313" s="13"/>
      <c r="D313" s="13"/>
      <c r="E313" s="13"/>
      <c r="F313" s="19"/>
      <c r="G313" s="20"/>
      <c r="H313" s="13"/>
      <c r="I313" s="21"/>
      <c r="J313" s="5"/>
      <c r="K313" s="5"/>
      <c r="L313" s="5"/>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row>
    <row r="314" ht="12.75" customHeight="1">
      <c r="A314" s="36"/>
      <c r="B314" s="13"/>
      <c r="C314" s="13"/>
      <c r="D314" s="13"/>
      <c r="E314" s="13"/>
      <c r="F314" s="19"/>
      <c r="G314" s="20"/>
      <c r="H314" s="13"/>
      <c r="I314" s="21"/>
      <c r="J314" s="5"/>
      <c r="K314" s="5"/>
      <c r="L314" s="5"/>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row>
    <row r="315" ht="12.75" customHeight="1">
      <c r="A315" s="36"/>
      <c r="B315" s="13"/>
      <c r="C315" s="13"/>
      <c r="D315" s="13"/>
      <c r="E315" s="13"/>
      <c r="F315" s="19"/>
      <c r="G315" s="20"/>
      <c r="H315" s="13"/>
      <c r="I315" s="21"/>
      <c r="J315" s="5"/>
      <c r="K315" s="5"/>
      <c r="L315" s="5"/>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row>
    <row r="316" ht="12.75" customHeight="1">
      <c r="A316" s="36"/>
      <c r="B316" s="13"/>
      <c r="C316" s="13"/>
      <c r="D316" s="13"/>
      <c r="E316" s="13"/>
      <c r="F316" s="19"/>
      <c r="G316" s="20"/>
      <c r="H316" s="13"/>
      <c r="I316" s="21"/>
      <c r="J316" s="5"/>
      <c r="K316" s="5"/>
      <c r="L316" s="5"/>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row>
    <row r="317" ht="12.75" customHeight="1">
      <c r="A317" s="36"/>
      <c r="B317" s="13"/>
      <c r="C317" s="13"/>
      <c r="D317" s="13"/>
      <c r="E317" s="13"/>
      <c r="F317" s="19"/>
      <c r="G317" s="20"/>
      <c r="H317" s="13"/>
      <c r="I317" s="21"/>
      <c r="J317" s="5"/>
      <c r="K317" s="5"/>
      <c r="L317" s="5"/>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row>
    <row r="318" ht="12.75" customHeight="1">
      <c r="A318" s="36"/>
      <c r="B318" s="13"/>
      <c r="C318" s="13"/>
      <c r="D318" s="13"/>
      <c r="E318" s="13"/>
      <c r="F318" s="19"/>
      <c r="G318" s="20"/>
      <c r="H318" s="13"/>
      <c r="I318" s="21"/>
      <c r="J318" s="5"/>
      <c r="K318" s="5"/>
      <c r="L318" s="5"/>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row>
    <row r="319" ht="12.75" customHeight="1">
      <c r="A319" s="36"/>
      <c r="B319" s="13"/>
      <c r="C319" s="13"/>
      <c r="D319" s="13"/>
      <c r="E319" s="13"/>
      <c r="F319" s="19"/>
      <c r="G319" s="20"/>
      <c r="H319" s="13"/>
      <c r="I319" s="21"/>
      <c r="J319" s="5"/>
      <c r="K319" s="5"/>
      <c r="L319" s="5"/>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row>
    <row r="320" ht="12.75" customHeight="1">
      <c r="A320" s="36"/>
      <c r="B320" s="13"/>
      <c r="C320" s="13"/>
      <c r="D320" s="13"/>
      <c r="E320" s="13"/>
      <c r="F320" s="19"/>
      <c r="G320" s="20"/>
      <c r="H320" s="13"/>
      <c r="I320" s="21"/>
      <c r="J320" s="5"/>
      <c r="K320" s="5"/>
      <c r="L320" s="5"/>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row>
    <row r="321" ht="12.75" customHeight="1">
      <c r="A321" s="36"/>
      <c r="B321" s="13"/>
      <c r="C321" s="13"/>
      <c r="D321" s="13"/>
      <c r="E321" s="13"/>
      <c r="F321" s="19"/>
      <c r="G321" s="20"/>
      <c r="H321" s="13"/>
      <c r="I321" s="21"/>
      <c r="J321" s="5"/>
      <c r="K321" s="5"/>
      <c r="L321" s="5"/>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row>
    <row r="322" ht="12.75" customHeight="1">
      <c r="A322" s="36"/>
      <c r="B322" s="13"/>
      <c r="C322" s="13"/>
      <c r="D322" s="13"/>
      <c r="E322" s="13"/>
      <c r="F322" s="19"/>
      <c r="G322" s="20"/>
      <c r="H322" s="13"/>
      <c r="I322" s="21"/>
      <c r="J322" s="5"/>
      <c r="K322" s="5"/>
      <c r="L322" s="5"/>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row>
    <row r="323" ht="12.75" customHeight="1">
      <c r="A323" s="36"/>
      <c r="B323" s="13"/>
      <c r="C323" s="13"/>
      <c r="D323" s="13"/>
      <c r="E323" s="13"/>
      <c r="F323" s="19"/>
      <c r="G323" s="20"/>
      <c r="H323" s="13"/>
      <c r="I323" s="21"/>
      <c r="J323" s="5"/>
      <c r="K323" s="5"/>
      <c r="L323" s="5"/>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row>
    <row r="324" ht="12.75" customHeight="1">
      <c r="A324" s="36"/>
      <c r="B324" s="13"/>
      <c r="C324" s="13"/>
      <c r="D324" s="13"/>
      <c r="E324" s="13"/>
      <c r="F324" s="19"/>
      <c r="G324" s="20"/>
      <c r="H324" s="13"/>
      <c r="I324" s="21"/>
      <c r="J324" s="5"/>
      <c r="K324" s="5"/>
      <c r="L324" s="5"/>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row>
    <row r="325" ht="12.75" customHeight="1">
      <c r="A325" s="36"/>
      <c r="B325" s="13"/>
      <c r="C325" s="13"/>
      <c r="D325" s="13"/>
      <c r="E325" s="13"/>
      <c r="F325" s="19"/>
      <c r="G325" s="20"/>
      <c r="H325" s="13"/>
      <c r="I325" s="21"/>
      <c r="J325" s="5"/>
      <c r="K325" s="5"/>
      <c r="L325" s="5"/>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row>
    <row r="326" ht="12.75" customHeight="1">
      <c r="A326" s="36"/>
      <c r="B326" s="13"/>
      <c r="C326" s="13"/>
      <c r="D326" s="13"/>
      <c r="E326" s="13"/>
      <c r="F326" s="19"/>
      <c r="G326" s="20"/>
      <c r="H326" s="13"/>
      <c r="I326" s="21"/>
      <c r="J326" s="5"/>
      <c r="K326" s="5"/>
      <c r="L326" s="5"/>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row>
    <row r="327" ht="12.75" customHeight="1">
      <c r="A327" s="36"/>
      <c r="B327" s="13"/>
      <c r="C327" s="13"/>
      <c r="D327" s="13"/>
      <c r="E327" s="13"/>
      <c r="F327" s="19"/>
      <c r="G327" s="20"/>
      <c r="H327" s="13"/>
      <c r="I327" s="21"/>
      <c r="J327" s="5"/>
      <c r="K327" s="5"/>
      <c r="L327" s="5"/>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row>
    <row r="328" ht="12.75" customHeight="1">
      <c r="A328" s="36"/>
      <c r="B328" s="13"/>
      <c r="C328" s="13"/>
      <c r="D328" s="13"/>
      <c r="E328" s="13"/>
      <c r="F328" s="19"/>
      <c r="G328" s="20"/>
      <c r="H328" s="13"/>
      <c r="I328" s="21"/>
      <c r="J328" s="5"/>
      <c r="K328" s="5"/>
      <c r="L328" s="5"/>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row>
    <row r="329" ht="12.75" customHeight="1">
      <c r="A329" s="36"/>
      <c r="B329" s="13"/>
      <c r="C329" s="13"/>
      <c r="D329" s="13"/>
      <c r="E329" s="13"/>
      <c r="F329" s="19"/>
      <c r="G329" s="20"/>
      <c r="H329" s="13"/>
      <c r="I329" s="21"/>
      <c r="J329" s="5"/>
      <c r="K329" s="5"/>
      <c r="L329" s="5"/>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row>
    <row r="330" ht="12.75" customHeight="1">
      <c r="A330" s="36"/>
      <c r="B330" s="13"/>
      <c r="C330" s="13"/>
      <c r="D330" s="13"/>
      <c r="E330" s="13"/>
      <c r="F330" s="19"/>
      <c r="G330" s="20"/>
      <c r="H330" s="13"/>
      <c r="I330" s="21"/>
      <c r="J330" s="5"/>
      <c r="K330" s="5"/>
      <c r="L330" s="5"/>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row>
    <row r="331" ht="12.75" customHeight="1">
      <c r="A331" s="36"/>
      <c r="B331" s="13"/>
      <c r="C331" s="13"/>
      <c r="D331" s="13"/>
      <c r="E331" s="13"/>
      <c r="F331" s="19"/>
      <c r="G331" s="20"/>
      <c r="H331" s="13"/>
      <c r="I331" s="21"/>
      <c r="J331" s="5"/>
      <c r="K331" s="5"/>
      <c r="L331" s="5"/>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row>
    <row r="332" ht="12.75" customHeight="1">
      <c r="A332" s="36"/>
      <c r="B332" s="13"/>
      <c r="C332" s="13"/>
      <c r="D332" s="13"/>
      <c r="E332" s="13"/>
      <c r="F332" s="19"/>
      <c r="G332" s="20"/>
      <c r="H332" s="13"/>
      <c r="I332" s="21"/>
      <c r="J332" s="5"/>
      <c r="K332" s="5"/>
      <c r="L332" s="5"/>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row>
    <row r="333" ht="12.75" customHeight="1">
      <c r="A333" s="36"/>
      <c r="B333" s="13"/>
      <c r="C333" s="13"/>
      <c r="D333" s="13"/>
      <c r="E333" s="13"/>
      <c r="F333" s="19"/>
      <c r="G333" s="20"/>
      <c r="H333" s="13"/>
      <c r="I333" s="21"/>
      <c r="J333" s="5"/>
      <c r="K333" s="5"/>
      <c r="L333" s="5"/>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row>
    <row r="334" ht="12.75" customHeight="1">
      <c r="A334" s="36"/>
      <c r="B334" s="13"/>
      <c r="C334" s="13"/>
      <c r="D334" s="13"/>
      <c r="E334" s="13"/>
      <c r="F334" s="19"/>
      <c r="G334" s="20"/>
      <c r="H334" s="13"/>
      <c r="I334" s="21"/>
      <c r="J334" s="5"/>
      <c r="K334" s="5"/>
      <c r="L334" s="5"/>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row>
    <row r="335" ht="12.75" customHeight="1">
      <c r="A335" s="36"/>
      <c r="B335" s="13"/>
      <c r="C335" s="13"/>
      <c r="D335" s="13"/>
      <c r="E335" s="13"/>
      <c r="F335" s="19"/>
      <c r="G335" s="20"/>
      <c r="H335" s="13"/>
      <c r="I335" s="21"/>
      <c r="J335" s="5"/>
      <c r="K335" s="5"/>
      <c r="L335" s="5"/>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row>
    <row r="336" ht="12.75" customHeight="1">
      <c r="A336" s="36"/>
      <c r="B336" s="13"/>
      <c r="C336" s="13"/>
      <c r="D336" s="13"/>
      <c r="E336" s="13"/>
      <c r="F336" s="19"/>
      <c r="G336" s="20"/>
      <c r="H336" s="13"/>
      <c r="I336" s="21"/>
      <c r="J336" s="5"/>
      <c r="K336" s="5"/>
      <c r="L336" s="5"/>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row>
    <row r="337" ht="12.75" customHeight="1">
      <c r="A337" s="36"/>
      <c r="B337" s="13"/>
      <c r="C337" s="13"/>
      <c r="D337" s="13"/>
      <c r="E337" s="13"/>
      <c r="F337" s="19"/>
      <c r="G337" s="20"/>
      <c r="H337" s="13"/>
      <c r="I337" s="21"/>
      <c r="J337" s="5"/>
      <c r="K337" s="5"/>
      <c r="L337" s="5"/>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row>
    <row r="338" ht="12.75" customHeight="1">
      <c r="A338" s="36"/>
      <c r="B338" s="13"/>
      <c r="C338" s="13"/>
      <c r="D338" s="13"/>
      <c r="E338" s="13"/>
      <c r="F338" s="19"/>
      <c r="G338" s="20"/>
      <c r="H338" s="13"/>
      <c r="I338" s="21"/>
      <c r="J338" s="5"/>
      <c r="K338" s="5"/>
      <c r="L338" s="5"/>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row>
    <row r="339" ht="12.75" customHeight="1">
      <c r="A339" s="36"/>
      <c r="B339" s="13"/>
      <c r="C339" s="13"/>
      <c r="D339" s="13"/>
      <c r="E339" s="13"/>
      <c r="F339" s="19"/>
      <c r="G339" s="20"/>
      <c r="H339" s="13"/>
      <c r="I339" s="21"/>
      <c r="J339" s="5"/>
      <c r="K339" s="5"/>
      <c r="L339" s="5"/>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row>
    <row r="340" ht="12.75" customHeight="1">
      <c r="A340" s="36"/>
      <c r="B340" s="13"/>
      <c r="C340" s="13"/>
      <c r="D340" s="13"/>
      <c r="E340" s="13"/>
      <c r="F340" s="19"/>
      <c r="G340" s="20"/>
      <c r="H340" s="13"/>
      <c r="I340" s="21"/>
      <c r="J340" s="5"/>
      <c r="K340" s="5"/>
      <c r="L340" s="5"/>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row>
    <row r="341" ht="12.75" customHeight="1">
      <c r="A341" s="36"/>
      <c r="B341" s="13"/>
      <c r="C341" s="13"/>
      <c r="D341" s="13"/>
      <c r="E341" s="13"/>
      <c r="F341" s="19"/>
      <c r="G341" s="20"/>
      <c r="H341" s="13"/>
      <c r="I341" s="21"/>
      <c r="J341" s="5"/>
      <c r="K341" s="5"/>
      <c r="L341" s="5"/>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row>
    <row r="342" ht="12.75" customHeight="1">
      <c r="A342" s="36"/>
      <c r="B342" s="13"/>
      <c r="C342" s="13"/>
      <c r="D342" s="13"/>
      <c r="E342" s="13"/>
      <c r="F342" s="19"/>
      <c r="G342" s="20"/>
      <c r="H342" s="13"/>
      <c r="I342" s="21"/>
      <c r="J342" s="5"/>
      <c r="K342" s="5"/>
      <c r="L342" s="5"/>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row>
    <row r="343" ht="12.75" customHeight="1">
      <c r="A343" s="36"/>
      <c r="B343" s="13"/>
      <c r="C343" s="13"/>
      <c r="D343" s="13"/>
      <c r="E343" s="13"/>
      <c r="F343" s="19"/>
      <c r="G343" s="20"/>
      <c r="H343" s="13"/>
      <c r="I343" s="21"/>
      <c r="J343" s="5"/>
      <c r="K343" s="5"/>
      <c r="L343" s="5"/>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row>
    <row r="344" ht="12.75" customHeight="1">
      <c r="A344" s="36"/>
      <c r="B344" s="13"/>
      <c r="C344" s="13"/>
      <c r="D344" s="13"/>
      <c r="E344" s="13"/>
      <c r="F344" s="19"/>
      <c r="G344" s="20"/>
      <c r="H344" s="13"/>
      <c r="I344" s="21"/>
      <c r="J344" s="5"/>
      <c r="K344" s="5"/>
      <c r="L344" s="5"/>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row>
    <row r="345" ht="12.75" customHeight="1">
      <c r="A345" s="36"/>
      <c r="B345" s="13"/>
      <c r="C345" s="13"/>
      <c r="D345" s="13"/>
      <c r="E345" s="13"/>
      <c r="F345" s="19"/>
      <c r="G345" s="20"/>
      <c r="H345" s="13"/>
      <c r="I345" s="21"/>
      <c r="J345" s="5"/>
      <c r="K345" s="5"/>
      <c r="L345" s="5"/>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row>
    <row r="346" ht="12.75" customHeight="1">
      <c r="A346" s="36"/>
      <c r="B346" s="13"/>
      <c r="C346" s="13"/>
      <c r="D346" s="13"/>
      <c r="E346" s="13"/>
      <c r="F346" s="19"/>
      <c r="G346" s="20"/>
      <c r="H346" s="13"/>
      <c r="I346" s="21"/>
      <c r="J346" s="5"/>
      <c r="K346" s="5"/>
      <c r="L346" s="5"/>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row>
    <row r="347" ht="12.75" customHeight="1">
      <c r="A347" s="36"/>
      <c r="B347" s="13"/>
      <c r="C347" s="13"/>
      <c r="D347" s="13"/>
      <c r="E347" s="13"/>
      <c r="F347" s="19"/>
      <c r="G347" s="20"/>
      <c r="H347" s="13"/>
      <c r="I347" s="21"/>
      <c r="J347" s="5"/>
      <c r="K347" s="5"/>
      <c r="L347" s="5"/>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row>
    <row r="348" ht="12.75" customHeight="1">
      <c r="A348" s="36"/>
      <c r="B348" s="13"/>
      <c r="C348" s="13"/>
      <c r="D348" s="13"/>
      <c r="E348" s="13"/>
      <c r="F348" s="19"/>
      <c r="G348" s="20"/>
      <c r="H348" s="13"/>
      <c r="I348" s="21"/>
      <c r="J348" s="5"/>
      <c r="K348" s="5"/>
      <c r="L348" s="5"/>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row>
    <row r="349" ht="12.75" customHeight="1">
      <c r="A349" s="36"/>
      <c r="B349" s="13"/>
      <c r="C349" s="13"/>
      <c r="D349" s="13"/>
      <c r="E349" s="13"/>
      <c r="F349" s="19"/>
      <c r="G349" s="20"/>
      <c r="H349" s="13"/>
      <c r="I349" s="21"/>
      <c r="J349" s="5"/>
      <c r="K349" s="5"/>
      <c r="L349" s="5"/>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row>
    <row r="350" ht="12.75" customHeight="1">
      <c r="A350" s="36"/>
      <c r="B350" s="13"/>
      <c r="C350" s="13"/>
      <c r="D350" s="13"/>
      <c r="E350" s="13"/>
      <c r="F350" s="19"/>
      <c r="G350" s="20"/>
      <c r="H350" s="13"/>
      <c r="I350" s="21"/>
      <c r="J350" s="5"/>
      <c r="K350" s="5"/>
      <c r="L350" s="5"/>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row>
    <row r="351" ht="12.75" customHeight="1">
      <c r="A351" s="36"/>
      <c r="B351" s="13"/>
      <c r="C351" s="13"/>
      <c r="D351" s="13"/>
      <c r="E351" s="13"/>
      <c r="F351" s="19"/>
      <c r="G351" s="20"/>
      <c r="H351" s="13"/>
      <c r="I351" s="21"/>
      <c r="J351" s="5"/>
      <c r="K351" s="5"/>
      <c r="L351" s="5"/>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row>
    <row r="352" ht="12.75" customHeight="1">
      <c r="A352" s="36"/>
      <c r="B352" s="13"/>
      <c r="C352" s="13"/>
      <c r="D352" s="13"/>
      <c r="E352" s="13"/>
      <c r="F352" s="19"/>
      <c r="G352" s="20"/>
      <c r="H352" s="13"/>
      <c r="I352" s="21"/>
      <c r="J352" s="5"/>
      <c r="K352" s="5"/>
      <c r="L352" s="5"/>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row>
    <row r="353" ht="12.75" customHeight="1">
      <c r="A353" s="18"/>
      <c r="B353" s="13"/>
      <c r="C353" s="13"/>
      <c r="D353" s="13"/>
      <c r="E353" s="13"/>
      <c r="F353" s="19"/>
      <c r="G353" s="20"/>
      <c r="H353" s="13"/>
      <c r="I353" s="21"/>
      <c r="J353" s="5"/>
      <c r="K353" s="5"/>
      <c r="L353" s="5"/>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row>
    <row r="354" ht="12.75" customHeight="1">
      <c r="A354" s="18"/>
      <c r="B354" s="13"/>
      <c r="C354" s="13"/>
      <c r="D354" s="13"/>
      <c r="E354" s="13"/>
      <c r="F354" s="19"/>
      <c r="G354" s="20"/>
      <c r="H354" s="13"/>
      <c r="I354" s="21"/>
      <c r="J354" s="5"/>
      <c r="K354" s="5"/>
      <c r="L354" s="5"/>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row>
    <row r="355" ht="12.75" customHeight="1">
      <c r="A355" s="18"/>
      <c r="B355" s="13"/>
      <c r="C355" s="13"/>
      <c r="D355" s="13"/>
      <c r="E355" s="13"/>
      <c r="F355" s="19"/>
      <c r="G355" s="20"/>
      <c r="H355" s="13"/>
      <c r="I355" s="21"/>
      <c r="J355" s="5"/>
      <c r="K355" s="5"/>
      <c r="L355" s="5"/>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row>
    <row r="356" ht="12.75" customHeight="1">
      <c r="A356" s="18"/>
      <c r="B356" s="13"/>
      <c r="C356" s="13"/>
      <c r="D356" s="13"/>
      <c r="E356" s="13"/>
      <c r="F356" s="19"/>
      <c r="G356" s="20"/>
      <c r="H356" s="13"/>
      <c r="I356" s="21"/>
      <c r="J356" s="5"/>
      <c r="K356" s="5"/>
      <c r="L356" s="5"/>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row>
    <row r="357" ht="12.75" customHeight="1">
      <c r="A357" s="18"/>
      <c r="B357" s="13"/>
      <c r="C357" s="13"/>
      <c r="D357" s="13"/>
      <c r="E357" s="13"/>
      <c r="F357" s="19"/>
      <c r="G357" s="20"/>
      <c r="H357" s="13"/>
      <c r="I357" s="21"/>
      <c r="J357" s="5"/>
      <c r="K357" s="5"/>
      <c r="L357" s="5"/>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row>
    <row r="358" ht="12.75" customHeight="1">
      <c r="A358" s="18"/>
      <c r="B358" s="13"/>
      <c r="C358" s="13"/>
      <c r="D358" s="13"/>
      <c r="E358" s="13"/>
      <c r="F358" s="19"/>
      <c r="G358" s="20"/>
      <c r="H358" s="13"/>
      <c r="I358" s="21"/>
      <c r="J358" s="5"/>
      <c r="K358" s="5"/>
      <c r="L358" s="5"/>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row>
    <row r="359" ht="12.75" customHeight="1">
      <c r="A359" s="18"/>
      <c r="B359" s="13"/>
      <c r="C359" s="13"/>
      <c r="D359" s="13"/>
      <c r="E359" s="13"/>
      <c r="F359" s="19"/>
      <c r="G359" s="20"/>
      <c r="H359" s="13"/>
      <c r="I359" s="21"/>
      <c r="J359" s="5"/>
      <c r="K359" s="5"/>
      <c r="L359" s="5"/>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row>
    <row r="360" ht="12.75" customHeight="1">
      <c r="A360" s="18"/>
      <c r="B360" s="13"/>
      <c r="C360" s="13"/>
      <c r="D360" s="13"/>
      <c r="E360" s="13"/>
      <c r="F360" s="19"/>
      <c r="G360" s="20"/>
      <c r="H360" s="13"/>
      <c r="I360" s="21"/>
      <c r="J360" s="5"/>
      <c r="K360" s="5"/>
      <c r="L360" s="5"/>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row>
    <row r="361" ht="12.75" customHeight="1">
      <c r="A361" s="18"/>
      <c r="B361" s="13"/>
      <c r="C361" s="13"/>
      <c r="D361" s="13"/>
      <c r="E361" s="13"/>
      <c r="F361" s="19"/>
      <c r="G361" s="20"/>
      <c r="H361" s="13"/>
      <c r="I361" s="21"/>
      <c r="J361" s="5"/>
      <c r="K361" s="5"/>
      <c r="L361" s="5"/>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row>
    <row r="362" ht="12.75" customHeight="1">
      <c r="A362" s="18"/>
      <c r="B362" s="13"/>
      <c r="C362" s="13"/>
      <c r="D362" s="13"/>
      <c r="E362" s="13"/>
      <c r="F362" s="19"/>
      <c r="G362" s="20"/>
      <c r="H362" s="13"/>
      <c r="I362" s="21"/>
      <c r="J362" s="5"/>
      <c r="K362" s="5"/>
      <c r="L362" s="5"/>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row>
    <row r="363" ht="12.75" customHeight="1">
      <c r="A363" s="18"/>
      <c r="B363" s="13"/>
      <c r="C363" s="13"/>
      <c r="D363" s="13"/>
      <c r="E363" s="13"/>
      <c r="F363" s="19"/>
      <c r="G363" s="20"/>
      <c r="H363" s="13"/>
      <c r="I363" s="21"/>
      <c r="J363" s="5"/>
      <c r="K363" s="5"/>
      <c r="L363" s="5"/>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row>
    <row r="364" ht="12.75" customHeight="1">
      <c r="A364" s="18"/>
      <c r="B364" s="13"/>
      <c r="C364" s="13"/>
      <c r="D364" s="13"/>
      <c r="E364" s="13"/>
      <c r="F364" s="19"/>
      <c r="G364" s="20"/>
      <c r="H364" s="13"/>
      <c r="I364" s="21"/>
      <c r="J364" s="5"/>
      <c r="K364" s="5"/>
      <c r="L364" s="5"/>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row>
    <row r="365" ht="12.75" customHeight="1">
      <c r="A365" s="18"/>
      <c r="B365" s="13"/>
      <c r="C365" s="13"/>
      <c r="D365" s="13"/>
      <c r="E365" s="13"/>
      <c r="F365" s="19"/>
      <c r="G365" s="20"/>
      <c r="H365" s="13"/>
      <c r="I365" s="21"/>
      <c r="J365" s="5"/>
      <c r="K365" s="5"/>
      <c r="L365" s="5"/>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row>
    <row r="366" ht="12.75" customHeight="1">
      <c r="A366" s="18"/>
      <c r="B366" s="13"/>
      <c r="C366" s="13"/>
      <c r="D366" s="13"/>
      <c r="E366" s="13"/>
      <c r="F366" s="19"/>
      <c r="G366" s="20"/>
      <c r="H366" s="13"/>
      <c r="I366" s="21"/>
      <c r="J366" s="5"/>
      <c r="K366" s="5"/>
      <c r="L366" s="5"/>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row>
    <row r="367" ht="12.75" customHeight="1">
      <c r="A367" s="18"/>
      <c r="B367" s="13"/>
      <c r="C367" s="13"/>
      <c r="D367" s="13"/>
      <c r="E367" s="13"/>
      <c r="F367" s="19"/>
      <c r="G367" s="20"/>
      <c r="H367" s="13"/>
      <c r="I367" s="21"/>
      <c r="J367" s="5"/>
      <c r="K367" s="5"/>
      <c r="L367" s="5"/>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row>
    <row r="368" ht="12.75" customHeight="1">
      <c r="A368" s="18"/>
      <c r="B368" s="13"/>
      <c r="C368" s="13"/>
      <c r="D368" s="13"/>
      <c r="E368" s="13"/>
      <c r="F368" s="19"/>
      <c r="G368" s="20"/>
      <c r="H368" s="13"/>
      <c r="I368" s="21"/>
      <c r="J368" s="5"/>
      <c r="K368" s="5"/>
      <c r="L368" s="5"/>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row>
    <row r="369" ht="12.75" customHeight="1">
      <c r="A369" s="18"/>
      <c r="B369" s="13"/>
      <c r="C369" s="13"/>
      <c r="D369" s="13"/>
      <c r="E369" s="13"/>
      <c r="F369" s="19"/>
      <c r="G369" s="20"/>
      <c r="H369" s="13"/>
      <c r="I369" s="21"/>
      <c r="J369" s="5"/>
      <c r="K369" s="5"/>
      <c r="L369" s="5"/>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row>
    <row r="370" ht="12.75" customHeight="1">
      <c r="A370" s="18"/>
      <c r="B370" s="13"/>
      <c r="C370" s="13"/>
      <c r="D370" s="13"/>
      <c r="E370" s="13"/>
      <c r="F370" s="19"/>
      <c r="G370" s="20"/>
      <c r="H370" s="13"/>
      <c r="I370" s="21"/>
      <c r="J370" s="5"/>
      <c r="K370" s="5"/>
      <c r="L370" s="5"/>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row>
    <row r="371" ht="12.75" customHeight="1">
      <c r="A371" s="18"/>
      <c r="B371" s="13"/>
      <c r="C371" s="13"/>
      <c r="D371" s="13"/>
      <c r="E371" s="13"/>
      <c r="F371" s="19"/>
      <c r="G371" s="20"/>
      <c r="H371" s="13"/>
      <c r="I371" s="21"/>
      <c r="J371" s="5"/>
      <c r="K371" s="5"/>
      <c r="L371" s="5"/>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row>
    <row r="372" ht="12.75" customHeight="1">
      <c r="A372" s="18"/>
      <c r="B372" s="13"/>
      <c r="C372" s="13"/>
      <c r="D372" s="13"/>
      <c r="E372" s="13"/>
      <c r="F372" s="19"/>
      <c r="G372" s="20"/>
      <c r="H372" s="13"/>
      <c r="I372" s="21"/>
      <c r="J372" s="5"/>
      <c r="K372" s="5"/>
      <c r="L372" s="5"/>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row>
    <row r="373" ht="12.75" customHeight="1">
      <c r="A373" s="18"/>
      <c r="B373" s="13"/>
      <c r="C373" s="13"/>
      <c r="D373" s="13"/>
      <c r="E373" s="13"/>
      <c r="F373" s="19"/>
      <c r="G373" s="20"/>
      <c r="H373" s="13"/>
      <c r="I373" s="21"/>
      <c r="J373" s="5"/>
      <c r="K373" s="5"/>
      <c r="L373" s="5"/>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row>
    <row r="374" ht="12.75" customHeight="1">
      <c r="A374" s="18"/>
      <c r="B374" s="13"/>
      <c r="C374" s="13"/>
      <c r="D374" s="13"/>
      <c r="E374" s="13"/>
      <c r="F374" s="19"/>
      <c r="G374" s="20"/>
      <c r="H374" s="13"/>
      <c r="I374" s="21"/>
      <c r="J374" s="5"/>
      <c r="K374" s="5"/>
      <c r="L374" s="5"/>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row>
    <row r="375" ht="12.75" customHeight="1">
      <c r="A375" s="18"/>
      <c r="B375" s="13"/>
      <c r="C375" s="13"/>
      <c r="D375" s="13"/>
      <c r="E375" s="13"/>
      <c r="F375" s="19"/>
      <c r="G375" s="20"/>
      <c r="H375" s="13"/>
      <c r="I375" s="21"/>
      <c r="J375" s="5"/>
      <c r="K375" s="5"/>
      <c r="L375" s="5"/>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row>
    <row r="376" ht="12.75" customHeight="1">
      <c r="A376" s="18"/>
      <c r="B376" s="13"/>
      <c r="C376" s="13"/>
      <c r="D376" s="13"/>
      <c r="E376" s="13"/>
      <c r="F376" s="19"/>
      <c r="G376" s="20"/>
      <c r="H376" s="13"/>
      <c r="I376" s="21"/>
      <c r="J376" s="5"/>
      <c r="K376" s="5"/>
      <c r="L376" s="5"/>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row>
    <row r="377" ht="12.75" customHeight="1">
      <c r="A377" s="18"/>
      <c r="B377" s="13"/>
      <c r="C377" s="13"/>
      <c r="D377" s="13"/>
      <c r="E377" s="13"/>
      <c r="F377" s="19"/>
      <c r="G377" s="20"/>
      <c r="H377" s="13"/>
      <c r="I377" s="21"/>
      <c r="J377" s="5"/>
      <c r="K377" s="5"/>
      <c r="L377" s="5"/>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row>
    <row r="378" ht="12.75" customHeight="1">
      <c r="A378" s="18"/>
      <c r="B378" s="13"/>
      <c r="C378" s="13"/>
      <c r="D378" s="13"/>
      <c r="E378" s="13"/>
      <c r="F378" s="19"/>
      <c r="G378" s="20"/>
      <c r="H378" s="13"/>
      <c r="I378" s="21"/>
      <c r="J378" s="5"/>
      <c r="K378" s="5"/>
      <c r="L378" s="5"/>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row>
    <row r="379" ht="12.75" customHeight="1">
      <c r="A379" s="18"/>
      <c r="B379" s="13"/>
      <c r="C379" s="13"/>
      <c r="D379" s="13"/>
      <c r="E379" s="13"/>
      <c r="F379" s="19"/>
      <c r="G379" s="20"/>
      <c r="H379" s="13"/>
      <c r="I379" s="21"/>
      <c r="J379" s="5"/>
      <c r="K379" s="5"/>
      <c r="L379" s="5"/>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row>
    <row r="380" ht="12.75" customHeight="1">
      <c r="A380" s="18"/>
      <c r="B380" s="13"/>
      <c r="C380" s="13"/>
      <c r="D380" s="13"/>
      <c r="E380" s="13"/>
      <c r="F380" s="19"/>
      <c r="G380" s="20"/>
      <c r="H380" s="13"/>
      <c r="I380" s="21"/>
      <c r="J380" s="5"/>
      <c r="K380" s="5"/>
      <c r="L380" s="5"/>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row>
    <row r="381" ht="12.75" customHeight="1">
      <c r="A381" s="18"/>
      <c r="B381" s="13"/>
      <c r="C381" s="13"/>
      <c r="D381" s="13"/>
      <c r="E381" s="13"/>
      <c r="F381" s="19"/>
      <c r="G381" s="20"/>
      <c r="H381" s="13"/>
      <c r="I381" s="21"/>
      <c r="J381" s="5"/>
      <c r="K381" s="5"/>
      <c r="L381" s="5"/>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row>
    <row r="382" ht="12.75" customHeight="1">
      <c r="A382" s="18"/>
      <c r="B382" s="13"/>
      <c r="C382" s="13"/>
      <c r="D382" s="13"/>
      <c r="E382" s="13"/>
      <c r="F382" s="19"/>
      <c r="G382" s="20"/>
      <c r="H382" s="13"/>
      <c r="I382" s="21"/>
      <c r="J382" s="5"/>
      <c r="K382" s="5"/>
      <c r="L382" s="5"/>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row>
    <row r="383" ht="12.75" customHeight="1">
      <c r="A383" s="18"/>
      <c r="B383" s="13"/>
      <c r="C383" s="13"/>
      <c r="D383" s="13"/>
      <c r="E383" s="13"/>
      <c r="F383" s="19"/>
      <c r="G383" s="20"/>
      <c r="H383" s="13"/>
      <c r="I383" s="21"/>
      <c r="J383" s="5"/>
      <c r="K383" s="5"/>
      <c r="L383" s="5"/>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row>
    <row r="384" ht="12.75" customHeight="1">
      <c r="A384" s="18"/>
      <c r="B384" s="13"/>
      <c r="C384" s="13"/>
      <c r="D384" s="13"/>
      <c r="E384" s="13"/>
      <c r="F384" s="19"/>
      <c r="G384" s="20"/>
      <c r="H384" s="13"/>
      <c r="I384" s="21"/>
      <c r="J384" s="5"/>
      <c r="K384" s="5"/>
      <c r="L384" s="5"/>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row>
    <row r="385" ht="12.75" customHeight="1">
      <c r="A385" s="18"/>
      <c r="B385" s="13"/>
      <c r="C385" s="13"/>
      <c r="D385" s="13"/>
      <c r="E385" s="13"/>
      <c r="F385" s="19"/>
      <c r="G385" s="20"/>
      <c r="H385" s="13"/>
      <c r="I385" s="21"/>
      <c r="J385" s="5"/>
      <c r="K385" s="5"/>
      <c r="L385" s="5"/>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row>
    <row r="386" ht="12.75" customHeight="1">
      <c r="A386" s="18"/>
      <c r="B386" s="13"/>
      <c r="C386" s="13"/>
      <c r="D386" s="13"/>
      <c r="E386" s="13"/>
      <c r="F386" s="19"/>
      <c r="G386" s="20"/>
      <c r="H386" s="13"/>
      <c r="I386" s="21"/>
      <c r="J386" s="5"/>
      <c r="K386" s="5"/>
      <c r="L386" s="5"/>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row>
    <row r="387" ht="12.75" customHeight="1">
      <c r="A387" s="18"/>
      <c r="B387" s="13"/>
      <c r="C387" s="13"/>
      <c r="D387" s="13"/>
      <c r="E387" s="13"/>
      <c r="F387" s="19"/>
      <c r="G387" s="20"/>
      <c r="H387" s="13"/>
      <c r="I387" s="21"/>
      <c r="J387" s="5"/>
      <c r="K387" s="5"/>
      <c r="L387" s="5"/>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row>
    <row r="388" ht="12.75" customHeight="1">
      <c r="A388" s="18"/>
      <c r="B388" s="13"/>
      <c r="C388" s="13"/>
      <c r="D388" s="13"/>
      <c r="E388" s="13"/>
      <c r="F388" s="19"/>
      <c r="G388" s="20"/>
      <c r="H388" s="13"/>
      <c r="I388" s="21"/>
      <c r="J388" s="5"/>
      <c r="K388" s="5"/>
      <c r="L388" s="5"/>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row>
    <row r="389" ht="12.75" customHeight="1">
      <c r="A389" s="18"/>
      <c r="B389" s="13"/>
      <c r="C389" s="13"/>
      <c r="D389" s="13"/>
      <c r="E389" s="13"/>
      <c r="F389" s="19"/>
      <c r="G389" s="20"/>
      <c r="H389" s="13"/>
      <c r="I389" s="21"/>
      <c r="J389" s="5"/>
      <c r="K389" s="5"/>
      <c r="L389" s="5"/>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row>
    <row r="390" ht="12.75" customHeight="1">
      <c r="A390" s="18"/>
      <c r="B390" s="13"/>
      <c r="C390" s="13"/>
      <c r="D390" s="13"/>
      <c r="E390" s="13"/>
      <c r="F390" s="19"/>
      <c r="G390" s="20"/>
      <c r="H390" s="13"/>
      <c r="I390" s="21"/>
      <c r="J390" s="5"/>
      <c r="K390" s="5"/>
      <c r="L390" s="5"/>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row>
    <row r="391" ht="12.75" customHeight="1">
      <c r="A391" s="18"/>
      <c r="B391" s="13"/>
      <c r="C391" s="13"/>
      <c r="D391" s="13"/>
      <c r="E391" s="13"/>
      <c r="F391" s="19"/>
      <c r="G391" s="20"/>
      <c r="H391" s="13"/>
      <c r="I391" s="21"/>
      <c r="J391" s="5"/>
      <c r="K391" s="5"/>
      <c r="L391" s="5"/>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row>
    <row r="392" ht="12.75" customHeight="1">
      <c r="A392" s="18"/>
      <c r="B392" s="13"/>
      <c r="C392" s="13"/>
      <c r="D392" s="13"/>
      <c r="E392" s="13"/>
      <c r="F392" s="19"/>
      <c r="G392" s="20"/>
      <c r="H392" s="13"/>
      <c r="I392" s="21"/>
      <c r="J392" s="5"/>
      <c r="K392" s="5"/>
      <c r="L392" s="5"/>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row>
    <row r="393" ht="12.75" customHeight="1">
      <c r="A393" s="18"/>
      <c r="B393" s="13"/>
      <c r="C393" s="13"/>
      <c r="D393" s="13"/>
      <c r="E393" s="13"/>
      <c r="F393" s="19"/>
      <c r="G393" s="20"/>
      <c r="H393" s="13"/>
      <c r="I393" s="21"/>
      <c r="J393" s="5"/>
      <c r="K393" s="5"/>
      <c r="L393" s="5"/>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row>
    <row r="394" ht="12.75" customHeight="1">
      <c r="A394" s="18"/>
      <c r="B394" s="13"/>
      <c r="C394" s="13"/>
      <c r="D394" s="13"/>
      <c r="E394" s="13"/>
      <c r="F394" s="19"/>
      <c r="G394" s="20"/>
      <c r="H394" s="13"/>
      <c r="I394" s="21"/>
      <c r="J394" s="5"/>
      <c r="K394" s="5"/>
      <c r="L394" s="5"/>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row>
    <row r="395" ht="12.75" customHeight="1">
      <c r="A395" s="18"/>
      <c r="B395" s="13"/>
      <c r="C395" s="13"/>
      <c r="D395" s="13"/>
      <c r="E395" s="13"/>
      <c r="F395" s="19"/>
      <c r="G395" s="20"/>
      <c r="H395" s="13"/>
      <c r="I395" s="21"/>
      <c r="J395" s="5"/>
      <c r="K395" s="5"/>
      <c r="L395" s="5"/>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row>
    <row r="396" ht="12.75" customHeight="1">
      <c r="A396" s="18"/>
      <c r="B396" s="13"/>
      <c r="C396" s="13"/>
      <c r="D396" s="13"/>
      <c r="E396" s="13"/>
      <c r="F396" s="19"/>
      <c r="G396" s="20"/>
      <c r="H396" s="13"/>
      <c r="I396" s="21"/>
      <c r="J396" s="5"/>
      <c r="K396" s="5"/>
      <c r="L396" s="5"/>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row>
    <row r="397" ht="12.75" customHeight="1">
      <c r="A397" s="18"/>
      <c r="B397" s="13"/>
      <c r="C397" s="13"/>
      <c r="D397" s="13"/>
      <c r="E397" s="13"/>
      <c r="F397" s="19"/>
      <c r="G397" s="20"/>
      <c r="H397" s="13"/>
      <c r="I397" s="21"/>
      <c r="J397" s="5"/>
      <c r="K397" s="5"/>
      <c r="L397" s="5"/>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row>
    <row r="398" ht="12.75" customHeight="1">
      <c r="A398" s="18"/>
      <c r="B398" s="13"/>
      <c r="C398" s="13"/>
      <c r="D398" s="13"/>
      <c r="E398" s="13"/>
      <c r="F398" s="19"/>
      <c r="G398" s="20"/>
      <c r="H398" s="13"/>
      <c r="I398" s="21"/>
      <c r="J398" s="5"/>
      <c r="K398" s="5"/>
      <c r="L398" s="5"/>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row>
    <row r="399" ht="12.75" customHeight="1">
      <c r="A399" s="18"/>
      <c r="B399" s="13"/>
      <c r="C399" s="13"/>
      <c r="D399" s="13"/>
      <c r="E399" s="13"/>
      <c r="F399" s="19"/>
      <c r="G399" s="20"/>
      <c r="H399" s="13"/>
      <c r="I399" s="21"/>
      <c r="J399" s="5"/>
      <c r="K399" s="5"/>
      <c r="L399" s="5"/>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row>
    <row r="400" ht="12.75" customHeight="1">
      <c r="A400" s="18"/>
      <c r="B400" s="13"/>
      <c r="C400" s="13"/>
      <c r="D400" s="13"/>
      <c r="E400" s="13"/>
      <c r="F400" s="19"/>
      <c r="G400" s="20"/>
      <c r="H400" s="13"/>
      <c r="I400" s="21"/>
      <c r="J400" s="5"/>
      <c r="K400" s="5"/>
      <c r="L400" s="5"/>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row>
    <row r="401" ht="12.75" customHeight="1">
      <c r="A401" s="18"/>
      <c r="B401" s="13"/>
      <c r="C401" s="13"/>
      <c r="D401" s="13"/>
      <c r="E401" s="13"/>
      <c r="F401" s="19"/>
      <c r="G401" s="20"/>
      <c r="H401" s="13"/>
      <c r="I401" s="21"/>
      <c r="J401" s="5"/>
      <c r="K401" s="5"/>
      <c r="L401" s="5"/>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row>
    <row r="402" ht="12.75" customHeight="1">
      <c r="A402" s="18"/>
      <c r="B402" s="13"/>
      <c r="C402" s="13"/>
      <c r="D402" s="13"/>
      <c r="E402" s="13"/>
      <c r="F402" s="19"/>
      <c r="G402" s="20"/>
      <c r="H402" s="13"/>
      <c r="I402" s="21"/>
      <c r="J402" s="5"/>
      <c r="K402" s="5"/>
      <c r="L402" s="5"/>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row>
    <row r="403" ht="12.75" customHeight="1">
      <c r="A403" s="18"/>
      <c r="B403" s="13"/>
      <c r="C403" s="13"/>
      <c r="D403" s="13"/>
      <c r="E403" s="13"/>
      <c r="F403" s="19"/>
      <c r="G403" s="20"/>
      <c r="H403" s="13"/>
      <c r="I403" s="21"/>
      <c r="J403" s="5"/>
      <c r="K403" s="5"/>
      <c r="L403" s="5"/>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row>
    <row r="404" ht="12.75" customHeight="1">
      <c r="A404" s="18"/>
      <c r="B404" s="13"/>
      <c r="C404" s="13"/>
      <c r="D404" s="13"/>
      <c r="E404" s="13"/>
      <c r="F404" s="19"/>
      <c r="G404" s="20"/>
      <c r="H404" s="13"/>
      <c r="I404" s="21"/>
      <c r="J404" s="5"/>
      <c r="K404" s="5"/>
      <c r="L404" s="5"/>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row>
    <row r="405" ht="12.75" customHeight="1">
      <c r="A405" s="18"/>
      <c r="B405" s="13"/>
      <c r="C405" s="13"/>
      <c r="D405" s="13"/>
      <c r="E405" s="13"/>
      <c r="F405" s="19"/>
      <c r="G405" s="20"/>
      <c r="H405" s="13"/>
      <c r="I405" s="21"/>
      <c r="J405" s="5"/>
      <c r="K405" s="5"/>
      <c r="L405" s="5"/>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row>
    <row r="406" ht="12.75" customHeight="1">
      <c r="A406" s="18"/>
      <c r="B406" s="13"/>
      <c r="C406" s="13"/>
      <c r="D406" s="13"/>
      <c r="E406" s="13"/>
      <c r="F406" s="19"/>
      <c r="G406" s="20"/>
      <c r="H406" s="13"/>
      <c r="I406" s="21"/>
      <c r="J406" s="5"/>
      <c r="K406" s="5"/>
      <c r="L406" s="5"/>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row>
    <row r="407" ht="12.75" customHeight="1">
      <c r="A407" s="18"/>
      <c r="B407" s="13"/>
      <c r="C407" s="13"/>
      <c r="D407" s="13"/>
      <c r="E407" s="13"/>
      <c r="F407" s="19"/>
      <c r="G407" s="20"/>
      <c r="H407" s="13"/>
      <c r="I407" s="21"/>
      <c r="J407" s="5"/>
      <c r="K407" s="5"/>
      <c r="L407" s="5"/>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row>
    <row r="408" ht="12.75" customHeight="1">
      <c r="A408" s="18"/>
      <c r="B408" s="13"/>
      <c r="C408" s="13"/>
      <c r="D408" s="13"/>
      <c r="E408" s="13"/>
      <c r="F408" s="19"/>
      <c r="G408" s="20"/>
      <c r="H408" s="13"/>
      <c r="I408" s="21"/>
      <c r="J408" s="5"/>
      <c r="K408" s="5"/>
      <c r="L408" s="5"/>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row>
    <row r="409" ht="12.75" customHeight="1">
      <c r="A409" s="18"/>
      <c r="B409" s="13"/>
      <c r="C409" s="13"/>
      <c r="D409" s="13"/>
      <c r="E409" s="13"/>
      <c r="F409" s="19"/>
      <c r="G409" s="20"/>
      <c r="H409" s="13"/>
      <c r="I409" s="21"/>
      <c r="J409" s="5"/>
      <c r="K409" s="5"/>
      <c r="L409" s="5"/>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row>
    <row r="410" ht="12.75" customHeight="1">
      <c r="A410" s="18"/>
      <c r="B410" s="13"/>
      <c r="C410" s="13"/>
      <c r="D410" s="13"/>
      <c r="E410" s="13"/>
      <c r="F410" s="19"/>
      <c r="G410" s="20"/>
      <c r="H410" s="13"/>
      <c r="I410" s="21"/>
      <c r="J410" s="5"/>
      <c r="K410" s="5"/>
      <c r="L410" s="5"/>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row>
    <row r="411" ht="12.75" customHeight="1">
      <c r="A411" s="18"/>
      <c r="B411" s="13"/>
      <c r="C411" s="13"/>
      <c r="D411" s="13"/>
      <c r="E411" s="13"/>
      <c r="F411" s="19"/>
      <c r="G411" s="20"/>
      <c r="H411" s="13"/>
      <c r="I411" s="21"/>
      <c r="J411" s="5"/>
      <c r="K411" s="5"/>
      <c r="L411" s="5"/>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row>
    <row r="412" ht="12.75" customHeight="1">
      <c r="A412" s="18"/>
      <c r="B412" s="13"/>
      <c r="C412" s="13"/>
      <c r="D412" s="13"/>
      <c r="E412" s="13"/>
      <c r="F412" s="19"/>
      <c r="G412" s="20"/>
      <c r="H412" s="13"/>
      <c r="I412" s="21"/>
      <c r="J412" s="5"/>
      <c r="K412" s="5"/>
      <c r="L412" s="5"/>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row>
    <row r="413" ht="12.75" customHeight="1">
      <c r="A413" s="18"/>
      <c r="B413" s="13"/>
      <c r="C413" s="13"/>
      <c r="D413" s="13"/>
      <c r="E413" s="13"/>
      <c r="F413" s="19"/>
      <c r="G413" s="20"/>
      <c r="H413" s="13"/>
      <c r="I413" s="21"/>
      <c r="J413" s="5"/>
      <c r="K413" s="5"/>
      <c r="L413" s="5"/>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row>
    <row r="414" ht="12.75" customHeight="1">
      <c r="A414" s="18"/>
      <c r="B414" s="13"/>
      <c r="C414" s="13"/>
      <c r="D414" s="13"/>
      <c r="E414" s="13"/>
      <c r="F414" s="19"/>
      <c r="G414" s="20"/>
      <c r="H414" s="13"/>
      <c r="I414" s="21"/>
      <c r="J414" s="5"/>
      <c r="K414" s="5"/>
      <c r="L414" s="5"/>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row>
    <row r="415" ht="12.75" customHeight="1">
      <c r="A415" s="18"/>
      <c r="B415" s="13"/>
      <c r="C415" s="13"/>
      <c r="D415" s="13"/>
      <c r="E415" s="13"/>
      <c r="F415" s="19"/>
      <c r="G415" s="20"/>
      <c r="H415" s="13"/>
      <c r="I415" s="21"/>
      <c r="J415" s="5"/>
      <c r="K415" s="5"/>
      <c r="L415" s="5"/>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row>
    <row r="416" ht="12.75" customHeight="1">
      <c r="A416" s="18"/>
      <c r="B416" s="13"/>
      <c r="C416" s="13"/>
      <c r="D416" s="13"/>
      <c r="E416" s="13"/>
      <c r="F416" s="19"/>
      <c r="G416" s="20"/>
      <c r="H416" s="13"/>
      <c r="I416" s="21"/>
      <c r="J416" s="5"/>
      <c r="K416" s="5"/>
      <c r="L416" s="5"/>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row>
    <row r="417" ht="12.75" customHeight="1">
      <c r="A417" s="18"/>
      <c r="B417" s="13"/>
      <c r="C417" s="13"/>
      <c r="D417" s="13"/>
      <c r="E417" s="13"/>
      <c r="F417" s="19"/>
      <c r="G417" s="20"/>
      <c r="H417" s="13"/>
      <c r="I417" s="21"/>
      <c r="J417" s="5"/>
      <c r="K417" s="5"/>
      <c r="L417" s="5"/>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row>
    <row r="418" ht="12.75" customHeight="1">
      <c r="A418" s="18"/>
      <c r="B418" s="13"/>
      <c r="C418" s="13"/>
      <c r="D418" s="13"/>
      <c r="E418" s="13"/>
      <c r="F418" s="19"/>
      <c r="G418" s="20"/>
      <c r="H418" s="13"/>
      <c r="I418" s="21"/>
      <c r="J418" s="5"/>
      <c r="K418" s="5"/>
      <c r="L418" s="5"/>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row>
    <row r="419" ht="12.75" customHeight="1">
      <c r="A419" s="18"/>
      <c r="B419" s="13"/>
      <c r="C419" s="13"/>
      <c r="D419" s="13"/>
      <c r="E419" s="13"/>
      <c r="F419" s="19"/>
      <c r="G419" s="20"/>
      <c r="H419" s="13"/>
      <c r="I419" s="21"/>
      <c r="J419" s="5"/>
      <c r="K419" s="5"/>
      <c r="L419" s="5"/>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row>
    <row r="420" ht="12.75" customHeight="1">
      <c r="A420" s="18"/>
      <c r="B420" s="13"/>
      <c r="C420" s="13"/>
      <c r="D420" s="13"/>
      <c r="E420" s="13"/>
      <c r="F420" s="19"/>
      <c r="G420" s="20"/>
      <c r="H420" s="13"/>
      <c r="I420" s="21"/>
      <c r="J420" s="5"/>
      <c r="K420" s="5"/>
      <c r="L420" s="5"/>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row>
    <row r="421" ht="12.75" customHeight="1">
      <c r="A421" s="18"/>
      <c r="B421" s="13"/>
      <c r="C421" s="13"/>
      <c r="D421" s="13"/>
      <c r="E421" s="13"/>
      <c r="F421" s="19"/>
      <c r="G421" s="20"/>
      <c r="H421" s="13"/>
      <c r="I421" s="21"/>
      <c r="J421" s="5"/>
      <c r="K421" s="5"/>
      <c r="L421" s="5"/>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row>
    <row r="422" ht="12.75" customHeight="1">
      <c r="A422" s="18"/>
      <c r="B422" s="13"/>
      <c r="C422" s="13"/>
      <c r="D422" s="13"/>
      <c r="E422" s="13"/>
      <c r="F422" s="19"/>
      <c r="G422" s="20"/>
      <c r="H422" s="13"/>
      <c r="I422" s="21"/>
      <c r="J422" s="5"/>
      <c r="K422" s="5"/>
      <c r="L422" s="5"/>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row>
    <row r="423" ht="12.75" customHeight="1">
      <c r="A423" s="18"/>
      <c r="B423" s="13"/>
      <c r="C423" s="13"/>
      <c r="D423" s="13"/>
      <c r="E423" s="13"/>
      <c r="F423" s="19"/>
      <c r="G423" s="20"/>
      <c r="H423" s="13"/>
      <c r="I423" s="21"/>
      <c r="J423" s="5"/>
      <c r="K423" s="5"/>
      <c r="L423" s="5"/>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row>
    <row r="424" ht="12.75" customHeight="1">
      <c r="A424" s="18"/>
      <c r="B424" s="13"/>
      <c r="C424" s="13"/>
      <c r="D424" s="13"/>
      <c r="E424" s="13"/>
      <c r="F424" s="19"/>
      <c r="G424" s="20"/>
      <c r="H424" s="13"/>
      <c r="I424" s="21"/>
      <c r="J424" s="5"/>
      <c r="K424" s="5"/>
      <c r="L424" s="5"/>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row>
    <row r="425" ht="12.75" customHeight="1">
      <c r="A425" s="18"/>
      <c r="B425" s="13"/>
      <c r="C425" s="13"/>
      <c r="D425" s="13"/>
      <c r="E425" s="13"/>
      <c r="F425" s="19"/>
      <c r="G425" s="20"/>
      <c r="H425" s="13"/>
      <c r="I425" s="21"/>
      <c r="J425" s="5"/>
      <c r="K425" s="5"/>
      <c r="L425" s="5"/>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row>
    <row r="426" ht="12.75" customHeight="1">
      <c r="A426" s="18"/>
      <c r="B426" s="13"/>
      <c r="C426" s="13"/>
      <c r="D426" s="13"/>
      <c r="E426" s="13"/>
      <c r="F426" s="19"/>
      <c r="G426" s="20"/>
      <c r="H426" s="13"/>
      <c r="I426" s="21"/>
      <c r="J426" s="5"/>
      <c r="K426" s="5"/>
      <c r="L426" s="5"/>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row>
    <row r="427" ht="12.75" customHeight="1">
      <c r="A427" s="18"/>
      <c r="B427" s="13"/>
      <c r="C427" s="13"/>
      <c r="D427" s="13"/>
      <c r="E427" s="13"/>
      <c r="F427" s="19"/>
      <c r="G427" s="20"/>
      <c r="H427" s="13"/>
      <c r="I427" s="21"/>
      <c r="J427" s="5"/>
      <c r="K427" s="5"/>
      <c r="L427" s="5"/>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row>
    <row r="428" ht="12.75" customHeight="1">
      <c r="A428" s="18"/>
      <c r="B428" s="13"/>
      <c r="C428" s="13"/>
      <c r="D428" s="13"/>
      <c r="E428" s="13"/>
      <c r="F428" s="19"/>
      <c r="G428" s="20"/>
      <c r="H428" s="13"/>
      <c r="I428" s="21"/>
      <c r="J428" s="5"/>
      <c r="K428" s="5"/>
      <c r="L428" s="5"/>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row>
    <row r="429" ht="12.75" customHeight="1">
      <c r="A429" s="18"/>
      <c r="B429" s="13"/>
      <c r="C429" s="13"/>
      <c r="D429" s="13"/>
      <c r="E429" s="13"/>
      <c r="F429" s="19"/>
      <c r="G429" s="20"/>
      <c r="H429" s="13"/>
      <c r="I429" s="21"/>
      <c r="J429" s="5"/>
      <c r="K429" s="5"/>
      <c r="L429" s="5"/>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row>
    <row r="430" ht="12.75" customHeight="1">
      <c r="A430" s="18"/>
      <c r="B430" s="13"/>
      <c r="C430" s="13"/>
      <c r="D430" s="13"/>
      <c r="E430" s="13"/>
      <c r="F430" s="19"/>
      <c r="G430" s="20"/>
      <c r="H430" s="13"/>
      <c r="I430" s="21"/>
      <c r="J430" s="5"/>
      <c r="K430" s="5"/>
      <c r="L430" s="5"/>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row>
    <row r="431" ht="12.75" customHeight="1">
      <c r="A431" s="18"/>
      <c r="B431" s="13"/>
      <c r="C431" s="13"/>
      <c r="D431" s="13"/>
      <c r="E431" s="13"/>
      <c r="F431" s="19"/>
      <c r="G431" s="20"/>
      <c r="H431" s="13"/>
      <c r="I431" s="21"/>
      <c r="J431" s="5"/>
      <c r="K431" s="5"/>
      <c r="L431" s="5"/>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row>
    <row r="432" ht="12.75" customHeight="1">
      <c r="A432" s="18"/>
      <c r="B432" s="13"/>
      <c r="C432" s="13"/>
      <c r="D432" s="13"/>
      <c r="E432" s="13"/>
      <c r="F432" s="19"/>
      <c r="G432" s="20"/>
      <c r="H432" s="13"/>
      <c r="I432" s="21"/>
      <c r="J432" s="5"/>
      <c r="K432" s="5"/>
      <c r="L432" s="5"/>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row>
    <row r="433" ht="12.75" customHeight="1">
      <c r="A433" s="18"/>
      <c r="B433" s="13"/>
      <c r="C433" s="13"/>
      <c r="D433" s="13"/>
      <c r="E433" s="13"/>
      <c r="F433" s="19"/>
      <c r="G433" s="20"/>
      <c r="H433" s="13"/>
      <c r="I433" s="21"/>
      <c r="J433" s="5"/>
      <c r="K433" s="5"/>
      <c r="L433" s="5"/>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row>
    <row r="434" ht="12.75" customHeight="1">
      <c r="A434" s="18"/>
      <c r="B434" s="13"/>
      <c r="C434" s="13"/>
      <c r="D434" s="13"/>
      <c r="E434" s="13"/>
      <c r="F434" s="19"/>
      <c r="G434" s="20"/>
      <c r="H434" s="13"/>
      <c r="I434" s="21"/>
      <c r="J434" s="5"/>
      <c r="K434" s="5"/>
      <c r="L434" s="5"/>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row>
    <row r="435" ht="12.75" customHeight="1">
      <c r="A435" s="18"/>
      <c r="B435" s="13"/>
      <c r="C435" s="13"/>
      <c r="D435" s="13"/>
      <c r="E435" s="13"/>
      <c r="F435" s="19"/>
      <c r="G435" s="20"/>
      <c r="H435" s="13"/>
      <c r="I435" s="21"/>
      <c r="J435" s="5"/>
      <c r="K435" s="5"/>
      <c r="L435" s="5"/>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row>
    <row r="436" ht="12.75" customHeight="1">
      <c r="A436" s="18"/>
      <c r="B436" s="13"/>
      <c r="C436" s="13"/>
      <c r="D436" s="13"/>
      <c r="E436" s="13"/>
      <c r="F436" s="19"/>
      <c r="G436" s="20"/>
      <c r="H436" s="13"/>
      <c r="I436" s="21"/>
      <c r="J436" s="5"/>
      <c r="K436" s="5"/>
      <c r="L436" s="5"/>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row>
    <row r="437" ht="12.75" customHeight="1">
      <c r="A437" s="18"/>
      <c r="B437" s="13"/>
      <c r="C437" s="13"/>
      <c r="D437" s="13"/>
      <c r="E437" s="13"/>
      <c r="F437" s="19"/>
      <c r="G437" s="20"/>
      <c r="H437" s="13"/>
      <c r="I437" s="21"/>
      <c r="J437" s="5"/>
      <c r="K437" s="5"/>
      <c r="L437" s="5"/>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row>
    <row r="438" ht="12.75" customHeight="1">
      <c r="A438" s="18"/>
      <c r="B438" s="13"/>
      <c r="C438" s="13"/>
      <c r="D438" s="13"/>
      <c r="E438" s="13"/>
      <c r="F438" s="19"/>
      <c r="G438" s="20"/>
      <c r="H438" s="13"/>
      <c r="I438" s="21"/>
      <c r="J438" s="5"/>
      <c r="K438" s="5"/>
      <c r="L438" s="5"/>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row>
    <row r="439" ht="12.75" customHeight="1">
      <c r="A439" s="18"/>
      <c r="B439" s="13"/>
      <c r="C439" s="13"/>
      <c r="D439" s="13"/>
      <c r="E439" s="13"/>
      <c r="F439" s="19"/>
      <c r="G439" s="20"/>
      <c r="H439" s="13"/>
      <c r="I439" s="21"/>
      <c r="J439" s="5"/>
      <c r="K439" s="5"/>
      <c r="L439" s="5"/>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row>
    <row r="440" ht="12.75" customHeight="1">
      <c r="A440" s="18"/>
      <c r="B440" s="13"/>
      <c r="C440" s="13"/>
      <c r="D440" s="13"/>
      <c r="E440" s="13"/>
      <c r="F440" s="19"/>
      <c r="G440" s="20"/>
      <c r="H440" s="13"/>
      <c r="I440" s="21"/>
      <c r="J440" s="5"/>
      <c r="K440" s="5"/>
      <c r="L440" s="5"/>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row>
    <row r="441" ht="12.75" customHeight="1">
      <c r="A441" s="18"/>
      <c r="B441" s="13"/>
      <c r="C441" s="13"/>
      <c r="D441" s="13"/>
      <c r="E441" s="13"/>
      <c r="F441" s="19"/>
      <c r="G441" s="20"/>
      <c r="H441" s="13"/>
      <c r="I441" s="21"/>
      <c r="J441" s="5"/>
      <c r="K441" s="5"/>
      <c r="L441" s="5"/>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row>
    <row r="442" ht="12.75" customHeight="1">
      <c r="A442" s="18"/>
      <c r="B442" s="13"/>
      <c r="C442" s="13"/>
      <c r="D442" s="13"/>
      <c r="E442" s="13"/>
      <c r="F442" s="19"/>
      <c r="G442" s="20"/>
      <c r="H442" s="13"/>
      <c r="I442" s="21"/>
      <c r="J442" s="5"/>
      <c r="K442" s="5"/>
      <c r="L442" s="5"/>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row>
    <row r="443" ht="12.75" customHeight="1">
      <c r="A443" s="18"/>
      <c r="B443" s="13"/>
      <c r="C443" s="13"/>
      <c r="D443" s="13"/>
      <c r="E443" s="13"/>
      <c r="F443" s="19"/>
      <c r="G443" s="20"/>
      <c r="H443" s="13"/>
      <c r="I443" s="21"/>
      <c r="J443" s="5"/>
      <c r="K443" s="5"/>
      <c r="L443" s="5"/>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row>
    <row r="444" ht="12.75" customHeight="1">
      <c r="A444" s="18"/>
      <c r="B444" s="13"/>
      <c r="C444" s="13"/>
      <c r="D444" s="13"/>
      <c r="E444" s="13"/>
      <c r="F444" s="19"/>
      <c r="G444" s="20"/>
      <c r="H444" s="13"/>
      <c r="I444" s="21"/>
      <c r="J444" s="5"/>
      <c r="K444" s="5"/>
      <c r="L444" s="5"/>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row>
    <row r="445" ht="12.75" customHeight="1">
      <c r="A445" s="18"/>
      <c r="B445" s="13"/>
      <c r="C445" s="13"/>
      <c r="D445" s="13"/>
      <c r="E445" s="13"/>
      <c r="F445" s="19"/>
      <c r="G445" s="20"/>
      <c r="H445" s="13"/>
      <c r="I445" s="21"/>
      <c r="J445" s="5"/>
      <c r="K445" s="5"/>
      <c r="L445" s="5"/>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row>
    <row r="446" ht="12.75" customHeight="1">
      <c r="A446" s="18"/>
      <c r="B446" s="13"/>
      <c r="C446" s="13"/>
      <c r="D446" s="13"/>
      <c r="E446" s="13"/>
      <c r="F446" s="19"/>
      <c r="G446" s="20"/>
      <c r="H446" s="13"/>
      <c r="I446" s="21"/>
      <c r="J446" s="5"/>
      <c r="K446" s="5"/>
      <c r="L446" s="5"/>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row>
    <row r="447" ht="12.75" customHeight="1">
      <c r="A447" s="18"/>
      <c r="B447" s="13"/>
      <c r="C447" s="13"/>
      <c r="D447" s="13"/>
      <c r="E447" s="13"/>
      <c r="F447" s="19"/>
      <c r="G447" s="20"/>
      <c r="H447" s="13"/>
      <c r="I447" s="21"/>
      <c r="J447" s="5"/>
      <c r="K447" s="5"/>
      <c r="L447" s="5"/>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row>
    <row r="448" ht="12.75" customHeight="1">
      <c r="A448" s="18"/>
      <c r="B448" s="13"/>
      <c r="C448" s="13"/>
      <c r="D448" s="13"/>
      <c r="E448" s="13"/>
      <c r="F448" s="19"/>
      <c r="G448" s="20"/>
      <c r="H448" s="13"/>
      <c r="I448" s="21"/>
      <c r="J448" s="5"/>
      <c r="K448" s="5"/>
      <c r="L448" s="5"/>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row>
    <row r="449" ht="12.75" customHeight="1">
      <c r="A449" s="18"/>
      <c r="B449" s="13"/>
      <c r="C449" s="13"/>
      <c r="D449" s="13"/>
      <c r="E449" s="13"/>
      <c r="F449" s="19"/>
      <c r="G449" s="20"/>
      <c r="H449" s="13"/>
      <c r="I449" s="21"/>
      <c r="J449" s="5"/>
      <c r="K449" s="5"/>
      <c r="L449" s="5"/>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row>
    <row r="450" ht="12.75" customHeight="1">
      <c r="A450" s="18"/>
      <c r="B450" s="13"/>
      <c r="C450" s="13"/>
      <c r="D450" s="13"/>
      <c r="E450" s="13"/>
      <c r="F450" s="19"/>
      <c r="G450" s="20"/>
      <c r="H450" s="13"/>
      <c r="I450" s="21"/>
      <c r="J450" s="5"/>
      <c r="K450" s="5"/>
      <c r="L450" s="5"/>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row>
    <row r="451" ht="12.75" customHeight="1">
      <c r="A451" s="18"/>
      <c r="B451" s="13"/>
      <c r="C451" s="13"/>
      <c r="D451" s="13"/>
      <c r="E451" s="13"/>
      <c r="F451" s="19"/>
      <c r="G451" s="20"/>
      <c r="H451" s="13"/>
      <c r="I451" s="21"/>
      <c r="J451" s="5"/>
      <c r="K451" s="5"/>
      <c r="L451" s="5"/>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row>
    <row r="452" ht="12.75" customHeight="1">
      <c r="A452" s="18"/>
      <c r="B452" s="13"/>
      <c r="C452" s="13"/>
      <c r="D452" s="13"/>
      <c r="E452" s="13"/>
      <c r="F452" s="19"/>
      <c r="G452" s="20"/>
      <c r="H452" s="13"/>
      <c r="I452" s="21"/>
      <c r="J452" s="5"/>
      <c r="K452" s="5"/>
      <c r="L452" s="5"/>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row>
    <row r="453" ht="12.75" customHeight="1">
      <c r="A453" s="18"/>
      <c r="B453" s="13"/>
      <c r="C453" s="13"/>
      <c r="D453" s="13"/>
      <c r="E453" s="13"/>
      <c r="F453" s="19"/>
      <c r="G453" s="20"/>
      <c r="H453" s="13"/>
      <c r="I453" s="21"/>
      <c r="J453" s="5"/>
      <c r="K453" s="5"/>
      <c r="L453" s="5"/>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row>
    <row r="454" ht="12.75" customHeight="1">
      <c r="A454" s="18"/>
      <c r="B454" s="13"/>
      <c r="C454" s="13"/>
      <c r="D454" s="13"/>
      <c r="E454" s="13"/>
      <c r="F454" s="19"/>
      <c r="G454" s="20"/>
      <c r="H454" s="13"/>
      <c r="I454" s="21"/>
      <c r="J454" s="5"/>
      <c r="K454" s="5"/>
      <c r="L454" s="5"/>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row>
    <row r="455" ht="12.75" customHeight="1">
      <c r="A455" s="18"/>
      <c r="B455" s="13"/>
      <c r="C455" s="13"/>
      <c r="D455" s="13"/>
      <c r="E455" s="13"/>
      <c r="F455" s="19"/>
      <c r="G455" s="20"/>
      <c r="H455" s="13"/>
      <c r="I455" s="21"/>
      <c r="J455" s="5"/>
      <c r="K455" s="5"/>
      <c r="L455" s="5"/>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row>
    <row r="456" ht="12.75" customHeight="1">
      <c r="A456" s="18"/>
      <c r="B456" s="13"/>
      <c r="C456" s="13"/>
      <c r="D456" s="13"/>
      <c r="E456" s="13"/>
      <c r="F456" s="19"/>
      <c r="G456" s="20"/>
      <c r="H456" s="13"/>
      <c r="I456" s="21"/>
      <c r="J456" s="5"/>
      <c r="K456" s="5"/>
      <c r="L456" s="5"/>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row>
    <row r="457" ht="12.75" customHeight="1">
      <c r="A457" s="18"/>
      <c r="B457" s="13"/>
      <c r="C457" s="13"/>
      <c r="D457" s="13"/>
      <c r="E457" s="13"/>
      <c r="F457" s="19"/>
      <c r="G457" s="20"/>
      <c r="H457" s="13"/>
      <c r="I457" s="21"/>
      <c r="J457" s="5"/>
      <c r="K457" s="5"/>
      <c r="L457" s="5"/>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row>
    <row r="458" ht="12.75" customHeight="1">
      <c r="A458" s="18"/>
      <c r="B458" s="13"/>
      <c r="C458" s="13"/>
      <c r="D458" s="13"/>
      <c r="E458" s="13"/>
      <c r="F458" s="19"/>
      <c r="G458" s="20"/>
      <c r="H458" s="13"/>
      <c r="I458" s="21"/>
      <c r="J458" s="5"/>
      <c r="K458" s="5"/>
      <c r="L458" s="5"/>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row>
    <row r="459" ht="12.75" customHeight="1">
      <c r="A459" s="18"/>
      <c r="B459" s="13"/>
      <c r="C459" s="13"/>
      <c r="D459" s="13"/>
      <c r="E459" s="13"/>
      <c r="F459" s="19"/>
      <c r="G459" s="20"/>
      <c r="H459" s="13"/>
      <c r="I459" s="21"/>
      <c r="J459" s="5"/>
      <c r="K459" s="5"/>
      <c r="L459" s="5"/>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row>
    <row r="460" ht="12.75" customHeight="1">
      <c r="A460" s="18"/>
      <c r="B460" s="13"/>
      <c r="C460" s="13"/>
      <c r="D460" s="13"/>
      <c r="E460" s="13"/>
      <c r="F460" s="19"/>
      <c r="G460" s="20"/>
      <c r="H460" s="13"/>
      <c r="I460" s="21"/>
      <c r="J460" s="5"/>
      <c r="K460" s="5"/>
      <c r="L460" s="5"/>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row>
    <row r="461" ht="12.75" customHeight="1">
      <c r="A461" s="18"/>
      <c r="B461" s="13"/>
      <c r="C461" s="13"/>
      <c r="D461" s="13"/>
      <c r="E461" s="13"/>
      <c r="F461" s="19"/>
      <c r="G461" s="20"/>
      <c r="H461" s="13"/>
      <c r="I461" s="21"/>
      <c r="J461" s="5"/>
      <c r="K461" s="5"/>
      <c r="L461" s="5"/>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row>
    <row r="462" ht="12.75" customHeight="1">
      <c r="A462" s="18"/>
      <c r="B462" s="13"/>
      <c r="C462" s="13"/>
      <c r="D462" s="13"/>
      <c r="E462" s="13"/>
      <c r="F462" s="19"/>
      <c r="G462" s="20"/>
      <c r="H462" s="13"/>
      <c r="I462" s="21"/>
      <c r="J462" s="5"/>
      <c r="K462" s="5"/>
      <c r="L462" s="5"/>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row>
    <row r="463" ht="12.75" customHeight="1">
      <c r="A463" s="18"/>
      <c r="B463" s="13"/>
      <c r="C463" s="13"/>
      <c r="D463" s="13"/>
      <c r="E463" s="13"/>
      <c r="F463" s="19"/>
      <c r="G463" s="20"/>
      <c r="H463" s="13"/>
      <c r="I463" s="21"/>
      <c r="J463" s="5"/>
      <c r="K463" s="5"/>
      <c r="L463" s="5"/>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row>
    <row r="464" ht="12.75" customHeight="1">
      <c r="A464" s="18"/>
      <c r="B464" s="13"/>
      <c r="C464" s="13"/>
      <c r="D464" s="13"/>
      <c r="E464" s="13"/>
      <c r="F464" s="19"/>
      <c r="G464" s="20"/>
      <c r="H464" s="13"/>
      <c r="I464" s="21"/>
      <c r="J464" s="5"/>
      <c r="K464" s="5"/>
      <c r="L464" s="5"/>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row>
    <row r="465" ht="12.75" customHeight="1">
      <c r="A465" s="18"/>
      <c r="B465" s="13"/>
      <c r="C465" s="13"/>
      <c r="D465" s="13"/>
      <c r="E465" s="13"/>
      <c r="F465" s="19"/>
      <c r="G465" s="20"/>
      <c r="H465" s="13"/>
      <c r="I465" s="21"/>
      <c r="J465" s="5"/>
      <c r="K465" s="5"/>
      <c r="L465" s="5"/>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row>
    <row r="466" ht="12.75" customHeight="1">
      <c r="A466" s="18"/>
      <c r="B466" s="13"/>
      <c r="C466" s="13"/>
      <c r="D466" s="13"/>
      <c r="E466" s="13"/>
      <c r="F466" s="19"/>
      <c r="G466" s="20"/>
      <c r="H466" s="13"/>
      <c r="I466" s="21"/>
      <c r="J466" s="5"/>
      <c r="K466" s="5"/>
      <c r="L466" s="5"/>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row>
    <row r="467" ht="12.75" customHeight="1">
      <c r="A467" s="18"/>
      <c r="B467" s="13"/>
      <c r="C467" s="13"/>
      <c r="D467" s="13"/>
      <c r="E467" s="13"/>
      <c r="F467" s="19"/>
      <c r="G467" s="20"/>
      <c r="H467" s="13"/>
      <c r="I467" s="21"/>
      <c r="J467" s="5"/>
      <c r="K467" s="5"/>
      <c r="L467" s="5"/>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row>
    <row r="468" ht="12.75" customHeight="1">
      <c r="A468" s="18"/>
      <c r="B468" s="13"/>
      <c r="C468" s="13"/>
      <c r="D468" s="13"/>
      <c r="E468" s="13"/>
      <c r="F468" s="19"/>
      <c r="G468" s="20"/>
      <c r="H468" s="13"/>
      <c r="I468" s="21"/>
      <c r="J468" s="5"/>
      <c r="K468" s="5"/>
      <c r="L468" s="5"/>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row>
    <row r="469" ht="12.75" customHeight="1">
      <c r="A469" s="18"/>
      <c r="B469" s="13"/>
      <c r="C469" s="13"/>
      <c r="D469" s="13"/>
      <c r="E469" s="13"/>
      <c r="F469" s="19"/>
      <c r="G469" s="20"/>
      <c r="H469" s="13"/>
      <c r="I469" s="21"/>
      <c r="J469" s="5"/>
      <c r="K469" s="5"/>
      <c r="L469" s="5"/>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row>
    <row r="470" ht="12.75" customHeight="1">
      <c r="A470" s="18"/>
      <c r="B470" s="13"/>
      <c r="C470" s="13"/>
      <c r="D470" s="13"/>
      <c r="E470" s="13"/>
      <c r="F470" s="19"/>
      <c r="G470" s="20"/>
      <c r="H470" s="13"/>
      <c r="I470" s="21"/>
      <c r="J470" s="5"/>
      <c r="K470" s="5"/>
      <c r="L470" s="5"/>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row>
    <row r="471" ht="12.75" customHeight="1">
      <c r="A471" s="18"/>
      <c r="B471" s="13"/>
      <c r="C471" s="13"/>
      <c r="D471" s="13"/>
      <c r="E471" s="13"/>
      <c r="F471" s="19"/>
      <c r="G471" s="20"/>
      <c r="H471" s="13"/>
      <c r="I471" s="21"/>
      <c r="J471" s="5"/>
      <c r="K471" s="5"/>
      <c r="L471" s="5"/>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row>
    <row r="472" ht="12.75" customHeight="1">
      <c r="A472" s="18"/>
      <c r="B472" s="13"/>
      <c r="C472" s="13"/>
      <c r="D472" s="13"/>
      <c r="E472" s="13"/>
      <c r="F472" s="19"/>
      <c r="G472" s="20"/>
      <c r="H472" s="13"/>
      <c r="I472" s="21"/>
      <c r="J472" s="5"/>
      <c r="K472" s="5"/>
      <c r="L472" s="5"/>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row>
    <row r="473" ht="12.75" customHeight="1">
      <c r="A473" s="18"/>
      <c r="B473" s="13"/>
      <c r="C473" s="13"/>
      <c r="D473" s="13"/>
      <c r="E473" s="13"/>
      <c r="F473" s="19"/>
      <c r="G473" s="20"/>
      <c r="H473" s="13"/>
      <c r="I473" s="21"/>
      <c r="J473" s="5"/>
      <c r="K473" s="5"/>
      <c r="L473" s="5"/>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row>
    <row r="474" ht="12.75" customHeight="1">
      <c r="A474" s="18"/>
      <c r="B474" s="13"/>
      <c r="C474" s="13"/>
      <c r="D474" s="13"/>
      <c r="E474" s="13"/>
      <c r="F474" s="19"/>
      <c r="G474" s="20"/>
      <c r="H474" s="13"/>
      <c r="I474" s="21"/>
      <c r="J474" s="5"/>
      <c r="K474" s="5"/>
      <c r="L474" s="5"/>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row>
    <row r="475" ht="12.75" customHeight="1">
      <c r="A475" s="18"/>
      <c r="B475" s="13"/>
      <c r="C475" s="13"/>
      <c r="D475" s="13"/>
      <c r="E475" s="13"/>
      <c r="F475" s="19"/>
      <c r="G475" s="20"/>
      <c r="H475" s="13"/>
      <c r="I475" s="21"/>
      <c r="J475" s="5"/>
      <c r="K475" s="5"/>
      <c r="L475" s="5"/>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row>
    <row r="476" ht="12.75" customHeight="1">
      <c r="A476" s="18"/>
      <c r="B476" s="13"/>
      <c r="C476" s="13"/>
      <c r="D476" s="13"/>
      <c r="E476" s="13"/>
      <c r="F476" s="19"/>
      <c r="G476" s="20"/>
      <c r="H476" s="13"/>
      <c r="I476" s="21"/>
      <c r="J476" s="5"/>
      <c r="K476" s="5"/>
      <c r="L476" s="5"/>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row>
    <row r="477" ht="12.75" customHeight="1">
      <c r="A477" s="18"/>
      <c r="B477" s="13"/>
      <c r="C477" s="13"/>
      <c r="D477" s="13"/>
      <c r="E477" s="13"/>
      <c r="F477" s="19"/>
      <c r="G477" s="20"/>
      <c r="H477" s="13"/>
      <c r="I477" s="21"/>
      <c r="J477" s="5"/>
      <c r="K477" s="5"/>
      <c r="L477" s="5"/>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row>
    <row r="478" ht="12.75" customHeight="1">
      <c r="A478" s="18"/>
      <c r="B478" s="13"/>
      <c r="C478" s="13"/>
      <c r="D478" s="13"/>
      <c r="E478" s="13"/>
      <c r="F478" s="19"/>
      <c r="G478" s="20"/>
      <c r="H478" s="13"/>
      <c r="I478" s="21"/>
      <c r="J478" s="5"/>
      <c r="K478" s="5"/>
      <c r="L478" s="5"/>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row>
    <row r="479" ht="12.75" customHeight="1">
      <c r="A479" s="18"/>
      <c r="B479" s="13"/>
      <c r="C479" s="13"/>
      <c r="D479" s="13"/>
      <c r="E479" s="13"/>
      <c r="F479" s="19"/>
      <c r="G479" s="20"/>
      <c r="H479" s="13"/>
      <c r="I479" s="21"/>
      <c r="J479" s="5"/>
      <c r="K479" s="5"/>
      <c r="L479" s="5"/>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row>
    <row r="480" ht="12.75" customHeight="1">
      <c r="A480" s="18"/>
      <c r="B480" s="13"/>
      <c r="C480" s="13"/>
      <c r="D480" s="13"/>
      <c r="E480" s="13"/>
      <c r="F480" s="19"/>
      <c r="G480" s="20"/>
      <c r="H480" s="13"/>
      <c r="I480" s="21"/>
      <c r="J480" s="5"/>
      <c r="K480" s="5"/>
      <c r="L480" s="5"/>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row>
    <row r="481" ht="12.75" customHeight="1">
      <c r="A481" s="18"/>
      <c r="B481" s="13"/>
      <c r="C481" s="13"/>
      <c r="D481" s="13"/>
      <c r="E481" s="13"/>
      <c r="F481" s="19"/>
      <c r="G481" s="20"/>
      <c r="H481" s="13"/>
      <c r="I481" s="21"/>
      <c r="J481" s="5"/>
      <c r="K481" s="5"/>
      <c r="L481" s="5"/>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row>
    <row r="482" ht="12.75" customHeight="1">
      <c r="A482" s="18"/>
      <c r="B482" s="13"/>
      <c r="C482" s="13"/>
      <c r="D482" s="13"/>
      <c r="E482" s="13"/>
      <c r="F482" s="19"/>
      <c r="G482" s="20"/>
      <c r="H482" s="13"/>
      <c r="I482" s="21"/>
      <c r="J482" s="5"/>
      <c r="K482" s="5"/>
      <c r="L482" s="5"/>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row>
    <row r="483" ht="12.75" customHeight="1">
      <c r="A483" s="18"/>
      <c r="B483" s="13"/>
      <c r="C483" s="13"/>
      <c r="D483" s="13"/>
      <c r="E483" s="13"/>
      <c r="F483" s="19"/>
      <c r="G483" s="20"/>
      <c r="H483" s="13"/>
      <c r="I483" s="21"/>
      <c r="J483" s="5"/>
      <c r="K483" s="5"/>
      <c r="L483" s="5"/>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row>
    <row r="484" ht="12.75" customHeight="1">
      <c r="A484" s="18"/>
      <c r="B484" s="13"/>
      <c r="C484" s="13"/>
      <c r="D484" s="13"/>
      <c r="E484" s="13"/>
      <c r="F484" s="19"/>
      <c r="G484" s="20"/>
      <c r="H484" s="13"/>
      <c r="I484" s="21"/>
      <c r="J484" s="5"/>
      <c r="K484" s="5"/>
      <c r="L484" s="5"/>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row>
    <row r="485" ht="12.75" customHeight="1">
      <c r="A485" s="18"/>
      <c r="B485" s="13"/>
      <c r="C485" s="13"/>
      <c r="D485" s="13"/>
      <c r="E485" s="13"/>
      <c r="F485" s="19"/>
      <c r="G485" s="20"/>
      <c r="H485" s="13"/>
      <c r="I485" s="21"/>
      <c r="J485" s="5"/>
      <c r="K485" s="5"/>
      <c r="L485" s="5"/>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row>
    <row r="486" ht="12.75" customHeight="1">
      <c r="A486" s="18"/>
      <c r="B486" s="13"/>
      <c r="C486" s="13"/>
      <c r="D486" s="13"/>
      <c r="E486" s="13"/>
      <c r="F486" s="19"/>
      <c r="G486" s="20"/>
      <c r="H486" s="13"/>
      <c r="I486" s="21"/>
      <c r="J486" s="5"/>
      <c r="K486" s="5"/>
      <c r="L486" s="5"/>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row>
    <row r="487" ht="12.75" customHeight="1">
      <c r="A487" s="18"/>
      <c r="B487" s="13"/>
      <c r="C487" s="13"/>
      <c r="D487" s="13"/>
      <c r="E487" s="13"/>
      <c r="F487" s="19"/>
      <c r="G487" s="20"/>
      <c r="H487" s="13"/>
      <c r="I487" s="21"/>
      <c r="J487" s="5"/>
      <c r="K487" s="5"/>
      <c r="L487" s="5"/>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row>
    <row r="488" ht="12.75" customHeight="1">
      <c r="A488" s="18"/>
      <c r="B488" s="13"/>
      <c r="C488" s="13"/>
      <c r="D488" s="13"/>
      <c r="E488" s="13"/>
      <c r="F488" s="19"/>
      <c r="G488" s="20"/>
      <c r="H488" s="13"/>
      <c r="I488" s="21"/>
      <c r="J488" s="5"/>
      <c r="K488" s="5"/>
      <c r="L488" s="5"/>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row>
    <row r="489" ht="12.75" customHeight="1">
      <c r="A489" s="18"/>
      <c r="B489" s="13"/>
      <c r="C489" s="13"/>
      <c r="D489" s="13"/>
      <c r="E489" s="13"/>
      <c r="F489" s="19"/>
      <c r="G489" s="20"/>
      <c r="H489" s="13"/>
      <c r="I489" s="21"/>
      <c r="J489" s="5"/>
      <c r="K489" s="5"/>
      <c r="L489" s="5"/>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row>
    <row r="490" ht="12.75" customHeight="1">
      <c r="A490" s="18"/>
      <c r="B490" s="13"/>
      <c r="C490" s="13"/>
      <c r="D490" s="13"/>
      <c r="E490" s="13"/>
      <c r="F490" s="19"/>
      <c r="G490" s="20"/>
      <c r="H490" s="13"/>
      <c r="I490" s="21"/>
      <c r="J490" s="5"/>
      <c r="K490" s="5"/>
      <c r="L490" s="5"/>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row>
    <row r="491" ht="12.75" customHeight="1">
      <c r="A491" s="18"/>
      <c r="B491" s="13"/>
      <c r="C491" s="13"/>
      <c r="D491" s="13"/>
      <c r="E491" s="13"/>
      <c r="F491" s="19"/>
      <c r="G491" s="20"/>
      <c r="H491" s="13"/>
      <c r="I491" s="21"/>
      <c r="J491" s="5"/>
      <c r="K491" s="5"/>
      <c r="L491" s="5"/>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row>
    <row r="492" ht="12.75" customHeight="1">
      <c r="A492" s="18"/>
      <c r="B492" s="13"/>
      <c r="C492" s="13"/>
      <c r="D492" s="13"/>
      <c r="E492" s="13"/>
      <c r="F492" s="19"/>
      <c r="G492" s="20"/>
      <c r="H492" s="13"/>
      <c r="I492" s="21"/>
      <c r="J492" s="5"/>
      <c r="K492" s="5"/>
      <c r="L492" s="5"/>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row>
    <row r="493" ht="12.75" customHeight="1">
      <c r="A493" s="18"/>
      <c r="B493" s="13"/>
      <c r="C493" s="13"/>
      <c r="D493" s="13"/>
      <c r="E493" s="13"/>
      <c r="F493" s="19"/>
      <c r="G493" s="20"/>
      <c r="H493" s="13"/>
      <c r="I493" s="21"/>
      <c r="J493" s="5"/>
      <c r="K493" s="5"/>
      <c r="L493" s="5"/>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row>
    <row r="494" ht="12.75" customHeight="1">
      <c r="A494" s="18"/>
      <c r="B494" s="13"/>
      <c r="C494" s="13"/>
      <c r="D494" s="13"/>
      <c r="E494" s="13"/>
      <c r="F494" s="19"/>
      <c r="G494" s="20"/>
      <c r="H494" s="13"/>
      <c r="I494" s="21"/>
      <c r="J494" s="5"/>
      <c r="K494" s="5"/>
      <c r="L494" s="5"/>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row>
    <row r="495" ht="12.75" customHeight="1">
      <c r="A495" s="18"/>
      <c r="B495" s="13"/>
      <c r="C495" s="13"/>
      <c r="D495" s="13"/>
      <c r="E495" s="13"/>
      <c r="F495" s="19"/>
      <c r="G495" s="20"/>
      <c r="H495" s="13"/>
      <c r="I495" s="21"/>
      <c r="J495" s="5"/>
      <c r="K495" s="5"/>
      <c r="L495" s="5"/>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row>
    <row r="496" ht="12.75" customHeight="1">
      <c r="A496" s="18"/>
      <c r="B496" s="13"/>
      <c r="C496" s="13"/>
      <c r="D496" s="13"/>
      <c r="E496" s="13"/>
      <c r="F496" s="19"/>
      <c r="G496" s="20"/>
      <c r="H496" s="13"/>
      <c r="I496" s="21"/>
      <c r="J496" s="5"/>
      <c r="K496" s="5"/>
      <c r="L496" s="5"/>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row>
    <row r="497" ht="12.75" customHeight="1">
      <c r="A497" s="18"/>
      <c r="B497" s="13"/>
      <c r="C497" s="13"/>
      <c r="D497" s="13"/>
      <c r="E497" s="13"/>
      <c r="F497" s="19"/>
      <c r="G497" s="20"/>
      <c r="H497" s="13"/>
      <c r="I497" s="21"/>
      <c r="J497" s="5"/>
      <c r="K497" s="5"/>
      <c r="L497" s="5"/>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row>
    <row r="498" ht="12.75" customHeight="1">
      <c r="A498" s="18"/>
      <c r="B498" s="13"/>
      <c r="C498" s="13"/>
      <c r="D498" s="13"/>
      <c r="E498" s="13"/>
      <c r="F498" s="19"/>
      <c r="G498" s="20"/>
      <c r="H498" s="13"/>
      <c r="I498" s="21"/>
      <c r="J498" s="5"/>
      <c r="K498" s="5"/>
      <c r="L498" s="5"/>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row>
    <row r="499" ht="12.75" customHeight="1">
      <c r="A499" s="18"/>
      <c r="B499" s="13"/>
      <c r="C499" s="13"/>
      <c r="D499" s="13"/>
      <c r="E499" s="13"/>
      <c r="F499" s="19"/>
      <c r="G499" s="20"/>
      <c r="H499" s="13"/>
      <c r="I499" s="21"/>
      <c r="J499" s="5"/>
      <c r="K499" s="5"/>
      <c r="L499" s="5"/>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row>
    <row r="500" ht="12.75" customHeight="1">
      <c r="A500" s="18"/>
      <c r="B500" s="13"/>
      <c r="C500" s="13"/>
      <c r="D500" s="13"/>
      <c r="E500" s="13"/>
      <c r="F500" s="19"/>
      <c r="G500" s="20"/>
      <c r="H500" s="13"/>
      <c r="I500" s="21"/>
      <c r="J500" s="5"/>
      <c r="K500" s="5"/>
      <c r="L500" s="5"/>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row>
    <row r="501" ht="12.75" customHeight="1">
      <c r="A501" s="18"/>
      <c r="B501" s="13"/>
      <c r="C501" s="13"/>
      <c r="D501" s="13"/>
      <c r="E501" s="13"/>
      <c r="F501" s="19"/>
      <c r="G501" s="20"/>
      <c r="H501" s="13"/>
      <c r="I501" s="21"/>
      <c r="J501" s="5"/>
      <c r="K501" s="5"/>
      <c r="L501" s="5"/>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row>
    <row r="502" ht="12.75" customHeight="1">
      <c r="A502" s="18"/>
      <c r="B502" s="13"/>
      <c r="C502" s="13"/>
      <c r="D502" s="13"/>
      <c r="E502" s="13"/>
      <c r="F502" s="19"/>
      <c r="G502" s="20"/>
      <c r="H502" s="13"/>
      <c r="I502" s="21"/>
      <c r="J502" s="5"/>
      <c r="K502" s="5"/>
      <c r="L502" s="5"/>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row>
    <row r="503" ht="12.75" customHeight="1">
      <c r="A503" s="18"/>
      <c r="B503" s="13"/>
      <c r="C503" s="13"/>
      <c r="D503" s="13"/>
      <c r="E503" s="13"/>
      <c r="F503" s="19"/>
      <c r="G503" s="20"/>
      <c r="H503" s="13"/>
      <c r="I503" s="21"/>
      <c r="J503" s="5"/>
      <c r="K503" s="5"/>
      <c r="L503" s="5"/>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row>
    <row r="504" ht="12.75" customHeight="1">
      <c r="A504" s="18"/>
      <c r="B504" s="13"/>
      <c r="C504" s="13"/>
      <c r="D504" s="13"/>
      <c r="E504" s="13"/>
      <c r="F504" s="19"/>
      <c r="G504" s="20"/>
      <c r="H504" s="13"/>
      <c r="I504" s="21"/>
      <c r="J504" s="5"/>
      <c r="K504" s="5"/>
      <c r="L504" s="5"/>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row>
    <row r="505" ht="12.75" customHeight="1">
      <c r="A505" s="18"/>
      <c r="B505" s="13"/>
      <c r="C505" s="13"/>
      <c r="D505" s="13"/>
      <c r="E505" s="13"/>
      <c r="F505" s="19"/>
      <c r="G505" s="20"/>
      <c r="H505" s="13"/>
      <c r="I505" s="21"/>
      <c r="J505" s="5"/>
      <c r="K505" s="5"/>
      <c r="L505" s="5"/>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row>
    <row r="506" ht="12.75" customHeight="1">
      <c r="A506" s="18"/>
      <c r="B506" s="13"/>
      <c r="C506" s="13"/>
      <c r="D506" s="13"/>
      <c r="E506" s="13"/>
      <c r="F506" s="19"/>
      <c r="G506" s="20"/>
      <c r="H506" s="13"/>
      <c r="I506" s="21"/>
      <c r="J506" s="5"/>
      <c r="K506" s="5"/>
      <c r="L506" s="5"/>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row>
    <row r="507" ht="12.75" customHeight="1">
      <c r="A507" s="18"/>
      <c r="B507" s="13"/>
      <c r="C507" s="13"/>
      <c r="D507" s="13"/>
      <c r="E507" s="13"/>
      <c r="F507" s="19"/>
      <c r="G507" s="20"/>
      <c r="H507" s="13"/>
      <c r="I507" s="21"/>
      <c r="J507" s="5"/>
      <c r="K507" s="5"/>
      <c r="L507" s="5"/>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row>
    <row r="508" ht="12.75" customHeight="1">
      <c r="A508" s="18"/>
      <c r="B508" s="13"/>
      <c r="C508" s="13"/>
      <c r="D508" s="13"/>
      <c r="E508" s="13"/>
      <c r="F508" s="19"/>
      <c r="G508" s="20"/>
      <c r="H508" s="13"/>
      <c r="I508" s="21"/>
      <c r="J508" s="5"/>
      <c r="K508" s="5"/>
      <c r="L508" s="5"/>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row>
    <row r="509" ht="12.75" customHeight="1">
      <c r="A509" s="18"/>
      <c r="B509" s="13"/>
      <c r="C509" s="13"/>
      <c r="D509" s="13"/>
      <c r="E509" s="13"/>
      <c r="F509" s="19"/>
      <c r="G509" s="20"/>
      <c r="H509" s="13"/>
      <c r="I509" s="21"/>
      <c r="J509" s="5"/>
      <c r="K509" s="5"/>
      <c r="L509" s="5"/>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row>
    <row r="510" ht="12.75" customHeight="1">
      <c r="A510" s="18"/>
      <c r="B510" s="13"/>
      <c r="C510" s="13"/>
      <c r="D510" s="13"/>
      <c r="E510" s="13"/>
      <c r="F510" s="19"/>
      <c r="G510" s="20"/>
      <c r="H510" s="13"/>
      <c r="I510" s="21"/>
      <c r="J510" s="5"/>
      <c r="K510" s="5"/>
      <c r="L510" s="5"/>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row>
    <row r="511" ht="12.75" customHeight="1">
      <c r="A511" s="18"/>
      <c r="B511" s="13"/>
      <c r="C511" s="13"/>
      <c r="D511" s="13"/>
      <c r="E511" s="13"/>
      <c r="F511" s="19"/>
      <c r="G511" s="20"/>
      <c r="H511" s="13"/>
      <c r="I511" s="21"/>
      <c r="J511" s="5"/>
      <c r="K511" s="5"/>
      <c r="L511" s="5"/>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row>
    <row r="512" ht="12.75" customHeight="1">
      <c r="A512" s="18"/>
      <c r="B512" s="13"/>
      <c r="C512" s="13"/>
      <c r="D512" s="13"/>
      <c r="E512" s="13"/>
      <c r="F512" s="19"/>
      <c r="G512" s="20"/>
      <c r="H512" s="13"/>
      <c r="I512" s="21"/>
      <c r="J512" s="5"/>
      <c r="K512" s="5"/>
      <c r="L512" s="5"/>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row>
    <row r="513" ht="12.75" customHeight="1">
      <c r="A513" s="18"/>
      <c r="B513" s="13"/>
      <c r="C513" s="13"/>
      <c r="D513" s="13"/>
      <c r="E513" s="13"/>
      <c r="F513" s="19"/>
      <c r="G513" s="20"/>
      <c r="H513" s="13"/>
      <c r="I513" s="21"/>
      <c r="J513" s="5"/>
      <c r="K513" s="5"/>
      <c r="L513" s="5"/>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row>
    <row r="514" ht="12.75" customHeight="1">
      <c r="A514" s="18"/>
      <c r="B514" s="13"/>
      <c r="C514" s="13"/>
      <c r="D514" s="13"/>
      <c r="E514" s="13"/>
      <c r="F514" s="19"/>
      <c r="G514" s="20"/>
      <c r="H514" s="13"/>
      <c r="I514" s="21"/>
      <c r="J514" s="5"/>
      <c r="K514" s="5"/>
      <c r="L514" s="5"/>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row>
    <row r="515" ht="12.75" customHeight="1">
      <c r="A515" s="18"/>
      <c r="B515" s="13"/>
      <c r="C515" s="13"/>
      <c r="D515" s="13"/>
      <c r="E515" s="13"/>
      <c r="F515" s="19"/>
      <c r="G515" s="20"/>
      <c r="H515" s="13"/>
      <c r="I515" s="21"/>
      <c r="J515" s="5"/>
      <c r="K515" s="5"/>
      <c r="L515" s="5"/>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row>
    <row r="516" ht="12.75" customHeight="1">
      <c r="A516" s="18"/>
      <c r="B516" s="13"/>
      <c r="C516" s="13"/>
      <c r="D516" s="13"/>
      <c r="E516" s="13"/>
      <c r="F516" s="19"/>
      <c r="G516" s="20"/>
      <c r="H516" s="13"/>
      <c r="I516" s="21"/>
      <c r="J516" s="5"/>
      <c r="K516" s="5"/>
      <c r="L516" s="5"/>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row>
    <row r="517" ht="12.75" customHeight="1">
      <c r="A517" s="18"/>
      <c r="B517" s="13"/>
      <c r="C517" s="13"/>
      <c r="D517" s="13"/>
      <c r="E517" s="13"/>
      <c r="F517" s="19"/>
      <c r="G517" s="20"/>
      <c r="H517" s="13"/>
      <c r="I517" s="21"/>
      <c r="J517" s="5"/>
      <c r="K517" s="5"/>
      <c r="L517" s="5"/>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row>
    <row r="518" ht="12.75" customHeight="1">
      <c r="A518" s="18"/>
      <c r="B518" s="13"/>
      <c r="C518" s="13"/>
      <c r="D518" s="13"/>
      <c r="E518" s="13"/>
      <c r="F518" s="19"/>
      <c r="G518" s="20"/>
      <c r="H518" s="13"/>
      <c r="I518" s="21"/>
      <c r="J518" s="5"/>
      <c r="K518" s="5"/>
      <c r="L518" s="5"/>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row>
    <row r="519" ht="12.75" customHeight="1">
      <c r="A519" s="18"/>
      <c r="B519" s="13"/>
      <c r="C519" s="13"/>
      <c r="D519" s="13"/>
      <c r="E519" s="13"/>
      <c r="F519" s="19"/>
      <c r="G519" s="20"/>
      <c r="H519" s="13"/>
      <c r="I519" s="21"/>
      <c r="J519" s="5"/>
      <c r="K519" s="5"/>
      <c r="L519" s="5"/>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row>
    <row r="520" ht="12.75" customHeight="1">
      <c r="A520" s="18"/>
      <c r="B520" s="13"/>
      <c r="C520" s="13"/>
      <c r="D520" s="13"/>
      <c r="E520" s="13"/>
      <c r="F520" s="19"/>
      <c r="G520" s="20"/>
      <c r="H520" s="13"/>
      <c r="I520" s="21"/>
      <c r="J520" s="5"/>
      <c r="K520" s="5"/>
      <c r="L520" s="5"/>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row>
    <row r="521" ht="12.75" customHeight="1">
      <c r="A521" s="18"/>
      <c r="B521" s="13"/>
      <c r="C521" s="13"/>
      <c r="D521" s="13"/>
      <c r="E521" s="13"/>
      <c r="F521" s="19"/>
      <c r="G521" s="20"/>
      <c r="H521" s="13"/>
      <c r="I521" s="21"/>
      <c r="J521" s="5"/>
      <c r="K521" s="5"/>
      <c r="L521" s="5"/>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row>
    <row r="522" ht="12.75" customHeight="1">
      <c r="A522" s="18"/>
      <c r="B522" s="13"/>
      <c r="C522" s="13"/>
      <c r="D522" s="13"/>
      <c r="E522" s="13"/>
      <c r="F522" s="19"/>
      <c r="G522" s="20"/>
      <c r="H522" s="13"/>
      <c r="I522" s="21"/>
      <c r="J522" s="5"/>
      <c r="K522" s="5"/>
      <c r="L522" s="5"/>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row>
    <row r="523" ht="12.75" customHeight="1">
      <c r="A523" s="18"/>
      <c r="B523" s="13"/>
      <c r="C523" s="13"/>
      <c r="D523" s="13"/>
      <c r="E523" s="13"/>
      <c r="F523" s="19"/>
      <c r="G523" s="20"/>
      <c r="H523" s="13"/>
      <c r="I523" s="21"/>
      <c r="J523" s="5"/>
      <c r="K523" s="5"/>
      <c r="L523" s="5"/>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row>
    <row r="524" ht="12.75" customHeight="1">
      <c r="A524" s="18"/>
      <c r="B524" s="13"/>
      <c r="C524" s="13"/>
      <c r="D524" s="13"/>
      <c r="E524" s="13"/>
      <c r="F524" s="19"/>
      <c r="G524" s="20"/>
      <c r="H524" s="13"/>
      <c r="I524" s="21"/>
      <c r="J524" s="5"/>
      <c r="K524" s="5"/>
      <c r="L524" s="5"/>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row>
    <row r="525" ht="12.75" customHeight="1">
      <c r="A525" s="18"/>
      <c r="B525" s="13"/>
      <c r="C525" s="13"/>
      <c r="D525" s="13"/>
      <c r="E525" s="13"/>
      <c r="F525" s="19"/>
      <c r="G525" s="20"/>
      <c r="H525" s="13"/>
      <c r="I525" s="21"/>
      <c r="J525" s="5"/>
      <c r="K525" s="5"/>
      <c r="L525" s="5"/>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row>
    <row r="526" ht="12.75" customHeight="1">
      <c r="A526" s="18"/>
      <c r="B526" s="13"/>
      <c r="C526" s="13"/>
      <c r="D526" s="13"/>
      <c r="E526" s="13"/>
      <c r="F526" s="19"/>
      <c r="G526" s="20"/>
      <c r="H526" s="13"/>
      <c r="I526" s="21"/>
      <c r="J526" s="5"/>
      <c r="K526" s="5"/>
      <c r="L526" s="5"/>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row>
    <row r="527" ht="12.75" customHeight="1">
      <c r="A527" s="18"/>
      <c r="B527" s="13"/>
      <c r="C527" s="13"/>
      <c r="D527" s="13"/>
      <c r="E527" s="13"/>
      <c r="F527" s="19"/>
      <c r="G527" s="20"/>
      <c r="H527" s="13"/>
      <c r="I527" s="21"/>
      <c r="J527" s="5"/>
      <c r="K527" s="5"/>
      <c r="L527" s="5"/>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row>
    <row r="528" ht="12.75" customHeight="1">
      <c r="A528" s="18"/>
      <c r="B528" s="13"/>
      <c r="C528" s="13"/>
      <c r="D528" s="13"/>
      <c r="E528" s="13"/>
      <c r="F528" s="19"/>
      <c r="G528" s="20"/>
      <c r="H528" s="13"/>
      <c r="I528" s="21"/>
      <c r="J528" s="5"/>
      <c r="K528" s="5"/>
      <c r="L528" s="5"/>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row>
    <row r="529" ht="12.75" customHeight="1">
      <c r="A529" s="18"/>
      <c r="B529" s="13"/>
      <c r="C529" s="13"/>
      <c r="D529" s="13"/>
      <c r="E529" s="13"/>
      <c r="F529" s="19"/>
      <c r="G529" s="20"/>
      <c r="H529" s="13"/>
      <c r="I529" s="21"/>
      <c r="J529" s="5"/>
      <c r="K529" s="5"/>
      <c r="L529" s="5"/>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row>
    <row r="530" ht="12.75" customHeight="1">
      <c r="A530" s="18"/>
      <c r="B530" s="13"/>
      <c r="C530" s="13"/>
      <c r="D530" s="13"/>
      <c r="E530" s="13"/>
      <c r="F530" s="19"/>
      <c r="G530" s="20"/>
      <c r="H530" s="13"/>
      <c r="I530" s="21"/>
      <c r="J530" s="5"/>
      <c r="K530" s="5"/>
      <c r="L530" s="5"/>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row>
    <row r="531" ht="12.75" customHeight="1">
      <c r="A531" s="18"/>
      <c r="B531" s="13"/>
      <c r="C531" s="13"/>
      <c r="D531" s="13"/>
      <c r="E531" s="13"/>
      <c r="F531" s="19"/>
      <c r="G531" s="20"/>
      <c r="H531" s="13"/>
      <c r="I531" s="21"/>
      <c r="J531" s="5"/>
      <c r="K531" s="5"/>
      <c r="L531" s="5"/>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row>
    <row r="532" ht="12.75" customHeight="1">
      <c r="A532" s="18"/>
      <c r="B532" s="13"/>
      <c r="C532" s="13"/>
      <c r="D532" s="13"/>
      <c r="E532" s="13"/>
      <c r="F532" s="19"/>
      <c r="G532" s="20"/>
      <c r="H532" s="13"/>
      <c r="I532" s="21"/>
      <c r="J532" s="5"/>
      <c r="K532" s="5"/>
      <c r="L532" s="5"/>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row>
    <row r="533" ht="12.75" customHeight="1">
      <c r="A533" s="18"/>
      <c r="B533" s="13"/>
      <c r="C533" s="13"/>
      <c r="D533" s="13"/>
      <c r="E533" s="13"/>
      <c r="F533" s="19"/>
      <c r="G533" s="20"/>
      <c r="H533" s="13"/>
      <c r="I533" s="21"/>
      <c r="J533" s="5"/>
      <c r="K533" s="5"/>
      <c r="L533" s="5"/>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row>
    <row r="534" ht="12.75" customHeight="1">
      <c r="A534" s="18"/>
      <c r="B534" s="13"/>
      <c r="C534" s="13"/>
      <c r="D534" s="13"/>
      <c r="E534" s="13"/>
      <c r="F534" s="19"/>
      <c r="G534" s="20"/>
      <c r="H534" s="13"/>
      <c r="I534" s="21"/>
      <c r="J534" s="5"/>
      <c r="K534" s="5"/>
      <c r="L534" s="5"/>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row>
    <row r="535" ht="12.75" customHeight="1">
      <c r="A535" s="18"/>
      <c r="B535" s="13"/>
      <c r="C535" s="13"/>
      <c r="D535" s="13"/>
      <c r="E535" s="13"/>
      <c r="F535" s="19"/>
      <c r="G535" s="20"/>
      <c r="H535" s="13"/>
      <c r="I535" s="21"/>
      <c r="J535" s="5"/>
      <c r="K535" s="5"/>
      <c r="L535" s="5"/>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row>
    <row r="536" ht="12.75" customHeight="1">
      <c r="A536" s="18"/>
      <c r="B536" s="13"/>
      <c r="C536" s="13"/>
      <c r="D536" s="13"/>
      <c r="E536" s="13"/>
      <c r="F536" s="19"/>
      <c r="G536" s="20"/>
      <c r="H536" s="13"/>
      <c r="I536" s="21"/>
      <c r="J536" s="5"/>
      <c r="K536" s="5"/>
      <c r="L536" s="5"/>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row>
    <row r="537" ht="12.75" customHeight="1">
      <c r="A537" s="18"/>
      <c r="B537" s="13"/>
      <c r="C537" s="13"/>
      <c r="D537" s="13"/>
      <c r="E537" s="13"/>
      <c r="F537" s="19"/>
      <c r="G537" s="20"/>
      <c r="H537" s="13"/>
      <c r="I537" s="21"/>
      <c r="J537" s="5"/>
      <c r="K537" s="5"/>
      <c r="L537" s="5"/>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row>
    <row r="538" ht="12.75" customHeight="1">
      <c r="A538" s="18"/>
      <c r="B538" s="13"/>
      <c r="C538" s="13"/>
      <c r="D538" s="13"/>
      <c r="E538" s="13"/>
      <c r="F538" s="19"/>
      <c r="G538" s="20"/>
      <c r="H538" s="13"/>
      <c r="I538" s="21"/>
      <c r="J538" s="5"/>
      <c r="K538" s="5"/>
      <c r="L538" s="5"/>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row>
    <row r="539" ht="12.75" customHeight="1">
      <c r="A539" s="18"/>
      <c r="B539" s="13"/>
      <c r="C539" s="13"/>
      <c r="D539" s="13"/>
      <c r="E539" s="13"/>
      <c r="F539" s="19"/>
      <c r="G539" s="20"/>
      <c r="H539" s="13"/>
      <c r="I539" s="21"/>
      <c r="J539" s="5"/>
      <c r="K539" s="5"/>
      <c r="L539" s="5"/>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row>
    <row r="540" ht="12.75" customHeight="1">
      <c r="A540" s="18"/>
      <c r="B540" s="13"/>
      <c r="C540" s="13"/>
      <c r="D540" s="13"/>
      <c r="E540" s="13"/>
      <c r="F540" s="19"/>
      <c r="G540" s="20"/>
      <c r="H540" s="13"/>
      <c r="I540" s="21"/>
      <c r="J540" s="5"/>
      <c r="K540" s="5"/>
      <c r="L540" s="5"/>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row>
    <row r="541" ht="12.75" customHeight="1">
      <c r="A541" s="18"/>
      <c r="B541" s="13"/>
      <c r="C541" s="13"/>
      <c r="D541" s="13"/>
      <c r="E541" s="13"/>
      <c r="F541" s="19"/>
      <c r="G541" s="20"/>
      <c r="H541" s="13"/>
      <c r="I541" s="21"/>
      <c r="J541" s="5"/>
      <c r="K541" s="5"/>
      <c r="L541" s="5"/>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row>
    <row r="542" ht="12.75" customHeight="1">
      <c r="A542" s="18"/>
      <c r="B542" s="13"/>
      <c r="C542" s="13"/>
      <c r="D542" s="13"/>
      <c r="E542" s="13"/>
      <c r="F542" s="19"/>
      <c r="G542" s="20"/>
      <c r="H542" s="13"/>
      <c r="I542" s="21"/>
      <c r="J542" s="5"/>
      <c r="K542" s="5"/>
      <c r="L542" s="5"/>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row>
    <row r="543" ht="12.75" customHeight="1">
      <c r="A543" s="18"/>
      <c r="B543" s="13"/>
      <c r="C543" s="13"/>
      <c r="D543" s="13"/>
      <c r="E543" s="13"/>
      <c r="F543" s="19"/>
      <c r="G543" s="20"/>
      <c r="H543" s="13"/>
      <c r="I543" s="21"/>
      <c r="J543" s="5"/>
      <c r="K543" s="5"/>
      <c r="L543" s="5"/>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row>
    <row r="544" ht="12.75" customHeight="1">
      <c r="A544" s="18"/>
      <c r="B544" s="13"/>
      <c r="C544" s="13"/>
      <c r="D544" s="13"/>
      <c r="E544" s="13"/>
      <c r="F544" s="19"/>
      <c r="G544" s="20"/>
      <c r="H544" s="13"/>
      <c r="I544" s="21"/>
      <c r="J544" s="5"/>
      <c r="K544" s="5"/>
      <c r="L544" s="5"/>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row>
    <row r="545" ht="12.75" customHeight="1">
      <c r="A545" s="18"/>
      <c r="B545" s="13"/>
      <c r="C545" s="13"/>
      <c r="D545" s="13"/>
      <c r="E545" s="13"/>
      <c r="F545" s="19"/>
      <c r="G545" s="20"/>
      <c r="H545" s="13"/>
      <c r="I545" s="21"/>
      <c r="J545" s="5"/>
      <c r="K545" s="5"/>
      <c r="L545" s="5"/>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row>
    <row r="546" ht="12.75" customHeight="1">
      <c r="A546" s="18"/>
      <c r="B546" s="13"/>
      <c r="C546" s="13"/>
      <c r="D546" s="13"/>
      <c r="E546" s="13"/>
      <c r="F546" s="19"/>
      <c r="G546" s="20"/>
      <c r="H546" s="13"/>
      <c r="I546" s="21"/>
      <c r="J546" s="5"/>
      <c r="K546" s="5"/>
      <c r="L546" s="5"/>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row>
    <row r="547" ht="12.75" customHeight="1">
      <c r="A547" s="18"/>
      <c r="B547" s="13"/>
      <c r="C547" s="13"/>
      <c r="D547" s="13"/>
      <c r="E547" s="13"/>
      <c r="F547" s="19"/>
      <c r="G547" s="20"/>
      <c r="H547" s="13"/>
      <c r="I547" s="21"/>
      <c r="J547" s="5"/>
      <c r="K547" s="5"/>
      <c r="L547" s="5"/>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row>
    <row r="548" ht="12.75" customHeight="1">
      <c r="A548" s="18"/>
      <c r="B548" s="13"/>
      <c r="C548" s="13"/>
      <c r="D548" s="13"/>
      <c r="E548" s="13"/>
      <c r="F548" s="19"/>
      <c r="G548" s="20"/>
      <c r="H548" s="13"/>
      <c r="I548" s="21"/>
      <c r="J548" s="5"/>
      <c r="K548" s="5"/>
      <c r="L548" s="5"/>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row>
    <row r="549" ht="12.75" customHeight="1">
      <c r="A549" s="18"/>
      <c r="B549" s="13"/>
      <c r="C549" s="13"/>
      <c r="D549" s="13"/>
      <c r="E549" s="13"/>
      <c r="F549" s="19"/>
      <c r="G549" s="20"/>
      <c r="H549" s="13"/>
      <c r="I549" s="21"/>
      <c r="J549" s="5"/>
      <c r="K549" s="5"/>
      <c r="L549" s="5"/>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row>
    <row r="550" ht="12.75" customHeight="1">
      <c r="A550" s="18"/>
      <c r="B550" s="13"/>
      <c r="C550" s="13"/>
      <c r="D550" s="13"/>
      <c r="E550" s="13"/>
      <c r="F550" s="19"/>
      <c r="G550" s="20"/>
      <c r="H550" s="13"/>
      <c r="I550" s="21"/>
      <c r="J550" s="5"/>
      <c r="K550" s="5"/>
      <c r="L550" s="5"/>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row>
    <row r="551" ht="12.75" customHeight="1">
      <c r="A551" s="18"/>
      <c r="B551" s="13"/>
      <c r="C551" s="13"/>
      <c r="D551" s="13"/>
      <c r="E551" s="13"/>
      <c r="F551" s="19"/>
      <c r="G551" s="20"/>
      <c r="H551" s="13"/>
      <c r="I551" s="21"/>
      <c r="J551" s="5"/>
      <c r="K551" s="5"/>
      <c r="L551" s="5"/>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row>
    <row r="552" ht="12.75" customHeight="1">
      <c r="A552" s="18"/>
      <c r="B552" s="13"/>
      <c r="C552" s="13"/>
      <c r="D552" s="13"/>
      <c r="E552" s="13"/>
      <c r="F552" s="19"/>
      <c r="G552" s="20"/>
      <c r="H552" s="13"/>
      <c r="I552" s="21"/>
      <c r="J552" s="5"/>
      <c r="K552" s="5"/>
      <c r="L552" s="5"/>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row>
    <row r="553" ht="12.75" customHeight="1">
      <c r="A553" s="18"/>
      <c r="B553" s="13"/>
      <c r="C553" s="13"/>
      <c r="D553" s="13"/>
      <c r="E553" s="13"/>
      <c r="F553" s="19"/>
      <c r="G553" s="20"/>
      <c r="H553" s="13"/>
      <c r="I553" s="21"/>
      <c r="J553" s="5"/>
      <c r="K553" s="5"/>
      <c r="L553" s="5"/>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row>
    <row r="554" ht="12.75" customHeight="1">
      <c r="A554" s="18"/>
      <c r="B554" s="13"/>
      <c r="C554" s="13"/>
      <c r="D554" s="13"/>
      <c r="E554" s="13"/>
      <c r="F554" s="19"/>
      <c r="G554" s="20"/>
      <c r="H554" s="13"/>
      <c r="I554" s="21"/>
      <c r="J554" s="5"/>
      <c r="K554" s="5"/>
      <c r="L554" s="5"/>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row>
    <row r="555" ht="12.75" customHeight="1">
      <c r="A555" s="18"/>
      <c r="B555" s="13"/>
      <c r="C555" s="13"/>
      <c r="D555" s="13"/>
      <c r="E555" s="13"/>
      <c r="F555" s="19"/>
      <c r="G555" s="20"/>
      <c r="H555" s="13"/>
      <c r="I555" s="21"/>
      <c r="J555" s="5"/>
      <c r="K555" s="5"/>
      <c r="L555" s="5"/>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row>
    <row r="556" ht="12.75" customHeight="1">
      <c r="A556" s="18"/>
      <c r="B556" s="13"/>
      <c r="C556" s="13"/>
      <c r="D556" s="13"/>
      <c r="E556" s="13"/>
      <c r="F556" s="19"/>
      <c r="G556" s="20"/>
      <c r="H556" s="13"/>
      <c r="I556" s="21"/>
      <c r="J556" s="5"/>
      <c r="K556" s="5"/>
      <c r="L556" s="5"/>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row>
    <row r="557" ht="12.75" customHeight="1">
      <c r="A557" s="18"/>
      <c r="B557" s="13"/>
      <c r="C557" s="13"/>
      <c r="D557" s="13"/>
      <c r="E557" s="13"/>
      <c r="F557" s="19"/>
      <c r="G557" s="20"/>
      <c r="H557" s="13"/>
      <c r="I557" s="21"/>
      <c r="J557" s="5"/>
      <c r="K557" s="5"/>
      <c r="L557" s="5"/>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row>
    <row r="558" ht="12.75" customHeight="1">
      <c r="A558" s="18"/>
      <c r="B558" s="13"/>
      <c r="C558" s="13"/>
      <c r="D558" s="13"/>
      <c r="E558" s="13"/>
      <c r="F558" s="19"/>
      <c r="G558" s="20"/>
      <c r="H558" s="13"/>
      <c r="I558" s="21"/>
      <c r="J558" s="5"/>
      <c r="K558" s="5"/>
      <c r="L558" s="5"/>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row>
    <row r="559" ht="12.75" customHeight="1">
      <c r="A559" s="18"/>
      <c r="B559" s="13"/>
      <c r="C559" s="13"/>
      <c r="D559" s="13"/>
      <c r="E559" s="13"/>
      <c r="F559" s="19"/>
      <c r="G559" s="20"/>
      <c r="H559" s="13"/>
      <c r="I559" s="21"/>
      <c r="J559" s="5"/>
      <c r="K559" s="5"/>
      <c r="L559" s="5"/>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row>
    <row r="560" ht="12.75" customHeight="1">
      <c r="A560" s="18"/>
      <c r="B560" s="13"/>
      <c r="C560" s="13"/>
      <c r="D560" s="13"/>
      <c r="E560" s="13"/>
      <c r="F560" s="19"/>
      <c r="G560" s="20"/>
      <c r="H560" s="13"/>
      <c r="I560" s="21"/>
      <c r="J560" s="5"/>
      <c r="K560" s="5"/>
      <c r="L560" s="5"/>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row>
    <row r="561" ht="12.75" customHeight="1">
      <c r="A561" s="18"/>
      <c r="B561" s="13"/>
      <c r="C561" s="13"/>
      <c r="D561" s="13"/>
      <c r="E561" s="13"/>
      <c r="F561" s="19"/>
      <c r="G561" s="20"/>
      <c r="H561" s="13"/>
      <c r="I561" s="21"/>
      <c r="J561" s="5"/>
      <c r="K561" s="5"/>
      <c r="L561" s="5"/>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row>
    <row r="562" ht="12.75" customHeight="1">
      <c r="A562" s="18"/>
      <c r="B562" s="13"/>
      <c r="C562" s="13"/>
      <c r="D562" s="13"/>
      <c r="E562" s="13"/>
      <c r="F562" s="19"/>
      <c r="G562" s="20"/>
      <c r="H562" s="13"/>
      <c r="I562" s="21"/>
      <c r="J562" s="5"/>
      <c r="K562" s="5"/>
      <c r="L562" s="5"/>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row>
    <row r="563" ht="12.75" customHeight="1">
      <c r="A563" s="18"/>
      <c r="B563" s="13"/>
      <c r="C563" s="13"/>
      <c r="D563" s="13"/>
      <c r="E563" s="13"/>
      <c r="F563" s="19"/>
      <c r="G563" s="20"/>
      <c r="H563" s="13"/>
      <c r="I563" s="21"/>
      <c r="J563" s="5"/>
      <c r="K563" s="5"/>
      <c r="L563" s="5"/>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row>
    <row r="564" ht="12.75" customHeight="1">
      <c r="A564" s="18"/>
      <c r="B564" s="13"/>
      <c r="C564" s="13"/>
      <c r="D564" s="13"/>
      <c r="E564" s="13"/>
      <c r="F564" s="19"/>
      <c r="G564" s="20"/>
      <c r="H564" s="13"/>
      <c r="I564" s="21"/>
      <c r="J564" s="5"/>
      <c r="K564" s="5"/>
      <c r="L564" s="5"/>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row>
    <row r="565" ht="12.75" customHeight="1">
      <c r="A565" s="18"/>
      <c r="B565" s="13"/>
      <c r="C565" s="13"/>
      <c r="D565" s="13"/>
      <c r="E565" s="13"/>
      <c r="F565" s="19"/>
      <c r="G565" s="20"/>
      <c r="H565" s="13"/>
      <c r="I565" s="21"/>
      <c r="J565" s="5"/>
      <c r="K565" s="5"/>
      <c r="L565" s="5"/>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row>
    <row r="566" ht="12.75" customHeight="1">
      <c r="A566" s="18"/>
      <c r="B566" s="13"/>
      <c r="C566" s="13"/>
      <c r="D566" s="13"/>
      <c r="E566" s="13"/>
      <c r="F566" s="19"/>
      <c r="G566" s="20"/>
      <c r="H566" s="13"/>
      <c r="I566" s="21"/>
      <c r="J566" s="5"/>
      <c r="K566" s="5"/>
      <c r="L566" s="5"/>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row>
    <row r="567" ht="12.75" customHeight="1">
      <c r="A567" s="18"/>
      <c r="B567" s="13"/>
      <c r="C567" s="13"/>
      <c r="D567" s="13"/>
      <c r="E567" s="13"/>
      <c r="F567" s="19"/>
      <c r="G567" s="20"/>
      <c r="H567" s="13"/>
      <c r="I567" s="21"/>
      <c r="J567" s="5"/>
      <c r="K567" s="5"/>
      <c r="L567" s="5"/>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row>
    <row r="568" ht="12.75" customHeight="1">
      <c r="A568" s="18"/>
      <c r="B568" s="13"/>
      <c r="C568" s="13"/>
      <c r="D568" s="13"/>
      <c r="E568" s="13"/>
      <c r="F568" s="19"/>
      <c r="G568" s="20"/>
      <c r="H568" s="13"/>
      <c r="I568" s="21"/>
      <c r="J568" s="5"/>
      <c r="K568" s="5"/>
      <c r="L568" s="5"/>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row>
    <row r="569" ht="12.75" customHeight="1">
      <c r="A569" s="18"/>
      <c r="B569" s="13"/>
      <c r="C569" s="13"/>
      <c r="D569" s="13"/>
      <c r="E569" s="13"/>
      <c r="F569" s="19"/>
      <c r="G569" s="20"/>
      <c r="H569" s="13"/>
      <c r="I569" s="21"/>
      <c r="J569" s="5"/>
      <c r="K569" s="5"/>
      <c r="L569" s="5"/>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row>
    <row r="570" ht="12.75" customHeight="1">
      <c r="A570" s="18"/>
      <c r="B570" s="13"/>
      <c r="C570" s="13"/>
      <c r="D570" s="13"/>
      <c r="E570" s="13"/>
      <c r="F570" s="19"/>
      <c r="G570" s="20"/>
      <c r="H570" s="13"/>
      <c r="I570" s="21"/>
      <c r="J570" s="5"/>
      <c r="K570" s="5"/>
      <c r="L570" s="5"/>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row>
    <row r="571" ht="12.75" customHeight="1">
      <c r="A571" s="18"/>
      <c r="B571" s="13"/>
      <c r="C571" s="13"/>
      <c r="D571" s="13"/>
      <c r="E571" s="13"/>
      <c r="F571" s="19"/>
      <c r="G571" s="20"/>
      <c r="H571" s="13"/>
      <c r="I571" s="21"/>
      <c r="J571" s="5"/>
      <c r="K571" s="5"/>
      <c r="L571" s="5"/>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row>
    <row r="572" ht="12.75" customHeight="1">
      <c r="A572" s="18"/>
      <c r="B572" s="13"/>
      <c r="C572" s="13"/>
      <c r="D572" s="13"/>
      <c r="E572" s="13"/>
      <c r="F572" s="19"/>
      <c r="G572" s="20"/>
      <c r="H572" s="13"/>
      <c r="I572" s="21"/>
      <c r="J572" s="5"/>
      <c r="K572" s="5"/>
      <c r="L572" s="5"/>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row>
    <row r="573" ht="12.75" customHeight="1">
      <c r="A573" s="18"/>
      <c r="B573" s="13"/>
      <c r="C573" s="13"/>
      <c r="D573" s="13"/>
      <c r="E573" s="13"/>
      <c r="F573" s="19"/>
      <c r="G573" s="20"/>
      <c r="H573" s="13"/>
      <c r="I573" s="21"/>
      <c r="J573" s="5"/>
      <c r="K573" s="5"/>
      <c r="L573" s="5"/>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row>
    <row r="574" ht="12.75" customHeight="1">
      <c r="A574" s="18"/>
      <c r="B574" s="13"/>
      <c r="C574" s="13"/>
      <c r="D574" s="13"/>
      <c r="E574" s="13"/>
      <c r="F574" s="19"/>
      <c r="G574" s="20"/>
      <c r="H574" s="13"/>
      <c r="I574" s="21"/>
      <c r="J574" s="5"/>
      <c r="K574" s="5"/>
      <c r="L574" s="5"/>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row>
    <row r="575" ht="12.75" customHeight="1">
      <c r="A575" s="18"/>
      <c r="B575" s="13"/>
      <c r="C575" s="13"/>
      <c r="D575" s="13"/>
      <c r="E575" s="13"/>
      <c r="F575" s="19"/>
      <c r="G575" s="20"/>
      <c r="H575" s="13"/>
      <c r="I575" s="21"/>
      <c r="J575" s="5"/>
      <c r="K575" s="5"/>
      <c r="L575" s="5"/>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row>
    <row r="576" ht="12.75" customHeight="1">
      <c r="A576" s="18"/>
      <c r="B576" s="13"/>
      <c r="C576" s="13"/>
      <c r="D576" s="13"/>
      <c r="E576" s="13"/>
      <c r="F576" s="19"/>
      <c r="G576" s="20"/>
      <c r="H576" s="13"/>
      <c r="I576" s="21"/>
      <c r="J576" s="5"/>
      <c r="K576" s="5"/>
      <c r="L576" s="5"/>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row>
    <row r="577" ht="12.75" customHeight="1">
      <c r="A577" s="18"/>
      <c r="B577" s="13"/>
      <c r="C577" s="13"/>
      <c r="D577" s="13"/>
      <c r="E577" s="13"/>
      <c r="F577" s="19"/>
      <c r="G577" s="20"/>
      <c r="H577" s="13"/>
      <c r="I577" s="21"/>
      <c r="J577" s="5"/>
      <c r="K577" s="5"/>
      <c r="L577" s="5"/>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row>
    <row r="578" ht="12.75" customHeight="1">
      <c r="A578" s="18"/>
      <c r="B578" s="13"/>
      <c r="C578" s="13"/>
      <c r="D578" s="13"/>
      <c r="E578" s="13"/>
      <c r="F578" s="19"/>
      <c r="G578" s="20"/>
      <c r="H578" s="13"/>
      <c r="I578" s="21"/>
      <c r="J578" s="5"/>
      <c r="K578" s="5"/>
      <c r="L578" s="5"/>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row>
    <row r="579" ht="12.75" customHeight="1">
      <c r="A579" s="18"/>
      <c r="B579" s="13"/>
      <c r="C579" s="13"/>
      <c r="D579" s="13"/>
      <c r="E579" s="13"/>
      <c r="F579" s="19"/>
      <c r="G579" s="20"/>
      <c r="H579" s="13"/>
      <c r="I579" s="21"/>
      <c r="J579" s="5"/>
      <c r="K579" s="5"/>
      <c r="L579" s="5"/>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row>
    <row r="580" ht="12.75" customHeight="1">
      <c r="A580" s="18"/>
      <c r="B580" s="13"/>
      <c r="C580" s="13"/>
      <c r="D580" s="13"/>
      <c r="E580" s="13"/>
      <c r="F580" s="19"/>
      <c r="G580" s="20"/>
      <c r="H580" s="13"/>
      <c r="I580" s="21"/>
      <c r="J580" s="5"/>
      <c r="K580" s="5"/>
      <c r="L580" s="5"/>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row>
    <row r="581" ht="12.75" customHeight="1">
      <c r="A581" s="18"/>
      <c r="B581" s="13"/>
      <c r="C581" s="13"/>
      <c r="D581" s="13"/>
      <c r="E581" s="13"/>
      <c r="F581" s="19"/>
      <c r="G581" s="20"/>
      <c r="H581" s="13"/>
      <c r="I581" s="21"/>
      <c r="J581" s="5"/>
      <c r="K581" s="5"/>
      <c r="L581" s="5"/>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row>
    <row r="582" ht="12.75" customHeight="1">
      <c r="A582" s="18"/>
      <c r="B582" s="13"/>
      <c r="C582" s="13"/>
      <c r="D582" s="13"/>
      <c r="E582" s="13"/>
      <c r="F582" s="19"/>
      <c r="G582" s="20"/>
      <c r="H582" s="13"/>
      <c r="I582" s="21"/>
      <c r="J582" s="5"/>
      <c r="K582" s="5"/>
      <c r="L582" s="5"/>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row>
    <row r="583" ht="12.75" customHeight="1">
      <c r="A583" s="18"/>
      <c r="B583" s="13"/>
      <c r="C583" s="13"/>
      <c r="D583" s="13"/>
      <c r="E583" s="13"/>
      <c r="F583" s="19"/>
      <c r="G583" s="20"/>
      <c r="H583" s="13"/>
      <c r="I583" s="21"/>
      <c r="J583" s="5"/>
      <c r="K583" s="5"/>
      <c r="L583" s="5"/>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row>
    <row r="584" ht="12.75" customHeight="1">
      <c r="A584" s="18"/>
      <c r="B584" s="13"/>
      <c r="C584" s="13"/>
      <c r="D584" s="13"/>
      <c r="E584" s="13"/>
      <c r="F584" s="19"/>
      <c r="G584" s="20"/>
      <c r="H584" s="13"/>
      <c r="I584" s="21"/>
      <c r="J584" s="5"/>
      <c r="K584" s="5"/>
      <c r="L584" s="5"/>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row>
    <row r="585" ht="12.75" customHeight="1">
      <c r="A585" s="18"/>
      <c r="B585" s="13"/>
      <c r="C585" s="13"/>
      <c r="D585" s="13"/>
      <c r="E585" s="13"/>
      <c r="F585" s="19"/>
      <c r="G585" s="20"/>
      <c r="H585" s="13"/>
      <c r="I585" s="21"/>
      <c r="J585" s="5"/>
      <c r="K585" s="5"/>
      <c r="L585" s="5"/>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row>
    <row r="586" ht="12.75" customHeight="1">
      <c r="A586" s="18"/>
      <c r="B586" s="13"/>
      <c r="C586" s="13"/>
      <c r="D586" s="13"/>
      <c r="E586" s="13"/>
      <c r="F586" s="19"/>
      <c r="G586" s="20"/>
      <c r="H586" s="13"/>
      <c r="I586" s="21"/>
      <c r="J586" s="5"/>
      <c r="K586" s="5"/>
      <c r="L586" s="5"/>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row>
    <row r="587" ht="12.75" customHeight="1">
      <c r="A587" s="18"/>
      <c r="B587" s="13"/>
      <c r="C587" s="13"/>
      <c r="D587" s="13"/>
      <c r="E587" s="13"/>
      <c r="F587" s="19"/>
      <c r="G587" s="20"/>
      <c r="H587" s="13"/>
      <c r="I587" s="21"/>
      <c r="J587" s="5"/>
      <c r="K587" s="5"/>
      <c r="L587" s="5"/>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row>
    <row r="588" ht="12.75" customHeight="1">
      <c r="A588" s="18"/>
      <c r="B588" s="13"/>
      <c r="C588" s="13"/>
      <c r="D588" s="13"/>
      <c r="E588" s="13"/>
      <c r="F588" s="19"/>
      <c r="G588" s="20"/>
      <c r="H588" s="13"/>
      <c r="I588" s="21"/>
      <c r="J588" s="5"/>
      <c r="K588" s="5"/>
      <c r="L588" s="5"/>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row>
    <row r="589" ht="12.75" customHeight="1">
      <c r="A589" s="18"/>
      <c r="B589" s="13"/>
      <c r="C589" s="13"/>
      <c r="D589" s="13"/>
      <c r="E589" s="13"/>
      <c r="F589" s="19"/>
      <c r="G589" s="20"/>
      <c r="H589" s="13"/>
      <c r="I589" s="21"/>
      <c r="J589" s="5"/>
      <c r="K589" s="5"/>
      <c r="L589" s="5"/>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row>
    <row r="590" ht="12.75" customHeight="1">
      <c r="A590" s="18"/>
      <c r="B590" s="13"/>
      <c r="C590" s="13"/>
      <c r="D590" s="13"/>
      <c r="E590" s="13"/>
      <c r="F590" s="19"/>
      <c r="G590" s="20"/>
      <c r="H590" s="13"/>
      <c r="I590" s="21"/>
      <c r="J590" s="5"/>
      <c r="K590" s="5"/>
      <c r="L590" s="5"/>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row>
    <row r="591" ht="12.75" customHeight="1">
      <c r="A591" s="18"/>
      <c r="B591" s="13"/>
      <c r="C591" s="13"/>
      <c r="D591" s="13"/>
      <c r="E591" s="13"/>
      <c r="F591" s="19"/>
      <c r="G591" s="20"/>
      <c r="H591" s="13"/>
      <c r="I591" s="21"/>
      <c r="J591" s="5"/>
      <c r="K591" s="5"/>
      <c r="L591" s="5"/>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row>
    <row r="592" ht="12.75" customHeight="1">
      <c r="A592" s="18"/>
      <c r="B592" s="13"/>
      <c r="C592" s="13"/>
      <c r="D592" s="13"/>
      <c r="E592" s="13"/>
      <c r="F592" s="19"/>
      <c r="G592" s="20"/>
      <c r="H592" s="13"/>
      <c r="I592" s="21"/>
      <c r="J592" s="5"/>
      <c r="K592" s="5"/>
      <c r="L592" s="5"/>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row>
    <row r="593" ht="12.75" customHeight="1">
      <c r="A593" s="18"/>
      <c r="B593" s="13"/>
      <c r="C593" s="13"/>
      <c r="D593" s="13"/>
      <c r="E593" s="13"/>
      <c r="F593" s="19"/>
      <c r="G593" s="20"/>
      <c r="H593" s="13"/>
      <c r="I593" s="21"/>
      <c r="J593" s="5"/>
      <c r="K593" s="5"/>
      <c r="L593" s="5"/>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row>
    <row r="594" ht="12.75" customHeight="1">
      <c r="A594" s="18"/>
      <c r="B594" s="13"/>
      <c r="C594" s="13"/>
      <c r="D594" s="13"/>
      <c r="E594" s="13"/>
      <c r="F594" s="19"/>
      <c r="G594" s="20"/>
      <c r="H594" s="13"/>
      <c r="I594" s="21"/>
      <c r="J594" s="5"/>
      <c r="K594" s="5"/>
      <c r="L594" s="5"/>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row>
    <row r="595" ht="12.75" customHeight="1">
      <c r="A595" s="18"/>
      <c r="B595" s="13"/>
      <c r="C595" s="13"/>
      <c r="D595" s="13"/>
      <c r="E595" s="13"/>
      <c r="F595" s="19"/>
      <c r="G595" s="20"/>
      <c r="H595" s="13"/>
      <c r="I595" s="21"/>
      <c r="J595" s="5"/>
      <c r="K595" s="5"/>
      <c r="L595" s="5"/>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row>
    <row r="596" ht="12.75" customHeight="1">
      <c r="A596" s="18"/>
      <c r="B596" s="13"/>
      <c r="C596" s="13"/>
      <c r="D596" s="13"/>
      <c r="E596" s="13"/>
      <c r="F596" s="19"/>
      <c r="G596" s="20"/>
      <c r="H596" s="13"/>
      <c r="I596" s="21"/>
      <c r="J596" s="5"/>
      <c r="K596" s="5"/>
      <c r="L596" s="5"/>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row>
    <row r="597" ht="12.75" customHeight="1">
      <c r="A597" s="18"/>
      <c r="B597" s="13"/>
      <c r="C597" s="13"/>
      <c r="D597" s="13"/>
      <c r="E597" s="13"/>
      <c r="F597" s="19"/>
      <c r="G597" s="20"/>
      <c r="H597" s="13"/>
      <c r="I597" s="21"/>
      <c r="J597" s="5"/>
      <c r="K597" s="5"/>
      <c r="L597" s="5"/>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row>
    <row r="598" ht="12.75" customHeight="1">
      <c r="A598" s="18"/>
      <c r="B598" s="13"/>
      <c r="C598" s="13"/>
      <c r="D598" s="13"/>
      <c r="E598" s="13"/>
      <c r="F598" s="19"/>
      <c r="G598" s="20"/>
      <c r="H598" s="13"/>
      <c r="I598" s="21"/>
      <c r="J598" s="5"/>
      <c r="K598" s="5"/>
      <c r="L598" s="5"/>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row>
    <row r="599" ht="12.75" customHeight="1">
      <c r="A599" s="18"/>
      <c r="B599" s="13"/>
      <c r="C599" s="13"/>
      <c r="D599" s="13"/>
      <c r="E599" s="13"/>
      <c r="F599" s="19"/>
      <c r="G599" s="20"/>
      <c r="H599" s="13"/>
      <c r="I599" s="21"/>
      <c r="J599" s="5"/>
      <c r="K599" s="5"/>
      <c r="L599" s="5"/>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row>
    <row r="600" ht="12.75" customHeight="1">
      <c r="A600" s="18"/>
      <c r="B600" s="13"/>
      <c r="C600" s="13"/>
      <c r="D600" s="13"/>
      <c r="E600" s="13"/>
      <c r="F600" s="19"/>
      <c r="G600" s="20"/>
      <c r="H600" s="13"/>
      <c r="I600" s="21"/>
      <c r="J600" s="5"/>
      <c r="K600" s="5"/>
      <c r="L600" s="5"/>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row>
    <row r="601" ht="12.75" customHeight="1">
      <c r="A601" s="18"/>
      <c r="B601" s="13"/>
      <c r="C601" s="13"/>
      <c r="D601" s="13"/>
      <c r="E601" s="13"/>
      <c r="F601" s="19"/>
      <c r="G601" s="20"/>
      <c r="H601" s="13"/>
      <c r="I601" s="21"/>
      <c r="J601" s="5"/>
      <c r="K601" s="5"/>
      <c r="L601" s="5"/>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row>
    <row r="602" ht="12.75" customHeight="1">
      <c r="A602" s="18"/>
      <c r="B602" s="13"/>
      <c r="C602" s="13"/>
      <c r="D602" s="13"/>
      <c r="E602" s="13"/>
      <c r="F602" s="19"/>
      <c r="G602" s="20"/>
      <c r="H602" s="13"/>
      <c r="I602" s="21"/>
      <c r="J602" s="5"/>
      <c r="K602" s="5"/>
      <c r="L602" s="5"/>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row>
    <row r="603" ht="12.75" customHeight="1">
      <c r="A603" s="18"/>
      <c r="B603" s="13"/>
      <c r="C603" s="13"/>
      <c r="D603" s="13"/>
      <c r="E603" s="13"/>
      <c r="F603" s="19"/>
      <c r="G603" s="20"/>
      <c r="H603" s="13"/>
      <c r="I603" s="21"/>
      <c r="J603" s="5"/>
      <c r="K603" s="5"/>
      <c r="L603" s="5"/>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row>
    <row r="604" ht="12.75" customHeight="1">
      <c r="A604" s="18"/>
      <c r="B604" s="13"/>
      <c r="C604" s="13"/>
      <c r="D604" s="13"/>
      <c r="E604" s="13"/>
      <c r="F604" s="19"/>
      <c r="G604" s="20"/>
      <c r="H604" s="13"/>
      <c r="I604" s="21"/>
      <c r="J604" s="5"/>
      <c r="K604" s="5"/>
      <c r="L604" s="5"/>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row>
    <row r="605" ht="12.75" customHeight="1">
      <c r="A605" s="18"/>
      <c r="B605" s="13"/>
      <c r="C605" s="13"/>
      <c r="D605" s="13"/>
      <c r="E605" s="13"/>
      <c r="F605" s="19"/>
      <c r="G605" s="20"/>
      <c r="H605" s="13"/>
      <c r="I605" s="21"/>
      <c r="J605" s="5"/>
      <c r="K605" s="5"/>
      <c r="L605" s="5"/>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row>
    <row r="606" ht="12.75" customHeight="1">
      <c r="A606" s="18"/>
      <c r="B606" s="13"/>
      <c r="C606" s="13"/>
      <c r="D606" s="13"/>
      <c r="E606" s="13"/>
      <c r="F606" s="19"/>
      <c r="G606" s="20"/>
      <c r="H606" s="13"/>
      <c r="I606" s="21"/>
      <c r="J606" s="5"/>
      <c r="K606" s="5"/>
      <c r="L606" s="5"/>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row>
    <row r="607" ht="12.75" customHeight="1">
      <c r="A607" s="18"/>
      <c r="B607" s="13"/>
      <c r="C607" s="13"/>
      <c r="D607" s="13"/>
      <c r="E607" s="13"/>
      <c r="F607" s="19"/>
      <c r="G607" s="20"/>
      <c r="H607" s="13"/>
      <c r="I607" s="21"/>
      <c r="J607" s="5"/>
      <c r="K607" s="5"/>
      <c r="L607" s="5"/>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row>
    <row r="608" ht="12.75" customHeight="1">
      <c r="A608" s="18"/>
      <c r="B608" s="13"/>
      <c r="C608" s="13"/>
      <c r="D608" s="13"/>
      <c r="E608" s="13"/>
      <c r="F608" s="19"/>
      <c r="G608" s="20"/>
      <c r="H608" s="13"/>
      <c r="I608" s="21"/>
      <c r="J608" s="5"/>
      <c r="K608" s="5"/>
      <c r="L608" s="5"/>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row>
    <row r="609" ht="12.75" customHeight="1">
      <c r="A609" s="18"/>
      <c r="B609" s="13"/>
      <c r="C609" s="13"/>
      <c r="D609" s="13"/>
      <c r="E609" s="13"/>
      <c r="F609" s="19"/>
      <c r="G609" s="20"/>
      <c r="H609" s="13"/>
      <c r="I609" s="21"/>
      <c r="J609" s="5"/>
      <c r="K609" s="5"/>
      <c r="L609" s="5"/>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row>
    <row r="610" ht="12.75" customHeight="1">
      <c r="A610" s="18"/>
      <c r="B610" s="13"/>
      <c r="C610" s="13"/>
      <c r="D610" s="13"/>
      <c r="E610" s="13"/>
      <c r="F610" s="19"/>
      <c r="G610" s="20"/>
      <c r="H610" s="13"/>
      <c r="I610" s="21"/>
      <c r="J610" s="5"/>
      <c r="K610" s="5"/>
      <c r="L610" s="5"/>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row>
    <row r="611" ht="12.75" customHeight="1">
      <c r="A611" s="18"/>
      <c r="B611" s="13"/>
      <c r="C611" s="13"/>
      <c r="D611" s="13"/>
      <c r="E611" s="13"/>
      <c r="F611" s="19"/>
      <c r="G611" s="20"/>
      <c r="H611" s="13"/>
      <c r="I611" s="21"/>
      <c r="J611" s="5"/>
      <c r="K611" s="5"/>
      <c r="L611" s="5"/>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row>
    <row r="612" ht="12.75" customHeight="1">
      <c r="A612" s="18"/>
      <c r="B612" s="13"/>
      <c r="C612" s="13"/>
      <c r="D612" s="13"/>
      <c r="E612" s="13"/>
      <c r="F612" s="19"/>
      <c r="G612" s="20"/>
      <c r="H612" s="13"/>
      <c r="I612" s="21"/>
      <c r="J612" s="5"/>
      <c r="K612" s="5"/>
      <c r="L612" s="5"/>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row>
    <row r="613" ht="12.75" customHeight="1">
      <c r="A613" s="18"/>
      <c r="B613" s="13"/>
      <c r="C613" s="13"/>
      <c r="D613" s="13"/>
      <c r="E613" s="13"/>
      <c r="F613" s="19"/>
      <c r="G613" s="20"/>
      <c r="H613" s="13"/>
      <c r="I613" s="21"/>
      <c r="J613" s="5"/>
      <c r="K613" s="5"/>
      <c r="L613" s="5"/>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row>
    <row r="614" ht="12.75" customHeight="1">
      <c r="A614" s="18"/>
      <c r="B614" s="13"/>
      <c r="C614" s="13"/>
      <c r="D614" s="13"/>
      <c r="E614" s="13"/>
      <c r="F614" s="19"/>
      <c r="G614" s="20"/>
      <c r="H614" s="13"/>
      <c r="I614" s="21"/>
      <c r="J614" s="5"/>
      <c r="K614" s="5"/>
      <c r="L614" s="5"/>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row>
    <row r="615" ht="12.75" customHeight="1">
      <c r="A615" s="18"/>
      <c r="B615" s="13"/>
      <c r="C615" s="13"/>
      <c r="D615" s="13"/>
      <c r="E615" s="13"/>
      <c r="F615" s="19"/>
      <c r="G615" s="20"/>
      <c r="H615" s="13"/>
      <c r="I615" s="21"/>
      <c r="J615" s="5"/>
      <c r="K615" s="5"/>
      <c r="L615" s="5"/>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row>
    <row r="616" ht="12.75" customHeight="1">
      <c r="A616" s="18"/>
      <c r="B616" s="13"/>
      <c r="C616" s="13"/>
      <c r="D616" s="13"/>
      <c r="E616" s="13"/>
      <c r="F616" s="19"/>
      <c r="G616" s="20"/>
      <c r="H616" s="13"/>
      <c r="I616" s="21"/>
      <c r="J616" s="5"/>
      <c r="K616" s="5"/>
      <c r="L616" s="5"/>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row>
    <row r="617" ht="12.75" customHeight="1">
      <c r="A617" s="18"/>
      <c r="B617" s="13"/>
      <c r="C617" s="13"/>
      <c r="D617" s="13"/>
      <c r="E617" s="13"/>
      <c r="F617" s="19"/>
      <c r="G617" s="20"/>
      <c r="H617" s="13"/>
      <c r="I617" s="21"/>
      <c r="J617" s="5"/>
      <c r="K617" s="5"/>
      <c r="L617" s="5"/>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row>
    <row r="618" ht="12.75" customHeight="1">
      <c r="A618" s="18"/>
      <c r="B618" s="13"/>
      <c r="C618" s="13"/>
      <c r="D618" s="13"/>
      <c r="E618" s="13"/>
      <c r="F618" s="19"/>
      <c r="G618" s="20"/>
      <c r="H618" s="13"/>
      <c r="I618" s="21"/>
      <c r="J618" s="5"/>
      <c r="K618" s="5"/>
      <c r="L618" s="5"/>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row>
    <row r="619" ht="12.75" customHeight="1">
      <c r="A619" s="18"/>
      <c r="B619" s="13"/>
      <c r="C619" s="13"/>
      <c r="D619" s="13"/>
      <c r="E619" s="13"/>
      <c r="F619" s="19"/>
      <c r="G619" s="20"/>
      <c r="H619" s="13"/>
      <c r="I619" s="21"/>
      <c r="J619" s="5"/>
      <c r="K619" s="5"/>
      <c r="L619" s="5"/>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row>
    <row r="620" ht="12.75" customHeight="1">
      <c r="A620" s="18"/>
      <c r="B620" s="13"/>
      <c r="C620" s="13"/>
      <c r="D620" s="13"/>
      <c r="E620" s="13"/>
      <c r="F620" s="19"/>
      <c r="G620" s="20"/>
      <c r="H620" s="13"/>
      <c r="I620" s="21"/>
      <c r="J620" s="5"/>
      <c r="K620" s="5"/>
      <c r="L620" s="5"/>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row>
    <row r="621" ht="12.75" customHeight="1">
      <c r="A621" s="18"/>
      <c r="B621" s="13"/>
      <c r="C621" s="13"/>
      <c r="D621" s="13"/>
      <c r="E621" s="13"/>
      <c r="F621" s="19"/>
      <c r="G621" s="20"/>
      <c r="H621" s="13"/>
      <c r="I621" s="21"/>
      <c r="J621" s="5"/>
      <c r="K621" s="5"/>
      <c r="L621" s="5"/>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row>
    <row r="622" ht="12.75" customHeight="1">
      <c r="A622" s="18"/>
      <c r="B622" s="13"/>
      <c r="C622" s="13"/>
      <c r="D622" s="13"/>
      <c r="E622" s="13"/>
      <c r="F622" s="19"/>
      <c r="G622" s="20"/>
      <c r="H622" s="13"/>
      <c r="I622" s="21"/>
      <c r="J622" s="5"/>
      <c r="K622" s="5"/>
      <c r="L622" s="5"/>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row>
    <row r="623" ht="12.75" customHeight="1">
      <c r="A623" s="18"/>
      <c r="B623" s="13"/>
      <c r="C623" s="13"/>
      <c r="D623" s="13"/>
      <c r="E623" s="13"/>
      <c r="F623" s="19"/>
      <c r="G623" s="20"/>
      <c r="H623" s="13"/>
      <c r="I623" s="21"/>
      <c r="J623" s="5"/>
      <c r="K623" s="5"/>
      <c r="L623" s="5"/>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row>
    <row r="624" ht="12.75" customHeight="1">
      <c r="A624" s="18"/>
      <c r="B624" s="13"/>
      <c r="C624" s="13"/>
      <c r="D624" s="13"/>
      <c r="E624" s="13"/>
      <c r="F624" s="19"/>
      <c r="G624" s="20"/>
      <c r="H624" s="13"/>
      <c r="I624" s="21"/>
      <c r="J624" s="5"/>
      <c r="K624" s="5"/>
      <c r="L624" s="5"/>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row>
    <row r="625" ht="12.75" customHeight="1">
      <c r="A625" s="18"/>
      <c r="B625" s="13"/>
      <c r="C625" s="13"/>
      <c r="D625" s="13"/>
      <c r="E625" s="13"/>
      <c r="F625" s="19"/>
      <c r="G625" s="20"/>
      <c r="H625" s="13"/>
      <c r="I625" s="21"/>
      <c r="J625" s="5"/>
      <c r="K625" s="5"/>
      <c r="L625" s="5"/>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row>
    <row r="626" ht="12.75" customHeight="1">
      <c r="A626" s="18"/>
      <c r="B626" s="13"/>
      <c r="C626" s="13"/>
      <c r="D626" s="13"/>
      <c r="E626" s="13"/>
      <c r="F626" s="19"/>
      <c r="G626" s="20"/>
      <c r="H626" s="13"/>
      <c r="I626" s="21"/>
      <c r="J626" s="5"/>
      <c r="K626" s="5"/>
      <c r="L626" s="5"/>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row>
    <row r="627" ht="12.75" customHeight="1">
      <c r="A627" s="18"/>
      <c r="B627" s="13"/>
      <c r="C627" s="13"/>
      <c r="D627" s="13"/>
      <c r="E627" s="13"/>
      <c r="F627" s="19"/>
      <c r="G627" s="20"/>
      <c r="H627" s="13"/>
      <c r="I627" s="21"/>
      <c r="J627" s="5"/>
      <c r="K627" s="5"/>
      <c r="L627" s="5"/>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row>
    <row r="628" ht="12.75" customHeight="1">
      <c r="A628" s="18"/>
      <c r="B628" s="13"/>
      <c r="C628" s="13"/>
      <c r="D628" s="13"/>
      <c r="E628" s="13"/>
      <c r="F628" s="19"/>
      <c r="G628" s="20"/>
      <c r="H628" s="13"/>
      <c r="I628" s="21"/>
      <c r="J628" s="5"/>
      <c r="K628" s="5"/>
      <c r="L628" s="5"/>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row>
    <row r="629" ht="12.75" customHeight="1">
      <c r="A629" s="18"/>
      <c r="B629" s="13"/>
      <c r="C629" s="13"/>
      <c r="D629" s="13"/>
      <c r="E629" s="13"/>
      <c r="F629" s="19"/>
      <c r="G629" s="20"/>
      <c r="H629" s="13"/>
      <c r="I629" s="21"/>
      <c r="J629" s="5"/>
      <c r="K629" s="5"/>
      <c r="L629" s="5"/>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row>
    <row r="630" ht="12.75" customHeight="1">
      <c r="A630" s="18"/>
      <c r="B630" s="13"/>
      <c r="C630" s="13"/>
      <c r="D630" s="13"/>
      <c r="E630" s="13"/>
      <c r="F630" s="19"/>
      <c r="G630" s="20"/>
      <c r="H630" s="13"/>
      <c r="I630" s="21"/>
      <c r="J630" s="5"/>
      <c r="K630" s="5"/>
      <c r="L630" s="5"/>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row>
    <row r="631" ht="12.75" customHeight="1">
      <c r="A631" s="18"/>
      <c r="B631" s="13"/>
      <c r="C631" s="13"/>
      <c r="D631" s="13"/>
      <c r="E631" s="13"/>
      <c r="F631" s="19"/>
      <c r="G631" s="20"/>
      <c r="H631" s="13"/>
      <c r="I631" s="21"/>
      <c r="J631" s="5"/>
      <c r="K631" s="5"/>
      <c r="L631" s="5"/>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row>
    <row r="632" ht="12.75" customHeight="1">
      <c r="A632" s="18"/>
      <c r="B632" s="13"/>
      <c r="C632" s="13"/>
      <c r="D632" s="13"/>
      <c r="E632" s="13"/>
      <c r="F632" s="19"/>
      <c r="G632" s="20"/>
      <c r="H632" s="13"/>
      <c r="I632" s="21"/>
      <c r="J632" s="5"/>
      <c r="K632" s="5"/>
      <c r="L632" s="5"/>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row>
    <row r="633" ht="12.75" customHeight="1">
      <c r="A633" s="18"/>
      <c r="B633" s="13"/>
      <c r="C633" s="13"/>
      <c r="D633" s="13"/>
      <c r="E633" s="13"/>
      <c r="F633" s="19"/>
      <c r="G633" s="20"/>
      <c r="H633" s="13"/>
      <c r="I633" s="21"/>
      <c r="J633" s="5"/>
      <c r="K633" s="5"/>
      <c r="L633" s="5"/>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row>
    <row r="634" ht="12.75" customHeight="1">
      <c r="A634" s="18"/>
      <c r="B634" s="13"/>
      <c r="C634" s="13"/>
      <c r="D634" s="13"/>
      <c r="E634" s="13"/>
      <c r="F634" s="19"/>
      <c r="G634" s="20"/>
      <c r="H634" s="13"/>
      <c r="I634" s="21"/>
      <c r="J634" s="5"/>
      <c r="K634" s="5"/>
      <c r="L634" s="5"/>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row>
    <row r="635" ht="12.75" customHeight="1">
      <c r="A635" s="18"/>
      <c r="B635" s="13"/>
      <c r="C635" s="13"/>
      <c r="D635" s="13"/>
      <c r="E635" s="13"/>
      <c r="F635" s="19"/>
      <c r="G635" s="20"/>
      <c r="H635" s="13"/>
      <c r="I635" s="21"/>
      <c r="J635" s="5"/>
      <c r="K635" s="5"/>
      <c r="L635" s="5"/>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row>
    <row r="636" ht="12.75" customHeight="1">
      <c r="A636" s="18"/>
      <c r="B636" s="13"/>
      <c r="C636" s="13"/>
      <c r="D636" s="13"/>
      <c r="E636" s="13"/>
      <c r="F636" s="19"/>
      <c r="G636" s="20"/>
      <c r="H636" s="13"/>
      <c r="I636" s="21"/>
      <c r="J636" s="5"/>
      <c r="K636" s="5"/>
      <c r="L636" s="5"/>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row>
    <row r="637" ht="12.75" customHeight="1">
      <c r="A637" s="18"/>
      <c r="B637" s="13"/>
      <c r="C637" s="13"/>
      <c r="D637" s="13"/>
      <c r="E637" s="13"/>
      <c r="F637" s="19"/>
      <c r="G637" s="20"/>
      <c r="H637" s="13"/>
      <c r="I637" s="21"/>
      <c r="J637" s="5"/>
      <c r="K637" s="5"/>
      <c r="L637" s="5"/>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row>
    <row r="638" ht="12.75" customHeight="1">
      <c r="A638" s="18"/>
      <c r="B638" s="13"/>
      <c r="C638" s="13"/>
      <c r="D638" s="13"/>
      <c r="E638" s="13"/>
      <c r="F638" s="19"/>
      <c r="G638" s="20"/>
      <c r="H638" s="13"/>
      <c r="I638" s="21"/>
      <c r="J638" s="5"/>
      <c r="K638" s="5"/>
      <c r="L638" s="5"/>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row>
    <row r="639" ht="12.75" customHeight="1">
      <c r="A639" s="18"/>
      <c r="B639" s="13"/>
      <c r="C639" s="13"/>
      <c r="D639" s="13"/>
      <c r="E639" s="13"/>
      <c r="F639" s="19"/>
      <c r="G639" s="20"/>
      <c r="H639" s="13"/>
      <c r="I639" s="21"/>
      <c r="J639" s="5"/>
      <c r="K639" s="5"/>
      <c r="L639" s="5"/>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row>
    <row r="640" ht="12.75" customHeight="1">
      <c r="A640" s="18"/>
      <c r="B640" s="13"/>
      <c r="C640" s="13"/>
      <c r="D640" s="13"/>
      <c r="E640" s="13"/>
      <c r="F640" s="19"/>
      <c r="G640" s="20"/>
      <c r="H640" s="13"/>
      <c r="I640" s="21"/>
      <c r="J640" s="5"/>
      <c r="K640" s="5"/>
      <c r="L640" s="5"/>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row>
    <row r="641" ht="12.75" customHeight="1">
      <c r="A641" s="18"/>
      <c r="B641" s="13"/>
      <c r="C641" s="13"/>
      <c r="D641" s="13"/>
      <c r="E641" s="13"/>
      <c r="F641" s="19"/>
      <c r="G641" s="20"/>
      <c r="H641" s="13"/>
      <c r="I641" s="21"/>
      <c r="J641" s="5"/>
      <c r="K641" s="5"/>
      <c r="L641" s="5"/>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row>
    <row r="642" ht="12.75" customHeight="1">
      <c r="A642" s="18"/>
      <c r="B642" s="13"/>
      <c r="C642" s="13"/>
      <c r="D642" s="13"/>
      <c r="E642" s="13"/>
      <c r="F642" s="19"/>
      <c r="G642" s="20"/>
      <c r="H642" s="13"/>
      <c r="I642" s="21"/>
      <c r="J642" s="5"/>
      <c r="K642" s="5"/>
      <c r="L642" s="5"/>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row>
    <row r="643" ht="12.75" customHeight="1">
      <c r="A643" s="18"/>
      <c r="B643" s="13"/>
      <c r="C643" s="13"/>
      <c r="D643" s="13"/>
      <c r="E643" s="13"/>
      <c r="F643" s="19"/>
      <c r="G643" s="20"/>
      <c r="H643" s="13"/>
      <c r="I643" s="21"/>
      <c r="J643" s="5"/>
      <c r="K643" s="5"/>
      <c r="L643" s="5"/>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row>
    <row r="644" ht="12.75" customHeight="1">
      <c r="A644" s="18"/>
      <c r="B644" s="13"/>
      <c r="C644" s="13"/>
      <c r="D644" s="13"/>
      <c r="E644" s="13"/>
      <c r="F644" s="19"/>
      <c r="G644" s="20"/>
      <c r="H644" s="13"/>
      <c r="I644" s="21"/>
      <c r="J644" s="5"/>
      <c r="K644" s="5"/>
      <c r="L644" s="5"/>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row>
    <row r="645" ht="12.75" customHeight="1">
      <c r="A645" s="18"/>
      <c r="B645" s="13"/>
      <c r="C645" s="13"/>
      <c r="D645" s="13"/>
      <c r="E645" s="13"/>
      <c r="F645" s="19"/>
      <c r="G645" s="20"/>
      <c r="H645" s="13"/>
      <c r="I645" s="21"/>
      <c r="J645" s="5"/>
      <c r="K645" s="5"/>
      <c r="L645" s="5"/>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row>
    <row r="646" ht="12.75" customHeight="1">
      <c r="A646" s="18"/>
      <c r="B646" s="13"/>
      <c r="C646" s="13"/>
      <c r="D646" s="13"/>
      <c r="E646" s="13"/>
      <c r="F646" s="19"/>
      <c r="G646" s="20"/>
      <c r="H646" s="13"/>
      <c r="I646" s="21"/>
      <c r="J646" s="5"/>
      <c r="K646" s="5"/>
      <c r="L646" s="5"/>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row>
    <row r="647" ht="12.75" customHeight="1">
      <c r="A647" s="18"/>
      <c r="B647" s="13"/>
      <c r="C647" s="13"/>
      <c r="D647" s="13"/>
      <c r="E647" s="13"/>
      <c r="F647" s="19"/>
      <c r="G647" s="20"/>
      <c r="H647" s="13"/>
      <c r="I647" s="21"/>
      <c r="J647" s="5"/>
      <c r="K647" s="5"/>
      <c r="L647" s="5"/>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row>
    <row r="648" ht="12.75" customHeight="1">
      <c r="A648" s="18"/>
      <c r="B648" s="13"/>
      <c r="C648" s="13"/>
      <c r="D648" s="13"/>
      <c r="E648" s="13"/>
      <c r="F648" s="19"/>
      <c r="G648" s="20"/>
      <c r="H648" s="13"/>
      <c r="I648" s="21"/>
      <c r="J648" s="5"/>
      <c r="K648" s="5"/>
      <c r="L648" s="5"/>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row>
    <row r="649" ht="12.75" customHeight="1">
      <c r="A649" s="18"/>
      <c r="B649" s="13"/>
      <c r="C649" s="13"/>
      <c r="D649" s="13"/>
      <c r="E649" s="13"/>
      <c r="F649" s="19"/>
      <c r="G649" s="20"/>
      <c r="H649" s="13"/>
      <c r="I649" s="21"/>
      <c r="J649" s="5"/>
      <c r="K649" s="5"/>
      <c r="L649" s="5"/>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row>
    <row r="650" ht="12.75" customHeight="1">
      <c r="A650" s="18"/>
      <c r="B650" s="13"/>
      <c r="C650" s="13"/>
      <c r="D650" s="13"/>
      <c r="E650" s="13"/>
      <c r="F650" s="19"/>
      <c r="G650" s="20"/>
      <c r="H650" s="13"/>
      <c r="I650" s="21"/>
      <c r="J650" s="5"/>
      <c r="K650" s="5"/>
      <c r="L650" s="5"/>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row>
    <row r="651" ht="12.75" customHeight="1">
      <c r="A651" s="18"/>
      <c r="B651" s="13"/>
      <c r="C651" s="13"/>
      <c r="D651" s="13"/>
      <c r="E651" s="13"/>
      <c r="F651" s="19"/>
      <c r="G651" s="20"/>
      <c r="H651" s="13"/>
      <c r="I651" s="21"/>
      <c r="J651" s="5"/>
      <c r="K651" s="5"/>
      <c r="L651" s="5"/>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row>
    <row r="652" ht="12.75" customHeight="1">
      <c r="A652" s="18"/>
      <c r="B652" s="13"/>
      <c r="C652" s="13"/>
      <c r="D652" s="13"/>
      <c r="E652" s="13"/>
      <c r="F652" s="19"/>
      <c r="G652" s="20"/>
      <c r="H652" s="13"/>
      <c r="I652" s="21"/>
      <c r="J652" s="5"/>
      <c r="K652" s="5"/>
      <c r="L652" s="5"/>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row>
    <row r="653" ht="12.75" customHeight="1">
      <c r="A653" s="18"/>
      <c r="B653" s="13"/>
      <c r="C653" s="13"/>
      <c r="D653" s="13"/>
      <c r="E653" s="13"/>
      <c r="F653" s="19"/>
      <c r="G653" s="20"/>
      <c r="H653" s="13"/>
      <c r="I653" s="21"/>
      <c r="J653" s="5"/>
      <c r="K653" s="5"/>
      <c r="L653" s="5"/>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row>
    <row r="654" ht="12.75" customHeight="1">
      <c r="A654" s="18"/>
      <c r="B654" s="13"/>
      <c r="C654" s="13"/>
      <c r="D654" s="13"/>
      <c r="E654" s="13"/>
      <c r="F654" s="19"/>
      <c r="G654" s="20"/>
      <c r="H654" s="13"/>
      <c r="I654" s="21"/>
      <c r="J654" s="5"/>
      <c r="K654" s="5"/>
      <c r="L654" s="5"/>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row>
    <row r="655" ht="12.75" customHeight="1">
      <c r="A655" s="18"/>
      <c r="B655" s="13"/>
      <c r="C655" s="13"/>
      <c r="D655" s="13"/>
      <c r="E655" s="13"/>
      <c r="F655" s="19"/>
      <c r="G655" s="20"/>
      <c r="H655" s="13"/>
      <c r="I655" s="21"/>
      <c r="J655" s="5"/>
      <c r="K655" s="5"/>
      <c r="L655" s="5"/>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row>
    <row r="656" ht="12.75" customHeight="1">
      <c r="A656" s="18"/>
      <c r="B656" s="13"/>
      <c r="C656" s="13"/>
      <c r="D656" s="13"/>
      <c r="E656" s="13"/>
      <c r="F656" s="19"/>
      <c r="G656" s="20"/>
      <c r="H656" s="13"/>
      <c r="I656" s="21"/>
      <c r="J656" s="5"/>
      <c r="K656" s="5"/>
      <c r="L656" s="5"/>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row>
    <row r="657" ht="12.75" customHeight="1">
      <c r="A657" s="18"/>
      <c r="B657" s="13"/>
      <c r="C657" s="13"/>
      <c r="D657" s="13"/>
      <c r="E657" s="13"/>
      <c r="F657" s="19"/>
      <c r="G657" s="20"/>
      <c r="H657" s="13"/>
      <c r="I657" s="21"/>
      <c r="J657" s="5"/>
      <c r="K657" s="5"/>
      <c r="L657" s="5"/>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row>
    <row r="658" ht="12.75" customHeight="1">
      <c r="A658" s="18"/>
      <c r="B658" s="13"/>
      <c r="C658" s="13"/>
      <c r="D658" s="13"/>
      <c r="E658" s="13"/>
      <c r="F658" s="19"/>
      <c r="G658" s="20"/>
      <c r="H658" s="13"/>
      <c r="I658" s="21"/>
      <c r="J658" s="5"/>
      <c r="K658" s="5"/>
      <c r="L658" s="5"/>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row>
    <row r="659" ht="12.75" customHeight="1">
      <c r="A659" s="18"/>
      <c r="B659" s="13"/>
      <c r="C659" s="13"/>
      <c r="D659" s="13"/>
      <c r="E659" s="13"/>
      <c r="F659" s="19"/>
      <c r="G659" s="20"/>
      <c r="H659" s="13"/>
      <c r="I659" s="21"/>
      <c r="J659" s="5"/>
      <c r="K659" s="5"/>
      <c r="L659" s="5"/>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row>
    <row r="660" ht="12.75" customHeight="1">
      <c r="A660" s="18"/>
      <c r="B660" s="13"/>
      <c r="C660" s="13"/>
      <c r="D660" s="13"/>
      <c r="E660" s="13"/>
      <c r="F660" s="19"/>
      <c r="G660" s="20"/>
      <c r="H660" s="13"/>
      <c r="I660" s="21"/>
      <c r="J660" s="5"/>
      <c r="K660" s="5"/>
      <c r="L660" s="5"/>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row>
    <row r="661" ht="12.75" customHeight="1">
      <c r="A661" s="18"/>
      <c r="B661" s="13"/>
      <c r="C661" s="13"/>
      <c r="D661" s="13"/>
      <c r="E661" s="13"/>
      <c r="F661" s="19"/>
      <c r="G661" s="20"/>
      <c r="H661" s="13"/>
      <c r="I661" s="21"/>
      <c r="J661" s="5"/>
      <c r="K661" s="5"/>
      <c r="L661" s="5"/>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row>
    <row r="662" ht="12.75" customHeight="1">
      <c r="A662" s="18"/>
      <c r="B662" s="13"/>
      <c r="C662" s="13"/>
      <c r="D662" s="13"/>
      <c r="E662" s="13"/>
      <c r="F662" s="19"/>
      <c r="G662" s="20"/>
      <c r="H662" s="13"/>
      <c r="I662" s="21"/>
      <c r="J662" s="5"/>
      <c r="K662" s="5"/>
      <c r="L662" s="5"/>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row>
    <row r="663" ht="12.75" customHeight="1">
      <c r="A663" s="18"/>
      <c r="B663" s="13"/>
      <c r="C663" s="13"/>
      <c r="D663" s="13"/>
      <c r="E663" s="13"/>
      <c r="F663" s="19"/>
      <c r="G663" s="20"/>
      <c r="H663" s="13"/>
      <c r="I663" s="21"/>
      <c r="J663" s="5"/>
      <c r="K663" s="5"/>
      <c r="L663" s="5"/>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row>
    <row r="664" ht="12.75" customHeight="1">
      <c r="A664" s="18"/>
      <c r="B664" s="13"/>
      <c r="C664" s="13"/>
      <c r="D664" s="13"/>
      <c r="E664" s="13"/>
      <c r="F664" s="19"/>
      <c r="G664" s="20"/>
      <c r="H664" s="13"/>
      <c r="I664" s="21"/>
      <c r="J664" s="5"/>
      <c r="K664" s="5"/>
      <c r="L664" s="5"/>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row>
    <row r="665" ht="12.75" customHeight="1">
      <c r="A665" s="18"/>
      <c r="B665" s="13"/>
      <c r="C665" s="13"/>
      <c r="D665" s="13"/>
      <c r="E665" s="13"/>
      <c r="F665" s="19"/>
      <c r="G665" s="20"/>
      <c r="H665" s="13"/>
      <c r="I665" s="21"/>
      <c r="J665" s="5"/>
      <c r="K665" s="5"/>
      <c r="L665" s="5"/>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row>
    <row r="666" ht="12.75" customHeight="1">
      <c r="A666" s="18"/>
      <c r="B666" s="13"/>
      <c r="C666" s="13"/>
      <c r="D666" s="13"/>
      <c r="E666" s="13"/>
      <c r="F666" s="19"/>
      <c r="G666" s="20"/>
      <c r="H666" s="13"/>
      <c r="I666" s="21"/>
      <c r="J666" s="5"/>
      <c r="K666" s="5"/>
      <c r="L666" s="5"/>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row>
    <row r="667" ht="12.75" customHeight="1">
      <c r="A667" s="18"/>
      <c r="B667" s="13"/>
      <c r="C667" s="13"/>
      <c r="D667" s="13"/>
      <c r="E667" s="13"/>
      <c r="F667" s="19"/>
      <c r="G667" s="20"/>
      <c r="H667" s="13"/>
      <c r="I667" s="21"/>
      <c r="J667" s="5"/>
      <c r="K667" s="5"/>
      <c r="L667" s="5"/>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row>
    <row r="668" ht="12.75" customHeight="1">
      <c r="A668" s="18"/>
      <c r="B668" s="13"/>
      <c r="C668" s="13"/>
      <c r="D668" s="13"/>
      <c r="E668" s="13"/>
      <c r="F668" s="19"/>
      <c r="G668" s="20"/>
      <c r="H668" s="13"/>
      <c r="I668" s="21"/>
      <c r="J668" s="5"/>
      <c r="K668" s="5"/>
      <c r="L668" s="5"/>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row>
    <row r="669" ht="12.75" customHeight="1">
      <c r="A669" s="18"/>
      <c r="B669" s="13"/>
      <c r="C669" s="13"/>
      <c r="D669" s="13"/>
      <c r="E669" s="13"/>
      <c r="F669" s="19"/>
      <c r="G669" s="20"/>
      <c r="H669" s="13"/>
      <c r="I669" s="21"/>
      <c r="J669" s="5"/>
      <c r="K669" s="5"/>
      <c r="L669" s="5"/>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row>
    <row r="670" ht="12.75" customHeight="1">
      <c r="A670" s="18"/>
      <c r="B670" s="13"/>
      <c r="C670" s="13"/>
      <c r="D670" s="13"/>
      <c r="E670" s="13"/>
      <c r="F670" s="19"/>
      <c r="G670" s="20"/>
      <c r="H670" s="13"/>
      <c r="I670" s="21"/>
      <c r="J670" s="5"/>
      <c r="K670" s="5"/>
      <c r="L670" s="5"/>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row>
    <row r="671" ht="12.75" customHeight="1">
      <c r="A671" s="18"/>
      <c r="B671" s="13"/>
      <c r="C671" s="13"/>
      <c r="D671" s="13"/>
      <c r="E671" s="13"/>
      <c r="F671" s="19"/>
      <c r="G671" s="20"/>
      <c r="H671" s="13"/>
      <c r="I671" s="21"/>
      <c r="J671" s="5"/>
      <c r="K671" s="5"/>
      <c r="L671" s="5"/>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row>
    <row r="672" ht="12.75" customHeight="1">
      <c r="A672" s="18"/>
      <c r="B672" s="13"/>
      <c r="C672" s="13"/>
      <c r="D672" s="13"/>
      <c r="E672" s="13"/>
      <c r="F672" s="19"/>
      <c r="G672" s="20"/>
      <c r="H672" s="13"/>
      <c r="I672" s="21"/>
      <c r="J672" s="5"/>
      <c r="K672" s="5"/>
      <c r="L672" s="5"/>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row>
    <row r="673" ht="12.75" customHeight="1">
      <c r="A673" s="18"/>
      <c r="B673" s="13"/>
      <c r="C673" s="13"/>
      <c r="D673" s="13"/>
      <c r="E673" s="13"/>
      <c r="F673" s="19"/>
      <c r="G673" s="20"/>
      <c r="H673" s="13"/>
      <c r="I673" s="21"/>
      <c r="J673" s="5"/>
      <c r="K673" s="5"/>
      <c r="L673" s="5"/>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row>
    <row r="674" ht="12.75" customHeight="1">
      <c r="A674" s="18"/>
      <c r="B674" s="13"/>
      <c r="C674" s="13"/>
      <c r="D674" s="13"/>
      <c r="E674" s="13"/>
      <c r="F674" s="19"/>
      <c r="G674" s="20"/>
      <c r="H674" s="13"/>
      <c r="I674" s="21"/>
      <c r="J674" s="5"/>
      <c r="K674" s="5"/>
      <c r="L674" s="5"/>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row>
    <row r="675" ht="12.75" customHeight="1">
      <c r="A675" s="18"/>
      <c r="B675" s="13"/>
      <c r="C675" s="13"/>
      <c r="D675" s="13"/>
      <c r="E675" s="13"/>
      <c r="F675" s="19"/>
      <c r="G675" s="20"/>
      <c r="H675" s="13"/>
      <c r="I675" s="21"/>
      <c r="J675" s="5"/>
      <c r="K675" s="5"/>
      <c r="L675" s="5"/>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row>
    <row r="676" ht="12.75" customHeight="1">
      <c r="A676" s="18"/>
      <c r="B676" s="13"/>
      <c r="C676" s="13"/>
      <c r="D676" s="13"/>
      <c r="E676" s="13"/>
      <c r="F676" s="19"/>
      <c r="G676" s="20"/>
      <c r="H676" s="13"/>
      <c r="I676" s="21"/>
      <c r="J676" s="5"/>
      <c r="K676" s="5"/>
      <c r="L676" s="5"/>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row>
    <row r="677" ht="12.75" customHeight="1">
      <c r="A677" s="18"/>
      <c r="B677" s="13"/>
      <c r="C677" s="13"/>
      <c r="D677" s="13"/>
      <c r="E677" s="13"/>
      <c r="F677" s="19"/>
      <c r="G677" s="20"/>
      <c r="H677" s="13"/>
      <c r="I677" s="21"/>
      <c r="J677" s="5"/>
      <c r="K677" s="5"/>
      <c r="L677" s="5"/>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row>
    <row r="678" ht="12.75" customHeight="1">
      <c r="A678" s="18"/>
      <c r="B678" s="13"/>
      <c r="C678" s="13"/>
      <c r="D678" s="13"/>
      <c r="E678" s="13"/>
      <c r="F678" s="19"/>
      <c r="G678" s="20"/>
      <c r="H678" s="13"/>
      <c r="I678" s="21"/>
      <c r="J678" s="5"/>
      <c r="K678" s="5"/>
      <c r="L678" s="5"/>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row>
    <row r="679" ht="12.75" customHeight="1">
      <c r="A679" s="18"/>
      <c r="B679" s="13"/>
      <c r="C679" s="13"/>
      <c r="D679" s="13"/>
      <c r="E679" s="13"/>
      <c r="F679" s="19"/>
      <c r="G679" s="20"/>
      <c r="H679" s="13"/>
      <c r="I679" s="21"/>
      <c r="J679" s="5"/>
      <c r="K679" s="5"/>
      <c r="L679" s="5"/>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row>
    <row r="680" ht="12.75" customHeight="1">
      <c r="A680" s="18"/>
      <c r="B680" s="13"/>
      <c r="C680" s="13"/>
      <c r="D680" s="13"/>
      <c r="E680" s="13"/>
      <c r="F680" s="19"/>
      <c r="G680" s="20"/>
      <c r="H680" s="13"/>
      <c r="I680" s="21"/>
      <c r="J680" s="5"/>
      <c r="K680" s="5"/>
      <c r="L680" s="5"/>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row>
    <row r="681" ht="12.75" customHeight="1">
      <c r="A681" s="18"/>
      <c r="B681" s="13"/>
      <c r="C681" s="13"/>
      <c r="D681" s="13"/>
      <c r="E681" s="13"/>
      <c r="F681" s="19"/>
      <c r="G681" s="20"/>
      <c r="H681" s="13"/>
      <c r="I681" s="21"/>
      <c r="J681" s="5"/>
      <c r="K681" s="5"/>
      <c r="L681" s="5"/>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row>
    <row r="682" ht="12.75" customHeight="1">
      <c r="A682" s="18"/>
      <c r="B682" s="13"/>
      <c r="C682" s="13"/>
      <c r="D682" s="13"/>
      <c r="E682" s="13"/>
      <c r="F682" s="19"/>
      <c r="G682" s="20"/>
      <c r="H682" s="13"/>
      <c r="I682" s="21"/>
      <c r="J682" s="5"/>
      <c r="K682" s="5"/>
      <c r="L682" s="5"/>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row>
    <row r="683" ht="12.75" customHeight="1">
      <c r="A683" s="18"/>
      <c r="B683" s="13"/>
      <c r="C683" s="13"/>
      <c r="D683" s="13"/>
      <c r="E683" s="13"/>
      <c r="F683" s="19"/>
      <c r="G683" s="20"/>
      <c r="H683" s="13"/>
      <c r="I683" s="21"/>
      <c r="J683" s="5"/>
      <c r="K683" s="5"/>
      <c r="L683" s="5"/>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row>
    <row r="684" ht="12.75" customHeight="1">
      <c r="A684" s="18"/>
      <c r="B684" s="13"/>
      <c r="C684" s="13"/>
      <c r="D684" s="13"/>
      <c r="E684" s="13"/>
      <c r="F684" s="19"/>
      <c r="G684" s="20"/>
      <c r="H684" s="13"/>
      <c r="I684" s="21"/>
      <c r="J684" s="5"/>
      <c r="K684" s="5"/>
      <c r="L684" s="5"/>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row>
    <row r="685" ht="12.75" customHeight="1">
      <c r="A685" s="18"/>
      <c r="B685" s="13"/>
      <c r="C685" s="13"/>
      <c r="D685" s="13"/>
      <c r="E685" s="13"/>
      <c r="F685" s="19"/>
      <c r="G685" s="20"/>
      <c r="H685" s="13"/>
      <c r="I685" s="21"/>
      <c r="J685" s="5"/>
      <c r="K685" s="5"/>
      <c r="L685" s="5"/>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row>
    <row r="686" ht="12.75" customHeight="1">
      <c r="A686" s="18"/>
      <c r="B686" s="13"/>
      <c r="C686" s="13"/>
      <c r="D686" s="13"/>
      <c r="E686" s="13"/>
      <c r="F686" s="19"/>
      <c r="G686" s="20"/>
      <c r="H686" s="13"/>
      <c r="I686" s="21"/>
      <c r="J686" s="5"/>
      <c r="K686" s="5"/>
      <c r="L686" s="5"/>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row>
    <row r="687" ht="12.75" customHeight="1">
      <c r="A687" s="18"/>
      <c r="B687" s="13"/>
      <c r="C687" s="13"/>
      <c r="D687" s="13"/>
      <c r="E687" s="13"/>
      <c r="F687" s="19"/>
      <c r="G687" s="20"/>
      <c r="H687" s="13"/>
      <c r="I687" s="21"/>
      <c r="J687" s="5"/>
      <c r="K687" s="5"/>
      <c r="L687" s="5"/>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row>
    <row r="688" ht="12.75" customHeight="1">
      <c r="A688" s="18"/>
      <c r="B688" s="13"/>
      <c r="C688" s="13"/>
      <c r="D688" s="13"/>
      <c r="E688" s="13"/>
      <c r="F688" s="19"/>
      <c r="G688" s="20"/>
      <c r="H688" s="13"/>
      <c r="I688" s="21"/>
      <c r="J688" s="5"/>
      <c r="K688" s="5"/>
      <c r="L688" s="5"/>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row>
    <row r="689" ht="12.75" customHeight="1">
      <c r="A689" s="18"/>
      <c r="B689" s="13"/>
      <c r="C689" s="13"/>
      <c r="D689" s="13"/>
      <c r="E689" s="13"/>
      <c r="F689" s="19"/>
      <c r="G689" s="20"/>
      <c r="H689" s="13"/>
      <c r="I689" s="21"/>
      <c r="J689" s="5"/>
      <c r="K689" s="5"/>
      <c r="L689" s="5"/>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row>
    <row r="690" ht="12.75" customHeight="1">
      <c r="A690" s="18"/>
      <c r="B690" s="13"/>
      <c r="C690" s="13"/>
      <c r="D690" s="13"/>
      <c r="E690" s="13"/>
      <c r="F690" s="19"/>
      <c r="G690" s="20"/>
      <c r="H690" s="13"/>
      <c r="I690" s="21"/>
      <c r="J690" s="5"/>
      <c r="K690" s="5"/>
      <c r="L690" s="5"/>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row>
    <row r="691" ht="12.75" customHeight="1">
      <c r="A691" s="18"/>
      <c r="B691" s="13"/>
      <c r="C691" s="13"/>
      <c r="D691" s="13"/>
      <c r="E691" s="13"/>
      <c r="F691" s="19"/>
      <c r="G691" s="20"/>
      <c r="H691" s="13"/>
      <c r="I691" s="21"/>
      <c r="J691" s="5"/>
      <c r="K691" s="5"/>
      <c r="L691" s="5"/>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row>
    <row r="692" ht="12.75" customHeight="1">
      <c r="A692" s="18"/>
      <c r="B692" s="13"/>
      <c r="C692" s="13"/>
      <c r="D692" s="13"/>
      <c r="E692" s="13"/>
      <c r="F692" s="19"/>
      <c r="G692" s="20"/>
      <c r="H692" s="13"/>
      <c r="I692" s="21"/>
      <c r="J692" s="5"/>
      <c r="K692" s="5"/>
      <c r="L692" s="5"/>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row>
    <row r="693" ht="12.75" customHeight="1">
      <c r="A693" s="18"/>
      <c r="B693" s="13"/>
      <c r="C693" s="13"/>
      <c r="D693" s="13"/>
      <c r="E693" s="13"/>
      <c r="F693" s="19"/>
      <c r="G693" s="20"/>
      <c r="H693" s="13"/>
      <c r="I693" s="21"/>
      <c r="J693" s="5"/>
      <c r="K693" s="5"/>
      <c r="L693" s="5"/>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row>
    <row r="694" ht="12.75" customHeight="1">
      <c r="A694" s="18"/>
      <c r="B694" s="13"/>
      <c r="C694" s="13"/>
      <c r="D694" s="13"/>
      <c r="E694" s="13"/>
      <c r="F694" s="19"/>
      <c r="G694" s="20"/>
      <c r="H694" s="13"/>
      <c r="I694" s="21"/>
      <c r="J694" s="5"/>
      <c r="K694" s="5"/>
      <c r="L694" s="5"/>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row>
    <row r="695" ht="12.75" customHeight="1">
      <c r="A695" s="18"/>
      <c r="B695" s="13"/>
      <c r="C695" s="13"/>
      <c r="D695" s="13"/>
      <c r="E695" s="13"/>
      <c r="F695" s="19"/>
      <c r="G695" s="20"/>
      <c r="H695" s="13"/>
      <c r="I695" s="21"/>
      <c r="J695" s="5"/>
      <c r="K695" s="5"/>
      <c r="L695" s="5"/>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row>
    <row r="696" ht="12.75" customHeight="1">
      <c r="A696" s="18"/>
      <c r="B696" s="13"/>
      <c r="C696" s="13"/>
      <c r="D696" s="13"/>
      <c r="E696" s="13"/>
      <c r="F696" s="19"/>
      <c r="G696" s="20"/>
      <c r="H696" s="13"/>
      <c r="I696" s="21"/>
      <c r="J696" s="5"/>
      <c r="K696" s="5"/>
      <c r="L696" s="5"/>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row>
    <row r="697" ht="12.75" customHeight="1">
      <c r="A697" s="18"/>
      <c r="B697" s="13"/>
      <c r="C697" s="13"/>
      <c r="D697" s="13"/>
      <c r="E697" s="13"/>
      <c r="F697" s="19"/>
      <c r="G697" s="20"/>
      <c r="H697" s="13"/>
      <c r="I697" s="21"/>
      <c r="J697" s="5"/>
      <c r="K697" s="5"/>
      <c r="L697" s="5"/>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row>
    <row r="698" ht="12.75" customHeight="1">
      <c r="A698" s="18"/>
      <c r="B698" s="13"/>
      <c r="C698" s="13"/>
      <c r="D698" s="13"/>
      <c r="E698" s="13"/>
      <c r="F698" s="19"/>
      <c r="G698" s="20"/>
      <c r="H698" s="13"/>
      <c r="I698" s="21"/>
      <c r="J698" s="5"/>
      <c r="K698" s="5"/>
      <c r="L698" s="5"/>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row>
    <row r="699" ht="12.75" customHeight="1">
      <c r="A699" s="18"/>
      <c r="B699" s="13"/>
      <c r="C699" s="13"/>
      <c r="D699" s="13"/>
      <c r="E699" s="13"/>
      <c r="F699" s="19"/>
      <c r="G699" s="20"/>
      <c r="H699" s="13"/>
      <c r="I699" s="21"/>
      <c r="J699" s="5"/>
      <c r="K699" s="5"/>
      <c r="L699" s="5"/>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row>
    <row r="700" ht="12.75" customHeight="1">
      <c r="A700" s="18"/>
      <c r="B700" s="13"/>
      <c r="C700" s="13"/>
      <c r="D700" s="13"/>
      <c r="E700" s="13"/>
      <c r="F700" s="19"/>
      <c r="G700" s="20"/>
      <c r="H700" s="13"/>
      <c r="I700" s="21"/>
      <c r="J700" s="5"/>
      <c r="K700" s="5"/>
      <c r="L700" s="5"/>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row>
    <row r="701" ht="12.75" customHeight="1">
      <c r="A701" s="18"/>
      <c r="B701" s="13"/>
      <c r="C701" s="13"/>
      <c r="D701" s="13"/>
      <c r="E701" s="13"/>
      <c r="F701" s="19"/>
      <c r="G701" s="20"/>
      <c r="H701" s="13"/>
      <c r="I701" s="21"/>
      <c r="J701" s="5"/>
      <c r="K701" s="5"/>
      <c r="L701" s="5"/>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row>
    <row r="702" ht="12.75" customHeight="1">
      <c r="A702" s="18"/>
      <c r="B702" s="13"/>
      <c r="C702" s="13"/>
      <c r="D702" s="13"/>
      <c r="E702" s="13"/>
      <c r="F702" s="19"/>
      <c r="G702" s="20"/>
      <c r="H702" s="13"/>
      <c r="I702" s="21"/>
      <c r="J702" s="5"/>
      <c r="K702" s="5"/>
      <c r="L702" s="5"/>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row>
    <row r="703" ht="12.75" customHeight="1">
      <c r="A703" s="18"/>
      <c r="B703" s="13"/>
      <c r="C703" s="13"/>
      <c r="D703" s="13"/>
      <c r="E703" s="13"/>
      <c r="F703" s="19"/>
      <c r="G703" s="20"/>
      <c r="H703" s="13"/>
      <c r="I703" s="21"/>
      <c r="J703" s="5"/>
      <c r="K703" s="5"/>
      <c r="L703" s="5"/>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row>
    <row r="704" ht="12.75" customHeight="1">
      <c r="A704" s="18"/>
      <c r="B704" s="13"/>
      <c r="C704" s="13"/>
      <c r="D704" s="13"/>
      <c r="E704" s="13"/>
      <c r="F704" s="19"/>
      <c r="G704" s="20"/>
      <c r="H704" s="13"/>
      <c r="I704" s="21"/>
      <c r="J704" s="5"/>
      <c r="K704" s="5"/>
      <c r="L704" s="5"/>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row>
    <row r="705" ht="12.75" customHeight="1">
      <c r="A705" s="18"/>
      <c r="B705" s="13"/>
      <c r="C705" s="13"/>
      <c r="D705" s="13"/>
      <c r="E705" s="13"/>
      <c r="F705" s="19"/>
      <c r="G705" s="20"/>
      <c r="H705" s="13"/>
      <c r="I705" s="21"/>
      <c r="J705" s="5"/>
      <c r="K705" s="5"/>
      <c r="L705" s="5"/>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row>
    <row r="706" ht="12.75" customHeight="1">
      <c r="A706" s="18"/>
      <c r="B706" s="13"/>
      <c r="C706" s="13"/>
      <c r="D706" s="13"/>
      <c r="E706" s="13"/>
      <c r="F706" s="19"/>
      <c r="G706" s="20"/>
      <c r="H706" s="13"/>
      <c r="I706" s="21"/>
      <c r="J706" s="5"/>
      <c r="K706" s="5"/>
      <c r="L706" s="5"/>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row>
    <row r="707" ht="12.75" customHeight="1">
      <c r="A707" s="18"/>
      <c r="B707" s="13"/>
      <c r="C707" s="13"/>
      <c r="D707" s="13"/>
      <c r="E707" s="13"/>
      <c r="F707" s="19"/>
      <c r="G707" s="20"/>
      <c r="H707" s="13"/>
      <c r="I707" s="21"/>
      <c r="J707" s="5"/>
      <c r="K707" s="5"/>
      <c r="L707" s="5"/>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row>
    <row r="708" ht="12.75" customHeight="1">
      <c r="A708" s="18"/>
      <c r="B708" s="13"/>
      <c r="C708" s="13"/>
      <c r="D708" s="13"/>
      <c r="E708" s="13"/>
      <c r="F708" s="19"/>
      <c r="G708" s="20"/>
      <c r="H708" s="13"/>
      <c r="I708" s="21"/>
      <c r="J708" s="5"/>
      <c r="K708" s="5"/>
      <c r="L708" s="5"/>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row>
    <row r="709" ht="12.75" customHeight="1">
      <c r="A709" s="18"/>
      <c r="B709" s="13"/>
      <c r="C709" s="13"/>
      <c r="D709" s="13"/>
      <c r="E709" s="13"/>
      <c r="F709" s="19"/>
      <c r="G709" s="20"/>
      <c r="H709" s="13"/>
      <c r="I709" s="21"/>
      <c r="J709" s="5"/>
      <c r="K709" s="5"/>
      <c r="L709" s="5"/>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row>
    <row r="710" ht="12.75" customHeight="1">
      <c r="A710" s="18"/>
      <c r="B710" s="13"/>
      <c r="C710" s="13"/>
      <c r="D710" s="13"/>
      <c r="E710" s="13"/>
      <c r="F710" s="19"/>
      <c r="G710" s="20"/>
      <c r="H710" s="13"/>
      <c r="I710" s="21"/>
      <c r="J710" s="5"/>
      <c r="K710" s="5"/>
      <c r="L710" s="5"/>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row>
    <row r="711" ht="12.75" customHeight="1">
      <c r="A711" s="18"/>
      <c r="B711" s="13"/>
      <c r="C711" s="13"/>
      <c r="D711" s="13"/>
      <c r="E711" s="13"/>
      <c r="F711" s="19"/>
      <c r="G711" s="20"/>
      <c r="H711" s="13"/>
      <c r="I711" s="21"/>
      <c r="J711" s="5"/>
      <c r="K711" s="5"/>
      <c r="L711" s="5"/>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row>
    <row r="712" ht="12.75" customHeight="1">
      <c r="A712" s="18"/>
      <c r="B712" s="13"/>
      <c r="C712" s="13"/>
      <c r="D712" s="13"/>
      <c r="E712" s="13"/>
      <c r="F712" s="19"/>
      <c r="G712" s="20"/>
      <c r="H712" s="13"/>
      <c r="I712" s="21"/>
      <c r="J712" s="5"/>
      <c r="K712" s="5"/>
      <c r="L712" s="5"/>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row>
    <row r="713" ht="12.75" customHeight="1">
      <c r="A713" s="18"/>
      <c r="B713" s="13"/>
      <c r="C713" s="13"/>
      <c r="D713" s="13"/>
      <c r="E713" s="13"/>
      <c r="F713" s="19"/>
      <c r="G713" s="20"/>
      <c r="H713" s="13"/>
      <c r="I713" s="21"/>
      <c r="J713" s="5"/>
      <c r="K713" s="5"/>
      <c r="L713" s="5"/>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row>
    <row r="714" ht="12.75" customHeight="1">
      <c r="A714" s="18"/>
      <c r="B714" s="13"/>
      <c r="C714" s="13"/>
      <c r="D714" s="13"/>
      <c r="E714" s="13"/>
      <c r="F714" s="19"/>
      <c r="G714" s="20"/>
      <c r="H714" s="13"/>
      <c r="I714" s="21"/>
      <c r="J714" s="5"/>
      <c r="K714" s="5"/>
      <c r="L714" s="5"/>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row>
    <row r="715" ht="12.75" customHeight="1">
      <c r="A715" s="18"/>
      <c r="B715" s="13"/>
      <c r="C715" s="13"/>
      <c r="D715" s="13"/>
      <c r="E715" s="13"/>
      <c r="F715" s="19"/>
      <c r="G715" s="20"/>
      <c r="H715" s="13"/>
      <c r="I715" s="21"/>
      <c r="J715" s="5"/>
      <c r="K715" s="5"/>
      <c r="L715" s="5"/>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row>
    <row r="716" ht="12.75" customHeight="1">
      <c r="A716" s="18"/>
      <c r="B716" s="13"/>
      <c r="C716" s="13"/>
      <c r="D716" s="13"/>
      <c r="E716" s="13"/>
      <c r="F716" s="19"/>
      <c r="G716" s="20"/>
      <c r="H716" s="13"/>
      <c r="I716" s="21"/>
      <c r="J716" s="5"/>
      <c r="K716" s="5"/>
      <c r="L716" s="5"/>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row>
    <row r="717" ht="12.75" customHeight="1">
      <c r="A717" s="18"/>
      <c r="B717" s="13"/>
      <c r="C717" s="13"/>
      <c r="D717" s="13"/>
      <c r="E717" s="13"/>
      <c r="F717" s="19"/>
      <c r="G717" s="20"/>
      <c r="H717" s="13"/>
      <c r="I717" s="21"/>
      <c r="J717" s="5"/>
      <c r="K717" s="5"/>
      <c r="L717" s="5"/>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row>
    <row r="718" ht="12.75" customHeight="1">
      <c r="A718" s="18"/>
      <c r="B718" s="13"/>
      <c r="C718" s="13"/>
      <c r="D718" s="13"/>
      <c r="E718" s="13"/>
      <c r="F718" s="19"/>
      <c r="G718" s="20"/>
      <c r="H718" s="13"/>
      <c r="I718" s="21"/>
      <c r="J718" s="5"/>
      <c r="K718" s="5"/>
      <c r="L718" s="5"/>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row>
    <row r="719" ht="12.75" customHeight="1">
      <c r="A719" s="18"/>
      <c r="B719" s="13"/>
      <c r="C719" s="13"/>
      <c r="D719" s="13"/>
      <c r="E719" s="13"/>
      <c r="F719" s="19"/>
      <c r="G719" s="20"/>
      <c r="H719" s="13"/>
      <c r="I719" s="21"/>
      <c r="J719" s="5"/>
      <c r="K719" s="5"/>
      <c r="L719" s="5"/>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row>
    <row r="720" ht="12.75" customHeight="1">
      <c r="A720" s="18"/>
      <c r="B720" s="13"/>
      <c r="C720" s="13"/>
      <c r="D720" s="13"/>
      <c r="E720" s="13"/>
      <c r="F720" s="19"/>
      <c r="G720" s="20"/>
      <c r="H720" s="13"/>
      <c r="I720" s="21"/>
      <c r="J720" s="5"/>
      <c r="K720" s="5"/>
      <c r="L720" s="5"/>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row>
    <row r="721" ht="12.75" customHeight="1">
      <c r="A721" s="18"/>
      <c r="B721" s="13"/>
      <c r="C721" s="13"/>
      <c r="D721" s="13"/>
      <c r="E721" s="13"/>
      <c r="F721" s="19"/>
      <c r="G721" s="20"/>
      <c r="H721" s="13"/>
      <c r="I721" s="21"/>
      <c r="J721" s="5"/>
      <c r="K721" s="5"/>
      <c r="L721" s="5"/>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row>
    <row r="722" ht="12.75" customHeight="1">
      <c r="A722" s="18"/>
      <c r="B722" s="13"/>
      <c r="C722" s="13"/>
      <c r="D722" s="13"/>
      <c r="E722" s="13"/>
      <c r="F722" s="19"/>
      <c r="G722" s="20"/>
      <c r="H722" s="13"/>
      <c r="I722" s="21"/>
      <c r="J722" s="5"/>
      <c r="K722" s="5"/>
      <c r="L722" s="5"/>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row>
    <row r="723" ht="12.75" customHeight="1">
      <c r="A723" s="18"/>
      <c r="B723" s="13"/>
      <c r="C723" s="13"/>
      <c r="D723" s="13"/>
      <c r="E723" s="13"/>
      <c r="F723" s="19"/>
      <c r="G723" s="20"/>
      <c r="H723" s="13"/>
      <c r="I723" s="21"/>
      <c r="J723" s="5"/>
      <c r="K723" s="5"/>
      <c r="L723" s="5"/>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row>
    <row r="724" ht="12.75" customHeight="1">
      <c r="A724" s="18"/>
      <c r="B724" s="13"/>
      <c r="C724" s="13"/>
      <c r="D724" s="13"/>
      <c r="E724" s="13"/>
      <c r="F724" s="19"/>
      <c r="G724" s="20"/>
      <c r="H724" s="13"/>
      <c r="I724" s="21"/>
      <c r="J724" s="5"/>
      <c r="K724" s="5"/>
      <c r="L724" s="5"/>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row>
    <row r="725" ht="12.75" customHeight="1">
      <c r="A725" s="18"/>
      <c r="B725" s="13"/>
      <c r="C725" s="13"/>
      <c r="D725" s="13"/>
      <c r="E725" s="13"/>
      <c r="F725" s="19"/>
      <c r="G725" s="20"/>
      <c r="H725" s="13"/>
      <c r="I725" s="21"/>
      <c r="J725" s="5"/>
      <c r="K725" s="5"/>
      <c r="L725" s="5"/>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row>
    <row r="726" ht="12.75" customHeight="1">
      <c r="A726" s="18"/>
      <c r="B726" s="13"/>
      <c r="C726" s="13"/>
      <c r="D726" s="13"/>
      <c r="E726" s="13"/>
      <c r="F726" s="19"/>
      <c r="G726" s="20"/>
      <c r="H726" s="13"/>
      <c r="I726" s="21"/>
      <c r="J726" s="5"/>
      <c r="K726" s="5"/>
      <c r="L726" s="5"/>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row>
    <row r="727" ht="12.75" customHeight="1">
      <c r="A727" s="18"/>
      <c r="B727" s="13"/>
      <c r="C727" s="13"/>
      <c r="D727" s="13"/>
      <c r="E727" s="13"/>
      <c r="F727" s="19"/>
      <c r="G727" s="20"/>
      <c r="H727" s="13"/>
      <c r="I727" s="21"/>
      <c r="J727" s="5"/>
      <c r="K727" s="5"/>
      <c r="L727" s="5"/>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row>
    <row r="728" ht="12.75" customHeight="1">
      <c r="A728" s="18"/>
      <c r="B728" s="13"/>
      <c r="C728" s="13"/>
      <c r="D728" s="13"/>
      <c r="E728" s="13"/>
      <c r="F728" s="19"/>
      <c r="G728" s="20"/>
      <c r="H728" s="13"/>
      <c r="I728" s="21"/>
      <c r="J728" s="5"/>
      <c r="K728" s="5"/>
      <c r="L728" s="5"/>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row>
    <row r="729" ht="12.75" customHeight="1">
      <c r="A729" s="18"/>
      <c r="B729" s="13"/>
      <c r="C729" s="13"/>
      <c r="D729" s="13"/>
      <c r="E729" s="13"/>
      <c r="F729" s="19"/>
      <c r="G729" s="20"/>
      <c r="H729" s="13"/>
      <c r="I729" s="21"/>
      <c r="J729" s="5"/>
      <c r="K729" s="5"/>
      <c r="L729" s="5"/>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row>
    <row r="730" ht="12.75" customHeight="1">
      <c r="A730" s="18"/>
      <c r="B730" s="13"/>
      <c r="C730" s="13"/>
      <c r="D730" s="13"/>
      <c r="E730" s="13"/>
      <c r="F730" s="19"/>
      <c r="G730" s="20"/>
      <c r="H730" s="13"/>
      <c r="I730" s="21"/>
      <c r="J730" s="5"/>
      <c r="K730" s="5"/>
      <c r="L730" s="5"/>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row>
    <row r="731" ht="12.75" customHeight="1">
      <c r="A731" s="18"/>
      <c r="B731" s="13"/>
      <c r="C731" s="13"/>
      <c r="D731" s="13"/>
      <c r="E731" s="13"/>
      <c r="F731" s="19"/>
      <c r="G731" s="20"/>
      <c r="H731" s="13"/>
      <c r="I731" s="21"/>
      <c r="J731" s="5"/>
      <c r="K731" s="5"/>
      <c r="L731" s="5"/>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row>
    <row r="732" ht="12.75" customHeight="1">
      <c r="A732" s="18"/>
      <c r="B732" s="13"/>
      <c r="C732" s="13"/>
      <c r="D732" s="13"/>
      <c r="E732" s="13"/>
      <c r="F732" s="19"/>
      <c r="G732" s="20"/>
      <c r="H732" s="13"/>
      <c r="I732" s="21"/>
      <c r="J732" s="5"/>
      <c r="K732" s="5"/>
      <c r="L732" s="5"/>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row>
    <row r="733" ht="12.75" customHeight="1">
      <c r="A733" s="18"/>
      <c r="B733" s="13"/>
      <c r="C733" s="13"/>
      <c r="D733" s="13"/>
      <c r="E733" s="13"/>
      <c r="F733" s="19"/>
      <c r="G733" s="20"/>
      <c r="H733" s="13"/>
      <c r="I733" s="21"/>
      <c r="J733" s="5"/>
      <c r="K733" s="5"/>
      <c r="L733" s="5"/>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row>
    <row r="734" ht="12.75" customHeight="1">
      <c r="A734" s="18"/>
      <c r="B734" s="13"/>
      <c r="C734" s="13"/>
      <c r="D734" s="13"/>
      <c r="E734" s="13"/>
      <c r="F734" s="19"/>
      <c r="G734" s="20"/>
      <c r="H734" s="13"/>
      <c r="I734" s="21"/>
      <c r="J734" s="5"/>
      <c r="K734" s="5"/>
      <c r="L734" s="5"/>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row>
    <row r="735" ht="12.75" customHeight="1">
      <c r="A735" s="18"/>
      <c r="B735" s="13"/>
      <c r="C735" s="13"/>
      <c r="D735" s="13"/>
      <c r="E735" s="13"/>
      <c r="F735" s="19"/>
      <c r="G735" s="20"/>
      <c r="H735" s="13"/>
      <c r="I735" s="21"/>
      <c r="J735" s="5"/>
      <c r="K735" s="5"/>
      <c r="L735" s="5"/>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row>
    <row r="736" ht="12.75" customHeight="1">
      <c r="A736" s="18"/>
      <c r="B736" s="13"/>
      <c r="C736" s="13"/>
      <c r="D736" s="13"/>
      <c r="E736" s="13"/>
      <c r="F736" s="19"/>
      <c r="G736" s="20"/>
      <c r="H736" s="13"/>
      <c r="I736" s="21"/>
      <c r="J736" s="5"/>
      <c r="K736" s="5"/>
      <c r="L736" s="5"/>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row>
    <row r="737" ht="12.75" customHeight="1">
      <c r="A737" s="18"/>
      <c r="B737" s="13"/>
      <c r="C737" s="13"/>
      <c r="D737" s="13"/>
      <c r="E737" s="13"/>
      <c r="F737" s="19"/>
      <c r="G737" s="20"/>
      <c r="H737" s="13"/>
      <c r="I737" s="21"/>
      <c r="J737" s="5"/>
      <c r="K737" s="5"/>
      <c r="L737" s="5"/>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row>
    <row r="738" ht="12.75" customHeight="1">
      <c r="A738" s="18"/>
      <c r="B738" s="13"/>
      <c r="C738" s="13"/>
      <c r="D738" s="13"/>
      <c r="E738" s="13"/>
      <c r="F738" s="19"/>
      <c r="G738" s="20"/>
      <c r="H738" s="13"/>
      <c r="I738" s="21"/>
      <c r="J738" s="5"/>
      <c r="K738" s="5"/>
      <c r="L738" s="5"/>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row>
    <row r="739" ht="12.75" customHeight="1">
      <c r="A739" s="18"/>
      <c r="B739" s="13"/>
      <c r="C739" s="13"/>
      <c r="D739" s="13"/>
      <c r="E739" s="13"/>
      <c r="F739" s="19"/>
      <c r="G739" s="20"/>
      <c r="H739" s="13"/>
      <c r="I739" s="21"/>
      <c r="J739" s="5"/>
      <c r="K739" s="5"/>
      <c r="L739" s="5"/>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row>
    <row r="740" ht="12.75" customHeight="1">
      <c r="A740" s="18"/>
      <c r="B740" s="13"/>
      <c r="C740" s="13"/>
      <c r="D740" s="13"/>
      <c r="E740" s="13"/>
      <c r="F740" s="19"/>
      <c r="G740" s="20"/>
      <c r="H740" s="13"/>
      <c r="I740" s="21"/>
      <c r="J740" s="5"/>
      <c r="K740" s="5"/>
      <c r="L740" s="5"/>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row>
    <row r="741" ht="12.75" customHeight="1">
      <c r="A741" s="18"/>
      <c r="B741" s="13"/>
      <c r="C741" s="13"/>
      <c r="D741" s="13"/>
      <c r="E741" s="13"/>
      <c r="F741" s="19"/>
      <c r="G741" s="20"/>
      <c r="H741" s="13"/>
      <c r="I741" s="21"/>
      <c r="J741" s="5"/>
      <c r="K741" s="5"/>
      <c r="L741" s="5"/>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row>
    <row r="742" ht="12.75" customHeight="1">
      <c r="A742" s="18"/>
      <c r="B742" s="13"/>
      <c r="C742" s="13"/>
      <c r="D742" s="13"/>
      <c r="E742" s="13"/>
      <c r="F742" s="19"/>
      <c r="G742" s="20"/>
      <c r="H742" s="13"/>
      <c r="I742" s="21"/>
      <c r="J742" s="5"/>
      <c r="K742" s="5"/>
      <c r="L742" s="5"/>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row>
    <row r="743" ht="12.75" customHeight="1">
      <c r="A743" s="18"/>
      <c r="B743" s="13"/>
      <c r="C743" s="13"/>
      <c r="D743" s="13"/>
      <c r="E743" s="13"/>
      <c r="F743" s="19"/>
      <c r="G743" s="20"/>
      <c r="H743" s="13"/>
      <c r="I743" s="21"/>
      <c r="J743" s="5"/>
      <c r="K743" s="5"/>
      <c r="L743" s="5"/>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row>
    <row r="744" ht="12.75" customHeight="1">
      <c r="A744" s="18"/>
      <c r="B744" s="13"/>
      <c r="C744" s="13"/>
      <c r="D744" s="13"/>
      <c r="E744" s="13"/>
      <c r="F744" s="19"/>
      <c r="G744" s="20"/>
      <c r="H744" s="13"/>
      <c r="I744" s="21"/>
      <c r="J744" s="5"/>
      <c r="K744" s="5"/>
      <c r="L744" s="5"/>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row>
    <row r="745" ht="12.75" customHeight="1">
      <c r="A745" s="18"/>
      <c r="B745" s="13"/>
      <c r="C745" s="13"/>
      <c r="D745" s="13"/>
      <c r="E745" s="13"/>
      <c r="F745" s="19"/>
      <c r="G745" s="20"/>
      <c r="H745" s="13"/>
      <c r="I745" s="21"/>
      <c r="J745" s="5"/>
      <c r="K745" s="5"/>
      <c r="L745" s="5"/>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row>
    <row r="746" ht="12.75" customHeight="1">
      <c r="A746" s="18"/>
      <c r="B746" s="13"/>
      <c r="C746" s="13"/>
      <c r="D746" s="13"/>
      <c r="E746" s="13"/>
      <c r="F746" s="19"/>
      <c r="G746" s="20"/>
      <c r="H746" s="13"/>
      <c r="I746" s="21"/>
      <c r="J746" s="5"/>
      <c r="K746" s="5"/>
      <c r="L746" s="5"/>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row>
    <row r="747" ht="12.75" customHeight="1">
      <c r="A747" s="18"/>
      <c r="B747" s="13"/>
      <c r="C747" s="13"/>
      <c r="D747" s="13"/>
      <c r="E747" s="13"/>
      <c r="F747" s="19"/>
      <c r="G747" s="20"/>
      <c r="H747" s="13"/>
      <c r="I747" s="21"/>
      <c r="J747" s="5"/>
      <c r="K747" s="5"/>
      <c r="L747" s="5"/>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row>
    <row r="748" ht="12.75" customHeight="1">
      <c r="A748" s="18"/>
      <c r="B748" s="13"/>
      <c r="C748" s="13"/>
      <c r="D748" s="13"/>
      <c r="E748" s="13"/>
      <c r="F748" s="19"/>
      <c r="G748" s="20"/>
      <c r="H748" s="13"/>
      <c r="I748" s="21"/>
      <c r="J748" s="5"/>
      <c r="K748" s="5"/>
      <c r="L748" s="5"/>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row>
    <row r="749" ht="12.75" customHeight="1">
      <c r="A749" s="18"/>
      <c r="B749" s="13"/>
      <c r="C749" s="13"/>
      <c r="D749" s="13"/>
      <c r="E749" s="13"/>
      <c r="F749" s="19"/>
      <c r="G749" s="20"/>
      <c r="H749" s="13"/>
      <c r="I749" s="21"/>
      <c r="J749" s="5"/>
      <c r="K749" s="5"/>
      <c r="L749" s="5"/>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row>
    <row r="750" ht="12.75" customHeight="1">
      <c r="A750" s="18"/>
      <c r="B750" s="13"/>
      <c r="C750" s="13"/>
      <c r="D750" s="13"/>
      <c r="E750" s="13"/>
      <c r="F750" s="19"/>
      <c r="G750" s="20"/>
      <c r="H750" s="13"/>
      <c r="I750" s="21"/>
      <c r="J750" s="5"/>
      <c r="K750" s="5"/>
      <c r="L750" s="5"/>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row>
    <row r="751" ht="12.75" customHeight="1">
      <c r="A751" s="18"/>
      <c r="B751" s="13"/>
      <c r="C751" s="13"/>
      <c r="D751" s="13"/>
      <c r="E751" s="13"/>
      <c r="F751" s="19"/>
      <c r="G751" s="20"/>
      <c r="H751" s="13"/>
      <c r="I751" s="21"/>
      <c r="J751" s="5"/>
      <c r="K751" s="5"/>
      <c r="L751" s="5"/>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row>
    <row r="752" ht="12.75" customHeight="1">
      <c r="A752" s="18"/>
      <c r="B752" s="13"/>
      <c r="C752" s="13"/>
      <c r="D752" s="13"/>
      <c r="E752" s="13"/>
      <c r="F752" s="19"/>
      <c r="G752" s="20"/>
      <c r="H752" s="13"/>
      <c r="I752" s="21"/>
      <c r="J752" s="5"/>
      <c r="K752" s="5"/>
      <c r="L752" s="5"/>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row>
    <row r="753" ht="12.75" customHeight="1">
      <c r="A753" s="18"/>
      <c r="B753" s="13"/>
      <c r="C753" s="13"/>
      <c r="D753" s="13"/>
      <c r="E753" s="13"/>
      <c r="F753" s="19"/>
      <c r="G753" s="20"/>
      <c r="H753" s="13"/>
      <c r="I753" s="21"/>
      <c r="J753" s="5"/>
      <c r="K753" s="5"/>
      <c r="L753" s="5"/>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row>
    <row r="754" ht="12.75" customHeight="1">
      <c r="A754" s="18"/>
      <c r="B754" s="13"/>
      <c r="C754" s="13"/>
      <c r="D754" s="13"/>
      <c r="E754" s="13"/>
      <c r="F754" s="19"/>
      <c r="G754" s="20"/>
      <c r="H754" s="13"/>
      <c r="I754" s="21"/>
      <c r="J754" s="5"/>
      <c r="K754" s="5"/>
      <c r="L754" s="5"/>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row>
    <row r="755" ht="12.75" customHeight="1">
      <c r="A755" s="18"/>
      <c r="B755" s="13"/>
      <c r="C755" s="13"/>
      <c r="D755" s="13"/>
      <c r="E755" s="13"/>
      <c r="F755" s="19"/>
      <c r="G755" s="20"/>
      <c r="H755" s="13"/>
      <c r="I755" s="21"/>
      <c r="J755" s="5"/>
      <c r="K755" s="5"/>
      <c r="L755" s="5"/>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row>
    <row r="756" ht="12.75" customHeight="1">
      <c r="A756" s="18"/>
      <c r="B756" s="13"/>
      <c r="C756" s="13"/>
      <c r="D756" s="13"/>
      <c r="E756" s="13"/>
      <c r="F756" s="19"/>
      <c r="G756" s="20"/>
      <c r="H756" s="13"/>
      <c r="I756" s="21"/>
      <c r="J756" s="5"/>
      <c r="K756" s="5"/>
      <c r="L756" s="5"/>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row>
    <row r="757" ht="12.75" customHeight="1">
      <c r="A757" s="18"/>
      <c r="B757" s="13"/>
      <c r="C757" s="13"/>
      <c r="D757" s="13"/>
      <c r="E757" s="13"/>
      <c r="F757" s="19"/>
      <c r="G757" s="20"/>
      <c r="H757" s="13"/>
      <c r="I757" s="21"/>
      <c r="J757" s="5"/>
      <c r="K757" s="5"/>
      <c r="L757" s="5"/>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row>
    <row r="758" ht="12.75" customHeight="1">
      <c r="A758" s="18"/>
      <c r="B758" s="13"/>
      <c r="C758" s="13"/>
      <c r="D758" s="13"/>
      <c r="E758" s="13"/>
      <c r="F758" s="19"/>
      <c r="G758" s="20"/>
      <c r="H758" s="13"/>
      <c r="I758" s="21"/>
      <c r="J758" s="5"/>
      <c r="K758" s="5"/>
      <c r="L758" s="5"/>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row>
    <row r="759" ht="12.75" customHeight="1">
      <c r="A759" s="18"/>
      <c r="B759" s="13"/>
      <c r="C759" s="13"/>
      <c r="D759" s="13"/>
      <c r="E759" s="13"/>
      <c r="F759" s="19"/>
      <c r="G759" s="20"/>
      <c r="H759" s="13"/>
      <c r="I759" s="21"/>
      <c r="J759" s="5"/>
      <c r="K759" s="5"/>
      <c r="L759" s="5"/>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row>
    <row r="760" ht="12.75" customHeight="1">
      <c r="A760" s="18"/>
      <c r="B760" s="13"/>
      <c r="C760" s="13"/>
      <c r="D760" s="13"/>
      <c r="E760" s="13"/>
      <c r="F760" s="19"/>
      <c r="G760" s="20"/>
      <c r="H760" s="13"/>
      <c r="I760" s="21"/>
      <c r="J760" s="5"/>
      <c r="K760" s="5"/>
      <c r="L760" s="5"/>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row>
    <row r="761" ht="12.75" customHeight="1">
      <c r="A761" s="18"/>
      <c r="B761" s="13"/>
      <c r="C761" s="13"/>
      <c r="D761" s="13"/>
      <c r="E761" s="13"/>
      <c r="F761" s="19"/>
      <c r="G761" s="20"/>
      <c r="H761" s="13"/>
      <c r="I761" s="21"/>
      <c r="J761" s="5"/>
      <c r="K761" s="5"/>
      <c r="L761" s="5"/>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row>
    <row r="762" ht="12.75" customHeight="1">
      <c r="A762" s="18"/>
      <c r="B762" s="13"/>
      <c r="C762" s="13"/>
      <c r="D762" s="13"/>
      <c r="E762" s="13"/>
      <c r="F762" s="19"/>
      <c r="G762" s="20"/>
      <c r="H762" s="13"/>
      <c r="I762" s="21"/>
      <c r="J762" s="5"/>
      <c r="K762" s="5"/>
      <c r="L762" s="5"/>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row>
    <row r="763" ht="12.75" customHeight="1">
      <c r="A763" s="18"/>
      <c r="B763" s="13"/>
      <c r="C763" s="13"/>
      <c r="D763" s="13"/>
      <c r="E763" s="13"/>
      <c r="F763" s="19"/>
      <c r="G763" s="20"/>
      <c r="H763" s="13"/>
      <c r="I763" s="21"/>
      <c r="J763" s="5"/>
      <c r="K763" s="5"/>
      <c r="L763" s="5"/>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row>
    <row r="764" ht="12.75" customHeight="1">
      <c r="A764" s="18"/>
      <c r="B764" s="13"/>
      <c r="C764" s="13"/>
      <c r="D764" s="13"/>
      <c r="E764" s="13"/>
      <c r="F764" s="19"/>
      <c r="G764" s="20"/>
      <c r="H764" s="13"/>
      <c r="I764" s="21"/>
      <c r="J764" s="5"/>
      <c r="K764" s="5"/>
      <c r="L764" s="5"/>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row>
    <row r="765" ht="12.75" customHeight="1">
      <c r="A765" s="18"/>
      <c r="B765" s="13"/>
      <c r="C765" s="13"/>
      <c r="D765" s="13"/>
      <c r="E765" s="13"/>
      <c r="F765" s="19"/>
      <c r="G765" s="20"/>
      <c r="H765" s="13"/>
      <c r="I765" s="21"/>
      <c r="J765" s="5"/>
      <c r="K765" s="5"/>
      <c r="L765" s="5"/>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row>
    <row r="766" ht="12.75" customHeight="1">
      <c r="A766" s="18"/>
      <c r="B766" s="13"/>
      <c r="C766" s="13"/>
      <c r="D766" s="13"/>
      <c r="E766" s="13"/>
      <c r="F766" s="19"/>
      <c r="G766" s="20"/>
      <c r="H766" s="13"/>
      <c r="I766" s="21"/>
      <c r="J766" s="5"/>
      <c r="K766" s="5"/>
      <c r="L766" s="5"/>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row>
    <row r="767" ht="12.75" customHeight="1">
      <c r="A767" s="18"/>
      <c r="B767" s="13"/>
      <c r="C767" s="13"/>
      <c r="D767" s="13"/>
      <c r="E767" s="13"/>
      <c r="F767" s="19"/>
      <c r="G767" s="20"/>
      <c r="H767" s="13"/>
      <c r="I767" s="21"/>
      <c r="J767" s="5"/>
      <c r="K767" s="5"/>
      <c r="L767" s="5"/>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row>
    <row r="768" ht="12.75" customHeight="1">
      <c r="A768" s="18"/>
      <c r="B768" s="13"/>
      <c r="C768" s="13"/>
      <c r="D768" s="13"/>
      <c r="E768" s="13"/>
      <c r="F768" s="19"/>
      <c r="G768" s="20"/>
      <c r="H768" s="13"/>
      <c r="I768" s="21"/>
      <c r="J768" s="5"/>
      <c r="K768" s="5"/>
      <c r="L768" s="5"/>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row>
    <row r="769" ht="12.75" customHeight="1">
      <c r="A769" s="18"/>
      <c r="B769" s="13"/>
      <c r="C769" s="13"/>
      <c r="D769" s="13"/>
      <c r="E769" s="13"/>
      <c r="F769" s="19"/>
      <c r="G769" s="20"/>
      <c r="H769" s="13"/>
      <c r="I769" s="21"/>
      <c r="J769" s="5"/>
      <c r="K769" s="5"/>
      <c r="L769" s="5"/>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row>
    <row r="770" ht="12.75" customHeight="1">
      <c r="A770" s="18"/>
      <c r="B770" s="13"/>
      <c r="C770" s="13"/>
      <c r="D770" s="13"/>
      <c r="E770" s="13"/>
      <c r="F770" s="19"/>
      <c r="G770" s="20"/>
      <c r="H770" s="13"/>
      <c r="I770" s="21"/>
      <c r="J770" s="5"/>
      <c r="K770" s="5"/>
      <c r="L770" s="5"/>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row>
    <row r="771" ht="12.75" customHeight="1">
      <c r="A771" s="18"/>
      <c r="B771" s="13"/>
      <c r="C771" s="13"/>
      <c r="D771" s="13"/>
      <c r="E771" s="13"/>
      <c r="F771" s="19"/>
      <c r="G771" s="20"/>
      <c r="H771" s="13"/>
      <c r="I771" s="21"/>
      <c r="J771" s="5"/>
      <c r="K771" s="5"/>
      <c r="L771" s="5"/>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row>
    <row r="772" ht="12.75" customHeight="1">
      <c r="A772" s="18"/>
      <c r="B772" s="13"/>
      <c r="C772" s="13"/>
      <c r="D772" s="13"/>
      <c r="E772" s="13"/>
      <c r="F772" s="19"/>
      <c r="G772" s="20"/>
      <c r="H772" s="13"/>
      <c r="I772" s="21"/>
      <c r="J772" s="5"/>
      <c r="K772" s="5"/>
      <c r="L772" s="5"/>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row>
    <row r="773" ht="12.75" customHeight="1">
      <c r="A773" s="18"/>
      <c r="B773" s="13"/>
      <c r="C773" s="13"/>
      <c r="D773" s="13"/>
      <c r="E773" s="13"/>
      <c r="F773" s="19"/>
      <c r="G773" s="20"/>
      <c r="H773" s="13"/>
      <c r="I773" s="21"/>
      <c r="J773" s="5"/>
      <c r="K773" s="5"/>
      <c r="L773" s="5"/>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row>
    <row r="774" ht="12.75" customHeight="1">
      <c r="A774" s="18"/>
      <c r="B774" s="13"/>
      <c r="C774" s="13"/>
      <c r="D774" s="13"/>
      <c r="E774" s="13"/>
      <c r="F774" s="19"/>
      <c r="G774" s="20"/>
      <c r="H774" s="13"/>
      <c r="I774" s="21"/>
      <c r="J774" s="5"/>
      <c r="K774" s="5"/>
      <c r="L774" s="5"/>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row>
    <row r="775" ht="12.75" customHeight="1">
      <c r="A775" s="18"/>
      <c r="B775" s="13"/>
      <c r="C775" s="13"/>
      <c r="D775" s="13"/>
      <c r="E775" s="13"/>
      <c r="F775" s="19"/>
      <c r="G775" s="20"/>
      <c r="H775" s="13"/>
      <c r="I775" s="21"/>
      <c r="J775" s="5"/>
      <c r="K775" s="5"/>
      <c r="L775" s="5"/>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row>
    <row r="776" ht="12.75" customHeight="1">
      <c r="A776" s="18"/>
      <c r="B776" s="13"/>
      <c r="C776" s="13"/>
      <c r="D776" s="13"/>
      <c r="E776" s="13"/>
      <c r="F776" s="19"/>
      <c r="G776" s="20"/>
      <c r="H776" s="13"/>
      <c r="I776" s="21"/>
      <c r="J776" s="5"/>
      <c r="K776" s="5"/>
      <c r="L776" s="5"/>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row>
    <row r="777" ht="12.75" customHeight="1">
      <c r="A777" s="18"/>
      <c r="B777" s="13"/>
      <c r="C777" s="13"/>
      <c r="D777" s="13"/>
      <c r="E777" s="13"/>
      <c r="F777" s="19"/>
      <c r="G777" s="20"/>
      <c r="H777" s="13"/>
      <c r="I777" s="21"/>
      <c r="J777" s="5"/>
      <c r="K777" s="5"/>
      <c r="L777" s="5"/>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row>
    <row r="778" ht="12.75" customHeight="1">
      <c r="A778" s="18"/>
      <c r="B778" s="13"/>
      <c r="C778" s="13"/>
      <c r="D778" s="13"/>
      <c r="E778" s="13"/>
      <c r="F778" s="19"/>
      <c r="G778" s="20"/>
      <c r="H778" s="13"/>
      <c r="I778" s="21"/>
      <c r="J778" s="5"/>
      <c r="K778" s="5"/>
      <c r="L778" s="5"/>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row>
    <row r="779" ht="12.75" customHeight="1">
      <c r="A779" s="18"/>
      <c r="B779" s="13"/>
      <c r="C779" s="13"/>
      <c r="D779" s="13"/>
      <c r="E779" s="13"/>
      <c r="F779" s="19"/>
      <c r="G779" s="20"/>
      <c r="H779" s="13"/>
      <c r="I779" s="21"/>
      <c r="J779" s="5"/>
      <c r="K779" s="5"/>
      <c r="L779" s="5"/>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row>
    <row r="780" ht="12.75" customHeight="1">
      <c r="A780" s="18"/>
      <c r="B780" s="13"/>
      <c r="C780" s="13"/>
      <c r="D780" s="13"/>
      <c r="E780" s="13"/>
      <c r="F780" s="19"/>
      <c r="G780" s="20"/>
      <c r="H780" s="13"/>
      <c r="I780" s="21"/>
      <c r="J780" s="5"/>
      <c r="K780" s="5"/>
      <c r="L780" s="5"/>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row>
    <row r="781" ht="12.75" customHeight="1">
      <c r="A781" s="18"/>
      <c r="B781" s="13"/>
      <c r="C781" s="13"/>
      <c r="D781" s="13"/>
      <c r="E781" s="13"/>
      <c r="F781" s="19"/>
      <c r="G781" s="20"/>
      <c r="H781" s="13"/>
      <c r="I781" s="21"/>
      <c r="J781" s="5"/>
      <c r="K781" s="5"/>
      <c r="L781" s="5"/>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row>
    <row r="782" ht="12.75" customHeight="1">
      <c r="A782" s="18"/>
      <c r="B782" s="13"/>
      <c r="C782" s="13"/>
      <c r="D782" s="13"/>
      <c r="E782" s="13"/>
      <c r="F782" s="19"/>
      <c r="G782" s="20"/>
      <c r="H782" s="13"/>
      <c r="I782" s="21"/>
      <c r="J782" s="5"/>
      <c r="K782" s="5"/>
      <c r="L782" s="5"/>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row>
    <row r="783" ht="12.75" customHeight="1">
      <c r="A783" s="18"/>
      <c r="B783" s="13"/>
      <c r="C783" s="13"/>
      <c r="D783" s="13"/>
      <c r="E783" s="13"/>
      <c r="F783" s="19"/>
      <c r="G783" s="20"/>
      <c r="H783" s="13"/>
      <c r="I783" s="21"/>
      <c r="J783" s="5"/>
      <c r="K783" s="5"/>
      <c r="L783" s="5"/>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row>
    <row r="784" ht="12.75" customHeight="1">
      <c r="A784" s="18"/>
      <c r="B784" s="13"/>
      <c r="C784" s="13"/>
      <c r="D784" s="13"/>
      <c r="E784" s="13"/>
      <c r="F784" s="19"/>
      <c r="G784" s="20"/>
      <c r="H784" s="13"/>
      <c r="I784" s="21"/>
      <c r="J784" s="5"/>
      <c r="K784" s="5"/>
      <c r="L784" s="5"/>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row>
    <row r="785" ht="12.75" customHeight="1">
      <c r="A785" s="18"/>
      <c r="B785" s="13"/>
      <c r="C785" s="13"/>
      <c r="D785" s="13"/>
      <c r="E785" s="13"/>
      <c r="F785" s="19"/>
      <c r="G785" s="20"/>
      <c r="H785" s="13"/>
      <c r="I785" s="21"/>
      <c r="J785" s="5"/>
      <c r="K785" s="5"/>
      <c r="L785" s="5"/>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row>
    <row r="786" ht="12.75" customHeight="1">
      <c r="A786" s="18"/>
      <c r="B786" s="13"/>
      <c r="C786" s="13"/>
      <c r="D786" s="13"/>
      <c r="E786" s="13"/>
      <c r="F786" s="19"/>
      <c r="G786" s="20"/>
      <c r="H786" s="13"/>
      <c r="I786" s="21"/>
      <c r="J786" s="5"/>
      <c r="K786" s="5"/>
      <c r="L786" s="5"/>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row>
    <row r="787" ht="12.75" customHeight="1">
      <c r="A787" s="18"/>
      <c r="B787" s="13"/>
      <c r="C787" s="13"/>
      <c r="D787" s="13"/>
      <c r="E787" s="13"/>
      <c r="F787" s="19"/>
      <c r="G787" s="20"/>
      <c r="H787" s="13"/>
      <c r="I787" s="21"/>
      <c r="J787" s="5"/>
      <c r="K787" s="5"/>
      <c r="L787" s="5"/>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row>
    <row r="788" ht="12.75" customHeight="1">
      <c r="A788" s="18"/>
      <c r="B788" s="13"/>
      <c r="C788" s="13"/>
      <c r="D788" s="13"/>
      <c r="E788" s="13"/>
      <c r="F788" s="19"/>
      <c r="G788" s="20"/>
      <c r="H788" s="13"/>
      <c r="I788" s="21"/>
      <c r="J788" s="5"/>
      <c r="K788" s="5"/>
      <c r="L788" s="5"/>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row>
    <row r="789" ht="12.75" customHeight="1">
      <c r="A789" s="18"/>
      <c r="B789" s="13"/>
      <c r="C789" s="13"/>
      <c r="D789" s="13"/>
      <c r="E789" s="13"/>
      <c r="F789" s="19"/>
      <c r="G789" s="20"/>
      <c r="H789" s="13"/>
      <c r="I789" s="21"/>
      <c r="J789" s="5"/>
      <c r="K789" s="5"/>
      <c r="L789" s="5"/>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row>
    <row r="790" ht="12.75" customHeight="1">
      <c r="A790" s="18"/>
      <c r="B790" s="13"/>
      <c r="C790" s="13"/>
      <c r="D790" s="13"/>
      <c r="E790" s="13"/>
      <c r="F790" s="19"/>
      <c r="G790" s="20"/>
      <c r="H790" s="13"/>
      <c r="I790" s="21"/>
      <c r="J790" s="5"/>
      <c r="K790" s="5"/>
      <c r="L790" s="5"/>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row>
    <row r="791" ht="12.75" customHeight="1">
      <c r="A791" s="18"/>
      <c r="B791" s="13"/>
      <c r="C791" s="13"/>
      <c r="D791" s="13"/>
      <c r="E791" s="13"/>
      <c r="F791" s="19"/>
      <c r="G791" s="20"/>
      <c r="H791" s="13"/>
      <c r="I791" s="21"/>
      <c r="J791" s="5"/>
      <c r="K791" s="5"/>
      <c r="L791" s="5"/>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row>
    <row r="792" ht="12.75" customHeight="1">
      <c r="A792" s="18"/>
      <c r="B792" s="13"/>
      <c r="C792" s="13"/>
      <c r="D792" s="13"/>
      <c r="E792" s="13"/>
      <c r="F792" s="19"/>
      <c r="G792" s="20"/>
      <c r="H792" s="13"/>
      <c r="I792" s="21"/>
      <c r="J792" s="5"/>
      <c r="K792" s="5"/>
      <c r="L792" s="5"/>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row>
    <row r="793" ht="12.75" customHeight="1">
      <c r="A793" s="18"/>
      <c r="B793" s="13"/>
      <c r="C793" s="13"/>
      <c r="D793" s="13"/>
      <c r="E793" s="13"/>
      <c r="F793" s="19"/>
      <c r="G793" s="20"/>
      <c r="H793" s="13"/>
      <c r="I793" s="21"/>
      <c r="J793" s="5"/>
      <c r="K793" s="5"/>
      <c r="L793" s="5"/>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row>
    <row r="794" ht="12.75" customHeight="1">
      <c r="A794" s="18"/>
      <c r="B794" s="13"/>
      <c r="C794" s="13"/>
      <c r="D794" s="13"/>
      <c r="E794" s="13"/>
      <c r="F794" s="19"/>
      <c r="G794" s="20"/>
      <c r="H794" s="13"/>
      <c r="I794" s="21"/>
      <c r="J794" s="5"/>
      <c r="K794" s="5"/>
      <c r="L794" s="5"/>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row>
    <row r="795" ht="12.75" customHeight="1">
      <c r="A795" s="18"/>
      <c r="B795" s="13"/>
      <c r="C795" s="13"/>
      <c r="D795" s="13"/>
      <c r="E795" s="13"/>
      <c r="F795" s="19"/>
      <c r="G795" s="20"/>
      <c r="H795" s="13"/>
      <c r="I795" s="21"/>
      <c r="J795" s="5"/>
      <c r="K795" s="5"/>
      <c r="L795" s="5"/>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row>
    <row r="796" ht="12.75" customHeight="1">
      <c r="A796" s="18"/>
      <c r="B796" s="13"/>
      <c r="C796" s="13"/>
      <c r="D796" s="13"/>
      <c r="E796" s="13"/>
      <c r="F796" s="19"/>
      <c r="G796" s="20"/>
      <c r="H796" s="13"/>
      <c r="I796" s="21"/>
      <c r="J796" s="5"/>
      <c r="K796" s="5"/>
      <c r="L796" s="5"/>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row>
    <row r="797" ht="12.75" customHeight="1">
      <c r="A797" s="18"/>
      <c r="B797" s="13"/>
      <c r="C797" s="13"/>
      <c r="D797" s="13"/>
      <c r="E797" s="13"/>
      <c r="F797" s="19"/>
      <c r="G797" s="20"/>
      <c r="H797" s="13"/>
      <c r="I797" s="21"/>
      <c r="J797" s="5"/>
      <c r="K797" s="5"/>
      <c r="L797" s="5"/>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row>
    <row r="798" ht="12.75" customHeight="1">
      <c r="A798" s="18"/>
      <c r="B798" s="13"/>
      <c r="C798" s="13"/>
      <c r="D798" s="13"/>
      <c r="E798" s="13"/>
      <c r="F798" s="19"/>
      <c r="G798" s="20"/>
      <c r="H798" s="13"/>
      <c r="I798" s="21"/>
      <c r="J798" s="5"/>
      <c r="K798" s="5"/>
      <c r="L798" s="5"/>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row>
    <row r="799" ht="12.75" customHeight="1">
      <c r="A799" s="18"/>
      <c r="B799" s="13"/>
      <c r="C799" s="13"/>
      <c r="D799" s="13"/>
      <c r="E799" s="13"/>
      <c r="F799" s="19"/>
      <c r="G799" s="20"/>
      <c r="H799" s="13"/>
      <c r="I799" s="21"/>
      <c r="J799" s="5"/>
      <c r="K799" s="5"/>
      <c r="L799" s="5"/>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row>
    <row r="800" ht="12.75" customHeight="1">
      <c r="A800" s="18"/>
      <c r="B800" s="13"/>
      <c r="C800" s="13"/>
      <c r="D800" s="13"/>
      <c r="E800" s="13"/>
      <c r="F800" s="19"/>
      <c r="G800" s="20"/>
      <c r="H800" s="13"/>
      <c r="I800" s="21"/>
      <c r="J800" s="5"/>
      <c r="K800" s="5"/>
      <c r="L800" s="5"/>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row>
    <row r="801" ht="12.75" customHeight="1">
      <c r="A801" s="18"/>
      <c r="B801" s="13"/>
      <c r="C801" s="13"/>
      <c r="D801" s="13"/>
      <c r="E801" s="13"/>
      <c r="F801" s="19"/>
      <c r="G801" s="20"/>
      <c r="H801" s="13"/>
      <c r="I801" s="21"/>
      <c r="J801" s="5"/>
      <c r="K801" s="5"/>
      <c r="L801" s="5"/>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row>
    <row r="802" ht="12.75" customHeight="1">
      <c r="A802" s="18"/>
      <c r="B802" s="13"/>
      <c r="C802" s="13"/>
      <c r="D802" s="13"/>
      <c r="E802" s="13"/>
      <c r="F802" s="19"/>
      <c r="G802" s="20"/>
      <c r="H802" s="13"/>
      <c r="I802" s="21"/>
      <c r="J802" s="5"/>
      <c r="K802" s="5"/>
      <c r="L802" s="5"/>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row>
    <row r="803" ht="12.75" customHeight="1">
      <c r="A803" s="18"/>
      <c r="B803" s="13"/>
      <c r="C803" s="13"/>
      <c r="D803" s="13"/>
      <c r="E803" s="13"/>
      <c r="F803" s="19"/>
      <c r="G803" s="20"/>
      <c r="H803" s="13"/>
      <c r="I803" s="21"/>
      <c r="J803" s="5"/>
      <c r="K803" s="5"/>
      <c r="L803" s="5"/>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row>
    <row r="804" ht="12.75" customHeight="1">
      <c r="A804" s="18"/>
      <c r="B804" s="13"/>
      <c r="C804" s="13"/>
      <c r="D804" s="13"/>
      <c r="E804" s="13"/>
      <c r="F804" s="19"/>
      <c r="G804" s="20"/>
      <c r="H804" s="13"/>
      <c r="I804" s="21"/>
      <c r="J804" s="5"/>
      <c r="K804" s="5"/>
      <c r="L804" s="5"/>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row>
    <row r="805" ht="12.75" customHeight="1">
      <c r="A805" s="18"/>
      <c r="B805" s="13"/>
      <c r="C805" s="13"/>
      <c r="D805" s="13"/>
      <c r="E805" s="13"/>
      <c r="F805" s="19"/>
      <c r="G805" s="20"/>
      <c r="H805" s="13"/>
      <c r="I805" s="21"/>
      <c r="J805" s="5"/>
      <c r="K805" s="5"/>
      <c r="L805" s="5"/>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row>
    <row r="806" ht="12.75" customHeight="1">
      <c r="A806" s="18"/>
      <c r="B806" s="13"/>
      <c r="C806" s="13"/>
      <c r="D806" s="13"/>
      <c r="E806" s="13"/>
      <c r="F806" s="19"/>
      <c r="G806" s="20"/>
      <c r="H806" s="13"/>
      <c r="I806" s="21"/>
      <c r="J806" s="5"/>
      <c r="K806" s="5"/>
      <c r="L806" s="5"/>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row>
    <row r="807" ht="12.75" customHeight="1">
      <c r="A807" s="18"/>
      <c r="B807" s="13"/>
      <c r="C807" s="13"/>
      <c r="D807" s="13"/>
      <c r="E807" s="13"/>
      <c r="F807" s="19"/>
      <c r="G807" s="20"/>
      <c r="H807" s="13"/>
      <c r="I807" s="21"/>
      <c r="J807" s="5"/>
      <c r="K807" s="5"/>
      <c r="L807" s="5"/>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row>
    <row r="808" ht="12.75" customHeight="1">
      <c r="A808" s="18"/>
      <c r="B808" s="13"/>
      <c r="C808" s="13"/>
      <c r="D808" s="13"/>
      <c r="E808" s="13"/>
      <c r="F808" s="19"/>
      <c r="G808" s="20"/>
      <c r="H808" s="13"/>
      <c r="I808" s="21"/>
      <c r="J808" s="5"/>
      <c r="K808" s="5"/>
      <c r="L808" s="5"/>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row>
    <row r="809" ht="12.75" customHeight="1">
      <c r="A809" s="18"/>
      <c r="B809" s="13"/>
      <c r="C809" s="13"/>
      <c r="D809" s="13"/>
      <c r="E809" s="13"/>
      <c r="F809" s="19"/>
      <c r="G809" s="20"/>
      <c r="H809" s="13"/>
      <c r="I809" s="21"/>
      <c r="J809" s="5"/>
      <c r="K809" s="5"/>
      <c r="L809" s="5"/>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row>
    <row r="810" ht="12.75" customHeight="1">
      <c r="A810" s="18"/>
      <c r="B810" s="13"/>
      <c r="C810" s="13"/>
      <c r="D810" s="13"/>
      <c r="E810" s="13"/>
      <c r="F810" s="19"/>
      <c r="G810" s="20"/>
      <c r="H810" s="13"/>
      <c r="I810" s="21"/>
      <c r="J810" s="5"/>
      <c r="K810" s="5"/>
      <c r="L810" s="5"/>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row>
    <row r="811" ht="12.75" customHeight="1">
      <c r="A811" s="18"/>
      <c r="B811" s="13"/>
      <c r="C811" s="13"/>
      <c r="D811" s="13"/>
      <c r="E811" s="13"/>
      <c r="F811" s="19"/>
      <c r="G811" s="20"/>
      <c r="H811" s="13"/>
      <c r="I811" s="21"/>
      <c r="J811" s="5"/>
      <c r="K811" s="5"/>
      <c r="L811" s="5"/>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row>
    <row r="812" ht="12.75" customHeight="1">
      <c r="A812" s="18"/>
      <c r="B812" s="13"/>
      <c r="C812" s="13"/>
      <c r="D812" s="13"/>
      <c r="E812" s="13"/>
      <c r="F812" s="19"/>
      <c r="G812" s="20"/>
      <c r="H812" s="13"/>
      <c r="I812" s="21"/>
      <c r="J812" s="5"/>
      <c r="K812" s="5"/>
      <c r="L812" s="5"/>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row>
    <row r="813" ht="12.75" customHeight="1">
      <c r="A813" s="18"/>
      <c r="B813" s="13"/>
      <c r="C813" s="13"/>
      <c r="D813" s="13"/>
      <c r="E813" s="13"/>
      <c r="F813" s="19"/>
      <c r="G813" s="20"/>
      <c r="H813" s="13"/>
      <c r="I813" s="21"/>
      <c r="J813" s="5"/>
      <c r="K813" s="5"/>
      <c r="L813" s="5"/>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row>
    <row r="814" ht="12.75" customHeight="1">
      <c r="A814" s="18"/>
      <c r="B814" s="13"/>
      <c r="C814" s="13"/>
      <c r="D814" s="13"/>
      <c r="E814" s="13"/>
      <c r="F814" s="19"/>
      <c r="G814" s="20"/>
      <c r="H814" s="13"/>
      <c r="I814" s="21"/>
      <c r="J814" s="5"/>
      <c r="K814" s="5"/>
      <c r="L814" s="5"/>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row>
    <row r="815" ht="12.75" customHeight="1">
      <c r="A815" s="18"/>
      <c r="B815" s="13"/>
      <c r="C815" s="13"/>
      <c r="D815" s="13"/>
      <c r="E815" s="13"/>
      <c r="F815" s="19"/>
      <c r="G815" s="20"/>
      <c r="H815" s="13"/>
      <c r="I815" s="21"/>
      <c r="J815" s="5"/>
      <c r="K815" s="5"/>
      <c r="L815" s="5"/>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row>
    <row r="816" ht="12.75" customHeight="1">
      <c r="A816" s="18"/>
      <c r="B816" s="13"/>
      <c r="C816" s="13"/>
      <c r="D816" s="13"/>
      <c r="E816" s="13"/>
      <c r="F816" s="19"/>
      <c r="G816" s="20"/>
      <c r="H816" s="13"/>
      <c r="I816" s="21"/>
      <c r="J816" s="5"/>
      <c r="K816" s="5"/>
      <c r="L816" s="5"/>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row>
    <row r="817" ht="12.75" customHeight="1">
      <c r="A817" s="18"/>
      <c r="B817" s="13"/>
      <c r="C817" s="13"/>
      <c r="D817" s="13"/>
      <c r="E817" s="13"/>
      <c r="F817" s="19"/>
      <c r="G817" s="20"/>
      <c r="H817" s="13"/>
      <c r="I817" s="21"/>
      <c r="J817" s="5"/>
      <c r="K817" s="5"/>
      <c r="L817" s="5"/>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row>
    <row r="818" ht="12.75" customHeight="1">
      <c r="A818" s="18"/>
      <c r="B818" s="13"/>
      <c r="C818" s="13"/>
      <c r="D818" s="13"/>
      <c r="E818" s="13"/>
      <c r="F818" s="19"/>
      <c r="G818" s="20"/>
      <c r="H818" s="13"/>
      <c r="I818" s="21"/>
      <c r="J818" s="5"/>
      <c r="K818" s="5"/>
      <c r="L818" s="5"/>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row>
    <row r="819" ht="12.75" customHeight="1">
      <c r="A819" s="18"/>
      <c r="B819" s="13"/>
      <c r="C819" s="13"/>
      <c r="D819" s="13"/>
      <c r="E819" s="13"/>
      <c r="F819" s="19"/>
      <c r="G819" s="20"/>
      <c r="H819" s="13"/>
      <c r="I819" s="21"/>
      <c r="J819" s="5"/>
      <c r="K819" s="5"/>
      <c r="L819" s="5"/>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row>
    <row r="820" ht="12.75" customHeight="1">
      <c r="A820" s="18"/>
      <c r="B820" s="13"/>
      <c r="C820" s="13"/>
      <c r="D820" s="13"/>
      <c r="E820" s="13"/>
      <c r="F820" s="19"/>
      <c r="G820" s="20"/>
      <c r="H820" s="13"/>
      <c r="I820" s="21"/>
      <c r="J820" s="5"/>
      <c r="K820" s="5"/>
      <c r="L820" s="5"/>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row>
    <row r="821" ht="12.75" customHeight="1">
      <c r="A821" s="18"/>
      <c r="B821" s="13"/>
      <c r="C821" s="13"/>
      <c r="D821" s="13"/>
      <c r="E821" s="13"/>
      <c r="F821" s="19"/>
      <c r="G821" s="20"/>
      <c r="H821" s="13"/>
      <c r="I821" s="21"/>
      <c r="J821" s="5"/>
      <c r="K821" s="5"/>
      <c r="L821" s="5"/>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row>
    <row r="822" ht="12.75" customHeight="1">
      <c r="A822" s="18"/>
      <c r="B822" s="13"/>
      <c r="C822" s="13"/>
      <c r="D822" s="13"/>
      <c r="E822" s="13"/>
      <c r="F822" s="19"/>
      <c r="G822" s="20"/>
      <c r="H822" s="13"/>
      <c r="I822" s="21"/>
      <c r="J822" s="5"/>
      <c r="K822" s="5"/>
      <c r="L822" s="5"/>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row>
    <row r="823" ht="12.75" customHeight="1">
      <c r="A823" s="18"/>
      <c r="B823" s="13"/>
      <c r="C823" s="13"/>
      <c r="D823" s="13"/>
      <c r="E823" s="13"/>
      <c r="F823" s="19"/>
      <c r="G823" s="20"/>
      <c r="H823" s="13"/>
      <c r="I823" s="21"/>
      <c r="J823" s="5"/>
      <c r="K823" s="5"/>
      <c r="L823" s="5"/>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row>
    <row r="824" ht="12.75" customHeight="1">
      <c r="A824" s="18"/>
      <c r="B824" s="13"/>
      <c r="C824" s="13"/>
      <c r="D824" s="13"/>
      <c r="E824" s="13"/>
      <c r="F824" s="19"/>
      <c r="G824" s="20"/>
      <c r="H824" s="13"/>
      <c r="I824" s="21"/>
      <c r="J824" s="5"/>
      <c r="K824" s="5"/>
      <c r="L824" s="5"/>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row>
    <row r="825" ht="12.75" customHeight="1">
      <c r="A825" s="18"/>
      <c r="B825" s="13"/>
      <c r="C825" s="13"/>
      <c r="D825" s="13"/>
      <c r="E825" s="13"/>
      <c r="F825" s="19"/>
      <c r="G825" s="20"/>
      <c r="H825" s="13"/>
      <c r="I825" s="21"/>
      <c r="J825" s="5"/>
      <c r="K825" s="5"/>
      <c r="L825" s="5"/>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row>
    <row r="826" ht="12.75" customHeight="1">
      <c r="A826" s="18"/>
      <c r="B826" s="13"/>
      <c r="C826" s="13"/>
      <c r="D826" s="13"/>
      <c r="E826" s="13"/>
      <c r="F826" s="19"/>
      <c r="G826" s="20"/>
      <c r="H826" s="13"/>
      <c r="I826" s="21"/>
      <c r="J826" s="5"/>
      <c r="K826" s="5"/>
      <c r="L826" s="5"/>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row>
    <row r="827" ht="12.75" customHeight="1">
      <c r="A827" s="18"/>
      <c r="B827" s="13"/>
      <c r="C827" s="13"/>
      <c r="D827" s="13"/>
      <c r="E827" s="13"/>
      <c r="F827" s="19"/>
      <c r="G827" s="20"/>
      <c r="H827" s="13"/>
      <c r="I827" s="21"/>
      <c r="J827" s="5"/>
      <c r="K827" s="5"/>
      <c r="L827" s="5"/>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row>
    <row r="828" ht="12.75" customHeight="1">
      <c r="A828" s="18"/>
      <c r="B828" s="13"/>
      <c r="C828" s="13"/>
      <c r="D828" s="13"/>
      <c r="E828" s="13"/>
      <c r="F828" s="19"/>
      <c r="G828" s="20"/>
      <c r="H828" s="13"/>
      <c r="I828" s="21"/>
      <c r="J828" s="5"/>
      <c r="K828" s="5"/>
      <c r="L828" s="5"/>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row>
    <row r="829" ht="12.75" customHeight="1">
      <c r="A829" s="18"/>
      <c r="B829" s="13"/>
      <c r="C829" s="13"/>
      <c r="D829" s="13"/>
      <c r="E829" s="13"/>
      <c r="F829" s="19"/>
      <c r="G829" s="20"/>
      <c r="H829" s="13"/>
      <c r="I829" s="21"/>
      <c r="J829" s="5"/>
      <c r="K829" s="5"/>
      <c r="L829" s="5"/>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row>
    <row r="830" ht="12.75" customHeight="1">
      <c r="A830" s="18"/>
      <c r="B830" s="13"/>
      <c r="C830" s="13"/>
      <c r="D830" s="13"/>
      <c r="E830" s="13"/>
      <c r="F830" s="19"/>
      <c r="G830" s="20"/>
      <c r="H830" s="13"/>
      <c r="I830" s="21"/>
      <c r="J830" s="5"/>
      <c r="K830" s="5"/>
      <c r="L830" s="5"/>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row>
    <row r="831" ht="12.75" customHeight="1">
      <c r="A831" s="18"/>
      <c r="B831" s="13"/>
      <c r="C831" s="13"/>
      <c r="D831" s="13"/>
      <c r="E831" s="13"/>
      <c r="F831" s="19"/>
      <c r="G831" s="20"/>
      <c r="H831" s="13"/>
      <c r="I831" s="21"/>
      <c r="J831" s="5"/>
      <c r="K831" s="5"/>
      <c r="L831" s="5"/>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row>
    <row r="832" ht="12.75" customHeight="1">
      <c r="A832" s="18"/>
      <c r="B832" s="13"/>
      <c r="C832" s="13"/>
      <c r="D832" s="13"/>
      <c r="E832" s="13"/>
      <c r="F832" s="19"/>
      <c r="G832" s="20"/>
      <c r="H832" s="13"/>
      <c r="I832" s="21"/>
      <c r="J832" s="5"/>
      <c r="K832" s="5"/>
      <c r="L832" s="5"/>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row>
    <row r="833" ht="12.75" customHeight="1">
      <c r="A833" s="18"/>
      <c r="B833" s="13"/>
      <c r="C833" s="13"/>
      <c r="D833" s="13"/>
      <c r="E833" s="13"/>
      <c r="F833" s="19"/>
      <c r="G833" s="20"/>
      <c r="H833" s="13"/>
      <c r="I833" s="21"/>
      <c r="J833" s="5"/>
      <c r="K833" s="5"/>
      <c r="L833" s="5"/>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row>
    <row r="834" ht="12.75" customHeight="1">
      <c r="A834" s="18"/>
      <c r="B834" s="13"/>
      <c r="C834" s="13"/>
      <c r="D834" s="13"/>
      <c r="E834" s="13"/>
      <c r="F834" s="19"/>
      <c r="G834" s="20"/>
      <c r="H834" s="13"/>
      <c r="I834" s="21"/>
      <c r="J834" s="5"/>
      <c r="K834" s="5"/>
      <c r="L834" s="5"/>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row>
    <row r="835" ht="12.75" customHeight="1">
      <c r="A835" s="18"/>
      <c r="B835" s="13"/>
      <c r="C835" s="13"/>
      <c r="D835" s="13"/>
      <c r="E835" s="13"/>
      <c r="F835" s="19"/>
      <c r="G835" s="20"/>
      <c r="H835" s="13"/>
      <c r="I835" s="21"/>
      <c r="J835" s="5"/>
      <c r="K835" s="5"/>
      <c r="L835" s="5"/>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row>
    <row r="836" ht="12.75" customHeight="1">
      <c r="A836" s="18"/>
      <c r="B836" s="13"/>
      <c r="C836" s="13"/>
      <c r="D836" s="13"/>
      <c r="E836" s="13"/>
      <c r="F836" s="19"/>
      <c r="G836" s="20"/>
      <c r="H836" s="13"/>
      <c r="I836" s="21"/>
      <c r="J836" s="5"/>
      <c r="K836" s="5"/>
      <c r="L836" s="5"/>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row>
    <row r="837" ht="12.75" customHeight="1">
      <c r="A837" s="18"/>
      <c r="B837" s="13"/>
      <c r="C837" s="13"/>
      <c r="D837" s="13"/>
      <c r="E837" s="13"/>
      <c r="F837" s="19"/>
      <c r="G837" s="20"/>
      <c r="H837" s="13"/>
      <c r="I837" s="21"/>
      <c r="J837" s="5"/>
      <c r="K837" s="5"/>
      <c r="L837" s="5"/>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row>
    <row r="838" ht="12.75" customHeight="1">
      <c r="A838" s="18"/>
      <c r="B838" s="13"/>
      <c r="C838" s="13"/>
      <c r="D838" s="13"/>
      <c r="E838" s="13"/>
      <c r="F838" s="19"/>
      <c r="G838" s="20"/>
      <c r="H838" s="13"/>
      <c r="I838" s="21"/>
      <c r="J838" s="5"/>
      <c r="K838" s="5"/>
      <c r="L838" s="5"/>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row>
    <row r="839" ht="12.75" customHeight="1">
      <c r="A839" s="18"/>
      <c r="B839" s="13"/>
      <c r="C839" s="13"/>
      <c r="D839" s="13"/>
      <c r="E839" s="13"/>
      <c r="F839" s="19"/>
      <c r="G839" s="20"/>
      <c r="H839" s="13"/>
      <c r="I839" s="21"/>
      <c r="J839" s="5"/>
      <c r="K839" s="5"/>
      <c r="L839" s="5"/>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row>
    <row r="840" ht="12.75" customHeight="1">
      <c r="A840" s="18"/>
      <c r="B840" s="13"/>
      <c r="C840" s="13"/>
      <c r="D840" s="13"/>
      <c r="E840" s="13"/>
      <c r="F840" s="19"/>
      <c r="G840" s="20"/>
      <c r="H840" s="13"/>
      <c r="I840" s="21"/>
      <c r="J840" s="5"/>
      <c r="K840" s="5"/>
      <c r="L840" s="5"/>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row>
    <row r="841" ht="12.75" customHeight="1">
      <c r="A841" s="18"/>
      <c r="B841" s="13"/>
      <c r="C841" s="13"/>
      <c r="D841" s="13"/>
      <c r="E841" s="13"/>
      <c r="F841" s="19"/>
      <c r="G841" s="20"/>
      <c r="H841" s="13"/>
      <c r="I841" s="21"/>
      <c r="J841" s="5"/>
      <c r="K841" s="5"/>
      <c r="L841" s="5"/>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row>
    <row r="842" ht="12.75" customHeight="1">
      <c r="A842" s="18"/>
      <c r="B842" s="13"/>
      <c r="C842" s="13"/>
      <c r="D842" s="13"/>
      <c r="E842" s="13"/>
      <c r="F842" s="19"/>
      <c r="G842" s="20"/>
      <c r="H842" s="13"/>
      <c r="I842" s="21"/>
      <c r="J842" s="5"/>
      <c r="K842" s="5"/>
      <c r="L842" s="5"/>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row>
    <row r="843" ht="12.75" customHeight="1">
      <c r="A843" s="18"/>
      <c r="B843" s="13"/>
      <c r="C843" s="13"/>
      <c r="D843" s="13"/>
      <c r="E843" s="13"/>
      <c r="F843" s="19"/>
      <c r="G843" s="20"/>
      <c r="H843" s="13"/>
      <c r="I843" s="21"/>
      <c r="J843" s="5"/>
      <c r="K843" s="5"/>
      <c r="L843" s="5"/>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row>
    <row r="844" ht="12.75" customHeight="1">
      <c r="A844" s="18"/>
      <c r="B844" s="13"/>
      <c r="C844" s="13"/>
      <c r="D844" s="13"/>
      <c r="E844" s="13"/>
      <c r="F844" s="19"/>
      <c r="G844" s="20"/>
      <c r="H844" s="13"/>
      <c r="I844" s="21"/>
      <c r="J844" s="5"/>
      <c r="K844" s="5"/>
      <c r="L844" s="5"/>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row>
    <row r="845" ht="12.75" customHeight="1">
      <c r="A845" s="18"/>
      <c r="B845" s="13"/>
      <c r="C845" s="13"/>
      <c r="D845" s="13"/>
      <c r="E845" s="13"/>
      <c r="F845" s="19"/>
      <c r="G845" s="20"/>
      <c r="H845" s="13"/>
      <c r="I845" s="21"/>
      <c r="J845" s="5"/>
      <c r="K845" s="5"/>
      <c r="L845" s="5"/>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row>
    <row r="846" ht="12.75" customHeight="1">
      <c r="A846" s="18"/>
      <c r="B846" s="13"/>
      <c r="C846" s="13"/>
      <c r="D846" s="13"/>
      <c r="E846" s="13"/>
      <c r="F846" s="19"/>
      <c r="G846" s="20"/>
      <c r="H846" s="13"/>
      <c r="I846" s="21"/>
      <c r="J846" s="5"/>
      <c r="K846" s="5"/>
      <c r="L846" s="5"/>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row>
    <row r="847" ht="12.75" customHeight="1">
      <c r="A847" s="18"/>
      <c r="B847" s="13"/>
      <c r="C847" s="13"/>
      <c r="D847" s="13"/>
      <c r="E847" s="13"/>
      <c r="F847" s="19"/>
      <c r="G847" s="20"/>
      <c r="H847" s="13"/>
      <c r="I847" s="21"/>
      <c r="J847" s="5"/>
      <c r="K847" s="5"/>
      <c r="L847" s="5"/>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row>
    <row r="848" ht="12.75" customHeight="1">
      <c r="A848" s="18"/>
      <c r="B848" s="13"/>
      <c r="C848" s="13"/>
      <c r="D848" s="13"/>
      <c r="E848" s="13"/>
      <c r="F848" s="19"/>
      <c r="G848" s="20"/>
      <c r="H848" s="13"/>
      <c r="I848" s="21"/>
      <c r="J848" s="5"/>
      <c r="K848" s="5"/>
      <c r="L848" s="5"/>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row>
    <row r="849" ht="12.75" customHeight="1">
      <c r="A849" s="18"/>
      <c r="B849" s="13"/>
      <c r="C849" s="13"/>
      <c r="D849" s="13"/>
      <c r="E849" s="13"/>
      <c r="F849" s="19"/>
      <c r="G849" s="20"/>
      <c r="H849" s="13"/>
      <c r="I849" s="21"/>
      <c r="J849" s="5"/>
      <c r="K849" s="5"/>
      <c r="L849" s="5"/>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row>
    <row r="850" ht="12.75" customHeight="1">
      <c r="A850" s="18"/>
      <c r="B850" s="13"/>
      <c r="C850" s="13"/>
      <c r="D850" s="13"/>
      <c r="E850" s="13"/>
      <c r="F850" s="19"/>
      <c r="G850" s="20"/>
      <c r="H850" s="13"/>
      <c r="I850" s="21"/>
      <c r="J850" s="5"/>
      <c r="K850" s="5"/>
      <c r="L850" s="5"/>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row>
    <row r="851" ht="12.75" customHeight="1">
      <c r="A851" s="18"/>
      <c r="B851" s="13"/>
      <c r="C851" s="13"/>
      <c r="D851" s="13"/>
      <c r="E851" s="13"/>
      <c r="F851" s="19"/>
      <c r="G851" s="20"/>
      <c r="H851" s="13"/>
      <c r="I851" s="21"/>
      <c r="J851" s="5"/>
      <c r="K851" s="5"/>
      <c r="L851" s="5"/>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row>
    <row r="852" ht="12.75" customHeight="1">
      <c r="A852" s="18"/>
      <c r="B852" s="13"/>
      <c r="C852" s="13"/>
      <c r="D852" s="13"/>
      <c r="E852" s="13"/>
      <c r="F852" s="19"/>
      <c r="G852" s="20"/>
      <c r="H852" s="13"/>
      <c r="I852" s="21"/>
      <c r="J852" s="5"/>
      <c r="K852" s="5"/>
      <c r="L852" s="5"/>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row>
    <row r="853" ht="12.75" customHeight="1">
      <c r="A853" s="18"/>
      <c r="B853" s="13"/>
      <c r="C853" s="13"/>
      <c r="D853" s="13"/>
      <c r="E853" s="13"/>
      <c r="F853" s="19"/>
      <c r="G853" s="20"/>
      <c r="H853" s="13"/>
      <c r="I853" s="21"/>
      <c r="J853" s="5"/>
      <c r="K853" s="5"/>
      <c r="L853" s="5"/>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row>
    <row r="854" ht="12.75" customHeight="1">
      <c r="A854" s="18"/>
      <c r="B854" s="13"/>
      <c r="C854" s="13"/>
      <c r="D854" s="13"/>
      <c r="E854" s="13"/>
      <c r="F854" s="19"/>
      <c r="G854" s="20"/>
      <c r="H854" s="13"/>
      <c r="I854" s="21"/>
      <c r="J854" s="5"/>
      <c r="K854" s="5"/>
      <c r="L854" s="5"/>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row>
    <row r="855" ht="12.75" customHeight="1">
      <c r="A855" s="18"/>
      <c r="B855" s="13"/>
      <c r="C855" s="13"/>
      <c r="D855" s="13"/>
      <c r="E855" s="13"/>
      <c r="F855" s="19"/>
      <c r="G855" s="20"/>
      <c r="H855" s="13"/>
      <c r="I855" s="21"/>
      <c r="J855" s="5"/>
      <c r="K855" s="5"/>
      <c r="L855" s="5"/>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row>
    <row r="856" ht="12.75" customHeight="1">
      <c r="A856" s="18"/>
      <c r="B856" s="13"/>
      <c r="C856" s="13"/>
      <c r="D856" s="13"/>
      <c r="E856" s="13"/>
      <c r="F856" s="19"/>
      <c r="G856" s="20"/>
      <c r="H856" s="13"/>
      <c r="I856" s="21"/>
      <c r="J856" s="5"/>
      <c r="K856" s="5"/>
      <c r="L856" s="5"/>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row>
    <row r="857" ht="12.75" customHeight="1">
      <c r="A857" s="18"/>
      <c r="B857" s="13"/>
      <c r="C857" s="13"/>
      <c r="D857" s="13"/>
      <c r="E857" s="13"/>
      <c r="F857" s="19"/>
      <c r="G857" s="20"/>
      <c r="H857" s="13"/>
      <c r="I857" s="21"/>
      <c r="J857" s="5"/>
      <c r="K857" s="5"/>
      <c r="L857" s="5"/>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row>
    <row r="858" ht="12.75" customHeight="1">
      <c r="A858" s="18"/>
      <c r="B858" s="13"/>
      <c r="C858" s="13"/>
      <c r="D858" s="13"/>
      <c r="E858" s="13"/>
      <c r="F858" s="19"/>
      <c r="G858" s="20"/>
      <c r="H858" s="13"/>
      <c r="I858" s="21"/>
      <c r="J858" s="5"/>
      <c r="K858" s="5"/>
      <c r="L858" s="5"/>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row>
    <row r="859" ht="12.75" customHeight="1">
      <c r="A859" s="18"/>
      <c r="B859" s="13"/>
      <c r="C859" s="13"/>
      <c r="D859" s="13"/>
      <c r="E859" s="13"/>
      <c r="F859" s="19"/>
      <c r="G859" s="20"/>
      <c r="H859" s="13"/>
      <c r="I859" s="21"/>
      <c r="J859" s="5"/>
      <c r="K859" s="5"/>
      <c r="L859" s="5"/>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row>
    <row r="860" ht="12.75" customHeight="1">
      <c r="A860" s="18"/>
      <c r="B860" s="13"/>
      <c r="C860" s="13"/>
      <c r="D860" s="13"/>
      <c r="E860" s="13"/>
      <c r="F860" s="19"/>
      <c r="G860" s="20"/>
      <c r="H860" s="13"/>
      <c r="I860" s="21"/>
      <c r="J860" s="5"/>
      <c r="K860" s="5"/>
      <c r="L860" s="5"/>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row>
    <row r="861" ht="12.75" customHeight="1">
      <c r="A861" s="18"/>
      <c r="B861" s="13"/>
      <c r="C861" s="13"/>
      <c r="D861" s="13"/>
      <c r="E861" s="13"/>
      <c r="F861" s="19"/>
      <c r="G861" s="20"/>
      <c r="H861" s="13"/>
      <c r="I861" s="21"/>
      <c r="J861" s="5"/>
      <c r="K861" s="5"/>
      <c r="L861" s="5"/>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row>
    <row r="862" ht="12.75" customHeight="1">
      <c r="A862" s="18"/>
      <c r="B862" s="13"/>
      <c r="C862" s="13"/>
      <c r="D862" s="13"/>
      <c r="E862" s="13"/>
      <c r="F862" s="19"/>
      <c r="G862" s="20"/>
      <c r="H862" s="13"/>
      <c r="I862" s="21"/>
      <c r="J862" s="5"/>
      <c r="K862" s="5"/>
      <c r="L862" s="5"/>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row>
    <row r="863" ht="12.75" customHeight="1">
      <c r="A863" s="18"/>
      <c r="B863" s="13"/>
      <c r="C863" s="13"/>
      <c r="D863" s="13"/>
      <c r="E863" s="13"/>
      <c r="F863" s="19"/>
      <c r="G863" s="20"/>
      <c r="H863" s="13"/>
      <c r="I863" s="21"/>
      <c r="J863" s="5"/>
      <c r="K863" s="5"/>
      <c r="L863" s="5"/>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row>
    <row r="864" ht="12.75" customHeight="1">
      <c r="A864" s="18"/>
      <c r="B864" s="13"/>
      <c r="C864" s="13"/>
      <c r="D864" s="13"/>
      <c r="E864" s="13"/>
      <c r="F864" s="19"/>
      <c r="G864" s="20"/>
      <c r="H864" s="13"/>
      <c r="I864" s="21"/>
      <c r="J864" s="5"/>
      <c r="K864" s="5"/>
      <c r="L864" s="5"/>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row>
    <row r="865" ht="12.75" customHeight="1">
      <c r="A865" s="18"/>
      <c r="B865" s="13"/>
      <c r="C865" s="13"/>
      <c r="D865" s="13"/>
      <c r="E865" s="13"/>
      <c r="F865" s="19"/>
      <c r="G865" s="20"/>
      <c r="H865" s="13"/>
      <c r="I865" s="21"/>
      <c r="J865" s="5"/>
      <c r="K865" s="5"/>
      <c r="L865" s="5"/>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row>
    <row r="866" ht="12.75" customHeight="1">
      <c r="A866" s="18"/>
      <c r="B866" s="13"/>
      <c r="C866" s="13"/>
      <c r="D866" s="13"/>
      <c r="E866" s="13"/>
      <c r="F866" s="19"/>
      <c r="G866" s="20"/>
      <c r="H866" s="13"/>
      <c r="I866" s="21"/>
      <c r="J866" s="5"/>
      <c r="K866" s="5"/>
      <c r="L866" s="5"/>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row>
    <row r="867" ht="12.75" customHeight="1">
      <c r="A867" s="18"/>
      <c r="B867" s="13"/>
      <c r="C867" s="13"/>
      <c r="D867" s="13"/>
      <c r="E867" s="13"/>
      <c r="F867" s="19"/>
      <c r="G867" s="20"/>
      <c r="H867" s="13"/>
      <c r="I867" s="21"/>
      <c r="J867" s="5"/>
      <c r="K867" s="5"/>
      <c r="L867" s="5"/>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row>
    <row r="868" ht="12.75" customHeight="1">
      <c r="A868" s="18"/>
      <c r="B868" s="13"/>
      <c r="C868" s="13"/>
      <c r="D868" s="13"/>
      <c r="E868" s="13"/>
      <c r="F868" s="19"/>
      <c r="G868" s="20"/>
      <c r="H868" s="13"/>
      <c r="I868" s="21"/>
      <c r="J868" s="5"/>
      <c r="K868" s="5"/>
      <c r="L868" s="5"/>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row>
    <row r="869" ht="12.75" customHeight="1">
      <c r="A869" s="18"/>
      <c r="B869" s="13"/>
      <c r="C869" s="13"/>
      <c r="D869" s="13"/>
      <c r="E869" s="13"/>
      <c r="F869" s="19"/>
      <c r="G869" s="20"/>
      <c r="H869" s="13"/>
      <c r="I869" s="21"/>
      <c r="J869" s="5"/>
      <c r="K869" s="5"/>
      <c r="L869" s="5"/>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row>
    <row r="870" ht="12.75" customHeight="1">
      <c r="A870" s="18"/>
      <c r="B870" s="13"/>
      <c r="C870" s="13"/>
      <c r="D870" s="13"/>
      <c r="E870" s="13"/>
      <c r="F870" s="19"/>
      <c r="G870" s="20"/>
      <c r="H870" s="13"/>
      <c r="I870" s="21"/>
      <c r="J870" s="5"/>
      <c r="K870" s="5"/>
      <c r="L870" s="5"/>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row>
    <row r="871" ht="12.75" customHeight="1">
      <c r="A871" s="18"/>
      <c r="B871" s="13"/>
      <c r="C871" s="13"/>
      <c r="D871" s="13"/>
      <c r="E871" s="13"/>
      <c r="F871" s="19"/>
      <c r="G871" s="20"/>
      <c r="H871" s="13"/>
      <c r="I871" s="21"/>
      <c r="J871" s="5"/>
      <c r="K871" s="5"/>
      <c r="L871" s="5"/>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row>
    <row r="872" ht="12.75" customHeight="1">
      <c r="A872" s="18"/>
      <c r="B872" s="13"/>
      <c r="C872" s="13"/>
      <c r="D872" s="13"/>
      <c r="E872" s="13"/>
      <c r="F872" s="19"/>
      <c r="G872" s="20"/>
      <c r="H872" s="13"/>
      <c r="I872" s="21"/>
      <c r="J872" s="5"/>
      <c r="K872" s="5"/>
      <c r="L872" s="5"/>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row>
    <row r="873" ht="12.75" customHeight="1">
      <c r="A873" s="18"/>
      <c r="B873" s="13"/>
      <c r="C873" s="13"/>
      <c r="D873" s="13"/>
      <c r="E873" s="13"/>
      <c r="F873" s="19"/>
      <c r="G873" s="20"/>
      <c r="H873" s="13"/>
      <c r="I873" s="21"/>
      <c r="J873" s="5"/>
      <c r="K873" s="5"/>
      <c r="L873" s="5"/>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row>
    <row r="874" ht="12.75" customHeight="1">
      <c r="A874" s="18"/>
      <c r="B874" s="13"/>
      <c r="C874" s="13"/>
      <c r="D874" s="13"/>
      <c r="E874" s="13"/>
      <c r="F874" s="19"/>
      <c r="G874" s="20"/>
      <c r="H874" s="13"/>
      <c r="I874" s="21"/>
      <c r="J874" s="5"/>
      <c r="K874" s="5"/>
      <c r="L874" s="5"/>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row>
    <row r="875" ht="12.75" customHeight="1">
      <c r="A875" s="18"/>
      <c r="B875" s="13"/>
      <c r="C875" s="13"/>
      <c r="D875" s="13"/>
      <c r="E875" s="13"/>
      <c r="F875" s="19"/>
      <c r="G875" s="20"/>
      <c r="H875" s="13"/>
      <c r="I875" s="21"/>
      <c r="J875" s="5"/>
      <c r="K875" s="5"/>
      <c r="L875" s="5"/>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row>
    <row r="876" ht="12.75" customHeight="1">
      <c r="A876" s="18"/>
      <c r="B876" s="13"/>
      <c r="C876" s="13"/>
      <c r="D876" s="13"/>
      <c r="E876" s="13"/>
      <c r="F876" s="19"/>
      <c r="G876" s="20"/>
      <c r="H876" s="13"/>
      <c r="I876" s="21"/>
      <c r="J876" s="5"/>
      <c r="K876" s="5"/>
      <c r="L876" s="5"/>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row>
    <row r="877" ht="12.75" customHeight="1">
      <c r="A877" s="18"/>
      <c r="B877" s="13"/>
      <c r="C877" s="13"/>
      <c r="D877" s="13"/>
      <c r="E877" s="13"/>
      <c r="F877" s="19"/>
      <c r="G877" s="20"/>
      <c r="H877" s="13"/>
      <c r="I877" s="21"/>
      <c r="J877" s="5"/>
      <c r="K877" s="5"/>
      <c r="L877" s="5"/>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row>
    <row r="878" ht="12.75" customHeight="1">
      <c r="A878" s="18"/>
      <c r="B878" s="13"/>
      <c r="C878" s="13"/>
      <c r="D878" s="13"/>
      <c r="E878" s="13"/>
      <c r="F878" s="19"/>
      <c r="G878" s="20"/>
      <c r="H878" s="13"/>
      <c r="I878" s="21"/>
      <c r="J878" s="5"/>
      <c r="K878" s="5"/>
      <c r="L878" s="5"/>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row>
    <row r="879" ht="12.75" customHeight="1">
      <c r="A879" s="18"/>
      <c r="B879" s="13"/>
      <c r="C879" s="13"/>
      <c r="D879" s="13"/>
      <c r="E879" s="13"/>
      <c r="F879" s="19"/>
      <c r="G879" s="20"/>
      <c r="H879" s="13"/>
      <c r="I879" s="21"/>
      <c r="J879" s="5"/>
      <c r="K879" s="5"/>
      <c r="L879" s="5"/>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row>
    <row r="880" ht="12.75" customHeight="1">
      <c r="A880" s="18"/>
      <c r="B880" s="13"/>
      <c r="C880" s="13"/>
      <c r="D880" s="13"/>
      <c r="E880" s="13"/>
      <c r="F880" s="19"/>
      <c r="G880" s="20"/>
      <c r="H880" s="13"/>
      <c r="I880" s="21"/>
      <c r="J880" s="5"/>
      <c r="K880" s="5"/>
      <c r="L880" s="5"/>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row>
    <row r="881" ht="12.75" customHeight="1">
      <c r="A881" s="18"/>
      <c r="B881" s="13"/>
      <c r="C881" s="13"/>
      <c r="D881" s="13"/>
      <c r="E881" s="13"/>
      <c r="F881" s="19"/>
      <c r="G881" s="20"/>
      <c r="H881" s="13"/>
      <c r="I881" s="21"/>
      <c r="J881" s="5"/>
      <c r="K881" s="5"/>
      <c r="L881" s="5"/>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row>
    <row r="882" ht="12.75" customHeight="1">
      <c r="A882" s="18"/>
      <c r="B882" s="13"/>
      <c r="C882" s="13"/>
      <c r="D882" s="13"/>
      <c r="E882" s="13"/>
      <c r="F882" s="19"/>
      <c r="G882" s="20"/>
      <c r="H882" s="13"/>
      <c r="I882" s="21"/>
      <c r="J882" s="5"/>
      <c r="K882" s="5"/>
      <c r="L882" s="5"/>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row>
    <row r="883" ht="12.75" customHeight="1">
      <c r="A883" s="18"/>
      <c r="B883" s="13"/>
      <c r="C883" s="13"/>
      <c r="D883" s="13"/>
      <c r="E883" s="13"/>
      <c r="F883" s="19"/>
      <c r="G883" s="20"/>
      <c r="H883" s="13"/>
      <c r="I883" s="21"/>
      <c r="J883" s="5"/>
      <c r="K883" s="5"/>
      <c r="L883" s="5"/>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row>
    <row r="884" ht="12.75" customHeight="1">
      <c r="A884" s="18"/>
      <c r="B884" s="13"/>
      <c r="C884" s="13"/>
      <c r="D884" s="13"/>
      <c r="E884" s="13"/>
      <c r="F884" s="19"/>
      <c r="G884" s="20"/>
      <c r="H884" s="13"/>
      <c r="I884" s="21"/>
      <c r="J884" s="5"/>
      <c r="K884" s="5"/>
      <c r="L884" s="5"/>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row>
    <row r="885" ht="12.75" customHeight="1">
      <c r="A885" s="18"/>
      <c r="B885" s="13"/>
      <c r="C885" s="13"/>
      <c r="D885" s="13"/>
      <c r="E885" s="13"/>
      <c r="F885" s="19"/>
      <c r="G885" s="20"/>
      <c r="H885" s="13"/>
      <c r="I885" s="21"/>
      <c r="J885" s="5"/>
      <c r="K885" s="5"/>
      <c r="L885" s="5"/>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row>
    <row r="886" ht="12.75" customHeight="1">
      <c r="A886" s="18"/>
      <c r="B886" s="13"/>
      <c r="C886" s="13"/>
      <c r="D886" s="13"/>
      <c r="E886" s="13"/>
      <c r="F886" s="19"/>
      <c r="G886" s="20"/>
      <c r="H886" s="13"/>
      <c r="I886" s="21"/>
      <c r="J886" s="5"/>
      <c r="K886" s="5"/>
      <c r="L886" s="5"/>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row>
    <row r="887" ht="12.75" customHeight="1">
      <c r="A887" s="18"/>
      <c r="B887" s="13"/>
      <c r="C887" s="13"/>
      <c r="D887" s="13"/>
      <c r="E887" s="13"/>
      <c r="F887" s="19"/>
      <c r="G887" s="20"/>
      <c r="H887" s="13"/>
      <c r="I887" s="21"/>
      <c r="J887" s="5"/>
      <c r="K887" s="5"/>
      <c r="L887" s="5"/>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row>
    <row r="888" ht="12.75" customHeight="1">
      <c r="A888" s="18"/>
      <c r="B888" s="13"/>
      <c r="C888" s="13"/>
      <c r="D888" s="13"/>
      <c r="E888" s="13"/>
      <c r="F888" s="19"/>
      <c r="G888" s="20"/>
      <c r="H888" s="13"/>
      <c r="I888" s="21"/>
      <c r="J888" s="5"/>
      <c r="K888" s="5"/>
      <c r="L888" s="5"/>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row>
    <row r="889" ht="12.75" customHeight="1">
      <c r="A889" s="18"/>
      <c r="B889" s="13"/>
      <c r="C889" s="13"/>
      <c r="D889" s="13"/>
      <c r="E889" s="13"/>
      <c r="F889" s="19"/>
      <c r="G889" s="20"/>
      <c r="H889" s="13"/>
      <c r="I889" s="21"/>
      <c r="J889" s="5"/>
      <c r="K889" s="5"/>
      <c r="L889" s="5"/>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row>
    <row r="890" ht="12.75" customHeight="1">
      <c r="A890" s="18"/>
      <c r="B890" s="13"/>
      <c r="C890" s="13"/>
      <c r="D890" s="13"/>
      <c r="E890" s="13"/>
      <c r="F890" s="19"/>
      <c r="G890" s="20"/>
      <c r="H890" s="13"/>
      <c r="I890" s="21"/>
      <c r="J890" s="5"/>
      <c r="K890" s="5"/>
      <c r="L890" s="5"/>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row>
    <row r="891" ht="12.75" customHeight="1">
      <c r="A891" s="18"/>
      <c r="B891" s="13"/>
      <c r="C891" s="13"/>
      <c r="D891" s="13"/>
      <c r="E891" s="13"/>
      <c r="F891" s="19"/>
      <c r="G891" s="20"/>
      <c r="H891" s="13"/>
      <c r="I891" s="21"/>
      <c r="J891" s="5"/>
      <c r="K891" s="5"/>
      <c r="L891" s="5"/>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row>
    <row r="892" ht="12.75" customHeight="1">
      <c r="A892" s="18"/>
      <c r="B892" s="13"/>
      <c r="C892" s="13"/>
      <c r="D892" s="13"/>
      <c r="E892" s="13"/>
      <c r="F892" s="19"/>
      <c r="G892" s="20"/>
      <c r="H892" s="13"/>
      <c r="I892" s="21"/>
      <c r="J892" s="5"/>
      <c r="K892" s="5"/>
      <c r="L892" s="5"/>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row>
    <row r="893" ht="12.75" customHeight="1">
      <c r="A893" s="18"/>
      <c r="B893" s="13"/>
      <c r="C893" s="13"/>
      <c r="D893" s="13"/>
      <c r="E893" s="13"/>
      <c r="F893" s="19"/>
      <c r="G893" s="20"/>
      <c r="H893" s="13"/>
      <c r="I893" s="21"/>
      <c r="J893" s="5"/>
      <c r="K893" s="5"/>
      <c r="L893" s="5"/>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row>
    <row r="894" ht="12.75" customHeight="1">
      <c r="A894" s="18"/>
      <c r="B894" s="13"/>
      <c r="C894" s="13"/>
      <c r="D894" s="13"/>
      <c r="E894" s="13"/>
      <c r="F894" s="19"/>
      <c r="G894" s="20"/>
      <c r="H894" s="13"/>
      <c r="I894" s="21"/>
      <c r="J894" s="5"/>
      <c r="K894" s="5"/>
      <c r="L894" s="5"/>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row>
    <row r="895" ht="12.75" customHeight="1">
      <c r="A895" s="18"/>
      <c r="B895" s="13"/>
      <c r="C895" s="13"/>
      <c r="D895" s="13"/>
      <c r="E895" s="13"/>
      <c r="F895" s="19"/>
      <c r="G895" s="20"/>
      <c r="H895" s="13"/>
      <c r="I895" s="21"/>
      <c r="J895" s="5"/>
      <c r="K895" s="5"/>
      <c r="L895" s="5"/>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row>
    <row r="896" ht="12.75" customHeight="1">
      <c r="A896" s="18"/>
      <c r="B896" s="13"/>
      <c r="C896" s="13"/>
      <c r="D896" s="13"/>
      <c r="E896" s="13"/>
      <c r="F896" s="19"/>
      <c r="G896" s="20"/>
      <c r="H896" s="13"/>
      <c r="I896" s="21"/>
      <c r="J896" s="5"/>
      <c r="K896" s="5"/>
      <c r="L896" s="5"/>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row>
    <row r="897" ht="12.75" customHeight="1">
      <c r="A897" s="18"/>
      <c r="B897" s="13"/>
      <c r="C897" s="13"/>
      <c r="D897" s="13"/>
      <c r="E897" s="13"/>
      <c r="F897" s="19"/>
      <c r="G897" s="20"/>
      <c r="H897" s="13"/>
      <c r="I897" s="21"/>
      <c r="J897" s="5"/>
      <c r="K897" s="5"/>
      <c r="L897" s="5"/>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row>
    <row r="898" ht="12.75" customHeight="1">
      <c r="A898" s="18"/>
      <c r="B898" s="13"/>
      <c r="C898" s="13"/>
      <c r="D898" s="13"/>
      <c r="E898" s="13"/>
      <c r="F898" s="19"/>
      <c r="G898" s="20"/>
      <c r="H898" s="13"/>
      <c r="I898" s="21"/>
      <c r="J898" s="5"/>
      <c r="K898" s="5"/>
      <c r="L898" s="5"/>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row>
    <row r="899" ht="12.75" customHeight="1">
      <c r="A899" s="18"/>
      <c r="B899" s="13"/>
      <c r="C899" s="13"/>
      <c r="D899" s="13"/>
      <c r="E899" s="13"/>
      <c r="F899" s="19"/>
      <c r="G899" s="20"/>
      <c r="H899" s="13"/>
      <c r="I899" s="21"/>
      <c r="J899" s="5"/>
      <c r="K899" s="5"/>
      <c r="L899" s="5"/>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row>
    <row r="900" ht="12.75" customHeight="1">
      <c r="A900" s="18"/>
      <c r="B900" s="13"/>
      <c r="C900" s="13"/>
      <c r="D900" s="13"/>
      <c r="E900" s="13"/>
      <c r="F900" s="19"/>
      <c r="G900" s="20"/>
      <c r="H900" s="13"/>
      <c r="I900" s="21"/>
      <c r="J900" s="5"/>
      <c r="K900" s="5"/>
      <c r="L900" s="5"/>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row>
    <row r="901" ht="12.75" customHeight="1">
      <c r="A901" s="18"/>
      <c r="B901" s="13"/>
      <c r="C901" s="13"/>
      <c r="D901" s="13"/>
      <c r="E901" s="13"/>
      <c r="F901" s="19"/>
      <c r="G901" s="20"/>
      <c r="H901" s="13"/>
      <c r="I901" s="21"/>
      <c r="J901" s="5"/>
      <c r="K901" s="5"/>
      <c r="L901" s="5"/>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row>
    <row r="902" ht="12.75" customHeight="1">
      <c r="A902" s="18"/>
      <c r="B902" s="13"/>
      <c r="C902" s="13"/>
      <c r="D902" s="13"/>
      <c r="E902" s="13"/>
      <c r="F902" s="19"/>
      <c r="G902" s="20"/>
      <c r="H902" s="13"/>
      <c r="I902" s="21"/>
      <c r="J902" s="5"/>
      <c r="K902" s="5"/>
      <c r="L902" s="5"/>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row>
    <row r="903" ht="12.75" customHeight="1">
      <c r="A903" s="18"/>
      <c r="B903" s="13"/>
      <c r="C903" s="13"/>
      <c r="D903" s="13"/>
      <c r="E903" s="13"/>
      <c r="F903" s="19"/>
      <c r="G903" s="20"/>
      <c r="H903" s="13"/>
      <c r="I903" s="21"/>
      <c r="J903" s="5"/>
      <c r="K903" s="5"/>
      <c r="L903" s="5"/>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row>
    <row r="904" ht="12.75" customHeight="1">
      <c r="A904" s="18"/>
      <c r="B904" s="13"/>
      <c r="C904" s="13"/>
      <c r="D904" s="13"/>
      <c r="E904" s="13"/>
      <c r="F904" s="19"/>
      <c r="G904" s="20"/>
      <c r="H904" s="13"/>
      <c r="I904" s="21"/>
      <c r="J904" s="5"/>
      <c r="K904" s="5"/>
      <c r="L904" s="5"/>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row>
    <row r="905" ht="12.75" customHeight="1">
      <c r="A905" s="18"/>
      <c r="B905" s="13"/>
      <c r="C905" s="13"/>
      <c r="D905" s="13"/>
      <c r="E905" s="13"/>
      <c r="F905" s="19"/>
      <c r="G905" s="20"/>
      <c r="H905" s="13"/>
      <c r="I905" s="21"/>
      <c r="J905" s="5"/>
      <c r="K905" s="5"/>
      <c r="L905" s="5"/>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row>
    <row r="906" ht="12.75" customHeight="1">
      <c r="A906" s="18"/>
      <c r="B906" s="13"/>
      <c r="C906" s="13"/>
      <c r="D906" s="13"/>
      <c r="E906" s="13"/>
      <c r="F906" s="19"/>
      <c r="G906" s="20"/>
      <c r="H906" s="13"/>
      <c r="I906" s="21"/>
      <c r="J906" s="5"/>
      <c r="K906" s="5"/>
      <c r="L906" s="5"/>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row>
    <row r="907" ht="12.75" customHeight="1">
      <c r="A907" s="18"/>
      <c r="B907" s="13"/>
      <c r="C907" s="13"/>
      <c r="D907" s="13"/>
      <c r="E907" s="13"/>
      <c r="F907" s="19"/>
      <c r="G907" s="20"/>
      <c r="H907" s="13"/>
      <c r="I907" s="21"/>
      <c r="J907" s="5"/>
      <c r="K907" s="5"/>
      <c r="L907" s="5"/>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row>
    <row r="908" ht="12.75" customHeight="1">
      <c r="A908" s="18"/>
      <c r="B908" s="13"/>
      <c r="C908" s="13"/>
      <c r="D908" s="13"/>
      <c r="E908" s="13"/>
      <c r="F908" s="19"/>
      <c r="G908" s="20"/>
      <c r="H908" s="13"/>
      <c r="I908" s="21"/>
      <c r="J908" s="5"/>
      <c r="K908" s="5"/>
      <c r="L908" s="5"/>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row>
    <row r="909" ht="12.75" customHeight="1">
      <c r="A909" s="18"/>
      <c r="B909" s="13"/>
      <c r="C909" s="13"/>
      <c r="D909" s="13"/>
      <c r="E909" s="13"/>
      <c r="F909" s="19"/>
      <c r="G909" s="20"/>
      <c r="H909" s="13"/>
      <c r="I909" s="21"/>
      <c r="J909" s="5"/>
      <c r="K909" s="5"/>
      <c r="L909" s="5"/>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row>
    <row r="910" ht="12.75" customHeight="1">
      <c r="A910" s="18"/>
      <c r="B910" s="13"/>
      <c r="C910" s="13"/>
      <c r="D910" s="13"/>
      <c r="E910" s="13"/>
      <c r="F910" s="19"/>
      <c r="G910" s="20"/>
      <c r="H910" s="13"/>
      <c r="I910" s="21"/>
      <c r="J910" s="5"/>
      <c r="K910" s="5"/>
      <c r="L910" s="5"/>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row>
    <row r="911" ht="12.75" customHeight="1">
      <c r="A911" s="18"/>
      <c r="B911" s="13"/>
      <c r="C911" s="13"/>
      <c r="D911" s="13"/>
      <c r="E911" s="13"/>
      <c r="F911" s="19"/>
      <c r="G911" s="20"/>
      <c r="H911" s="13"/>
      <c r="I911" s="21"/>
      <c r="J911" s="5"/>
      <c r="K911" s="5"/>
      <c r="L911" s="5"/>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row>
    <row r="912" ht="12.75" customHeight="1">
      <c r="A912" s="18"/>
      <c r="B912" s="13"/>
      <c r="C912" s="13"/>
      <c r="D912" s="13"/>
      <c r="E912" s="13"/>
      <c r="F912" s="19"/>
      <c r="G912" s="20"/>
      <c r="H912" s="13"/>
      <c r="I912" s="21"/>
      <c r="J912" s="5"/>
      <c r="K912" s="5"/>
      <c r="L912" s="5"/>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row>
    <row r="913" ht="12.75" customHeight="1">
      <c r="A913" s="18"/>
      <c r="B913" s="13"/>
      <c r="C913" s="13"/>
      <c r="D913" s="13"/>
      <c r="E913" s="13"/>
      <c r="F913" s="19"/>
      <c r="G913" s="20"/>
      <c r="H913" s="13"/>
      <c r="I913" s="21"/>
      <c r="J913" s="5"/>
      <c r="K913" s="5"/>
      <c r="L913" s="5"/>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row>
    <row r="914" ht="12.75" customHeight="1">
      <c r="A914" s="18"/>
      <c r="B914" s="13"/>
      <c r="C914" s="13"/>
      <c r="D914" s="13"/>
      <c r="E914" s="13"/>
      <c r="F914" s="19"/>
      <c r="G914" s="20"/>
      <c r="H914" s="13"/>
      <c r="I914" s="21"/>
      <c r="J914" s="5"/>
      <c r="K914" s="5"/>
      <c r="L914" s="5"/>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row>
    <row r="915" ht="12.75" customHeight="1">
      <c r="A915" s="18"/>
      <c r="B915" s="13"/>
      <c r="C915" s="13"/>
      <c r="D915" s="13"/>
      <c r="E915" s="13"/>
      <c r="F915" s="19"/>
      <c r="G915" s="20"/>
      <c r="H915" s="13"/>
      <c r="I915" s="21"/>
      <c r="J915" s="5"/>
      <c r="K915" s="5"/>
      <c r="L915" s="5"/>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row>
    <row r="916" ht="12.75" customHeight="1">
      <c r="A916" s="18"/>
      <c r="B916" s="13"/>
      <c r="C916" s="13"/>
      <c r="D916" s="13"/>
      <c r="E916" s="13"/>
      <c r="F916" s="19"/>
      <c r="G916" s="20"/>
      <c r="H916" s="13"/>
      <c r="I916" s="21"/>
      <c r="J916" s="5"/>
      <c r="K916" s="5"/>
      <c r="L916" s="5"/>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row>
    <row r="917" ht="12.75" customHeight="1">
      <c r="A917" s="18"/>
      <c r="B917" s="13"/>
      <c r="C917" s="13"/>
      <c r="D917" s="13"/>
      <c r="E917" s="13"/>
      <c r="F917" s="19"/>
      <c r="G917" s="20"/>
      <c r="H917" s="13"/>
      <c r="I917" s="21"/>
      <c r="J917" s="5"/>
      <c r="K917" s="5"/>
      <c r="L917" s="5"/>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row>
    <row r="918" ht="12.75" customHeight="1">
      <c r="A918" s="18"/>
      <c r="B918" s="13"/>
      <c r="C918" s="13"/>
      <c r="D918" s="13"/>
      <c r="E918" s="13"/>
      <c r="F918" s="19"/>
      <c r="G918" s="20"/>
      <c r="H918" s="13"/>
      <c r="I918" s="21"/>
      <c r="J918" s="5"/>
      <c r="K918" s="5"/>
      <c r="L918" s="5"/>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row>
    <row r="919" ht="12.75" customHeight="1">
      <c r="A919" s="18"/>
      <c r="B919" s="13"/>
      <c r="C919" s="13"/>
      <c r="D919" s="13"/>
      <c r="E919" s="13"/>
      <c r="F919" s="19"/>
      <c r="G919" s="20"/>
      <c r="H919" s="13"/>
      <c r="I919" s="21"/>
      <c r="J919" s="5"/>
      <c r="K919" s="5"/>
      <c r="L919" s="5"/>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row>
    <row r="920" ht="12.75" customHeight="1">
      <c r="A920" s="18"/>
      <c r="B920" s="13"/>
      <c r="C920" s="13"/>
      <c r="D920" s="13"/>
      <c r="E920" s="13"/>
      <c r="F920" s="19"/>
      <c r="G920" s="20"/>
      <c r="H920" s="13"/>
      <c r="I920" s="21"/>
      <c r="J920" s="5"/>
      <c r="K920" s="5"/>
      <c r="L920" s="5"/>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row>
    <row r="921" ht="12.75" customHeight="1">
      <c r="A921" s="18"/>
      <c r="B921" s="13"/>
      <c r="C921" s="13"/>
      <c r="D921" s="13"/>
      <c r="E921" s="13"/>
      <c r="F921" s="19"/>
      <c r="G921" s="20"/>
      <c r="H921" s="13"/>
      <c r="I921" s="21"/>
      <c r="J921" s="5"/>
      <c r="K921" s="5"/>
      <c r="L921" s="5"/>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row>
    <row r="922" ht="12.75" customHeight="1">
      <c r="A922" s="18"/>
      <c r="B922" s="13"/>
      <c r="C922" s="13"/>
      <c r="D922" s="13"/>
      <c r="E922" s="13"/>
      <c r="F922" s="19"/>
      <c r="G922" s="20"/>
      <c r="H922" s="13"/>
      <c r="I922" s="21"/>
      <c r="J922" s="5"/>
      <c r="K922" s="5"/>
      <c r="L922" s="5"/>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row>
    <row r="923" ht="12.75" customHeight="1">
      <c r="A923" s="18"/>
      <c r="B923" s="13"/>
      <c r="C923" s="13"/>
      <c r="D923" s="13"/>
      <c r="E923" s="13"/>
      <c r="F923" s="19"/>
      <c r="G923" s="20"/>
      <c r="H923" s="13"/>
      <c r="I923" s="21"/>
      <c r="J923" s="5"/>
      <c r="K923" s="5"/>
      <c r="L923" s="5"/>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row>
    <row r="924" ht="12.75" customHeight="1">
      <c r="A924" s="18"/>
      <c r="B924" s="13"/>
      <c r="C924" s="13"/>
      <c r="D924" s="13"/>
      <c r="E924" s="13"/>
      <c r="F924" s="19"/>
      <c r="G924" s="20"/>
      <c r="H924" s="13"/>
      <c r="I924" s="21"/>
      <c r="J924" s="5"/>
      <c r="K924" s="5"/>
      <c r="L924" s="5"/>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row>
    <row r="925" ht="12.75" customHeight="1">
      <c r="A925" s="18"/>
      <c r="B925" s="13"/>
      <c r="C925" s="13"/>
      <c r="D925" s="13"/>
      <c r="E925" s="13"/>
      <c r="F925" s="19"/>
      <c r="G925" s="20"/>
      <c r="H925" s="13"/>
      <c r="I925" s="21"/>
      <c r="J925" s="5"/>
      <c r="K925" s="5"/>
      <c r="L925" s="5"/>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row>
    <row r="926" ht="12.75" customHeight="1">
      <c r="A926" s="18"/>
      <c r="B926" s="13"/>
      <c r="C926" s="13"/>
      <c r="D926" s="13"/>
      <c r="E926" s="13"/>
      <c r="F926" s="19"/>
      <c r="G926" s="20"/>
      <c r="H926" s="13"/>
      <c r="I926" s="21"/>
      <c r="J926" s="5"/>
      <c r="K926" s="5"/>
      <c r="L926" s="5"/>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row>
    <row r="927" ht="12.75" customHeight="1">
      <c r="A927" s="18"/>
      <c r="B927" s="13"/>
      <c r="C927" s="13"/>
      <c r="D927" s="13"/>
      <c r="E927" s="13"/>
      <c r="F927" s="19"/>
      <c r="G927" s="20"/>
      <c r="H927" s="13"/>
      <c r="I927" s="21"/>
      <c r="J927" s="5"/>
      <c r="K927" s="5"/>
      <c r="L927" s="5"/>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row>
    <row r="928" ht="12.75" customHeight="1">
      <c r="A928" s="18"/>
      <c r="B928" s="13"/>
      <c r="C928" s="13"/>
      <c r="D928" s="13"/>
      <c r="E928" s="13"/>
      <c r="F928" s="19"/>
      <c r="G928" s="20"/>
      <c r="H928" s="13"/>
      <c r="I928" s="21"/>
      <c r="J928" s="5"/>
      <c r="K928" s="5"/>
      <c r="L928" s="5"/>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row>
    <row r="929" ht="12.75" customHeight="1">
      <c r="A929" s="18"/>
      <c r="B929" s="13"/>
      <c r="C929" s="13"/>
      <c r="D929" s="13"/>
      <c r="E929" s="13"/>
      <c r="F929" s="19"/>
      <c r="G929" s="20"/>
      <c r="H929" s="13"/>
      <c r="I929" s="21"/>
      <c r="J929" s="5"/>
      <c r="K929" s="5"/>
      <c r="L929" s="5"/>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row>
    <row r="930" ht="12.75" customHeight="1">
      <c r="A930" s="18"/>
      <c r="B930" s="13"/>
      <c r="C930" s="13"/>
      <c r="D930" s="13"/>
      <c r="E930" s="13"/>
      <c r="F930" s="19"/>
      <c r="G930" s="20"/>
      <c r="H930" s="13"/>
      <c r="I930" s="21"/>
      <c r="J930" s="5"/>
      <c r="K930" s="5"/>
      <c r="L930" s="5"/>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row>
    <row r="931" ht="12.75" customHeight="1">
      <c r="A931" s="18"/>
      <c r="B931" s="13"/>
      <c r="C931" s="13"/>
      <c r="D931" s="13"/>
      <c r="E931" s="13"/>
      <c r="F931" s="19"/>
      <c r="G931" s="20"/>
      <c r="H931" s="13"/>
      <c r="I931" s="21"/>
      <c r="J931" s="5"/>
      <c r="K931" s="5"/>
      <c r="L931" s="5"/>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row>
    <row r="932" ht="12.75" customHeight="1">
      <c r="A932" s="18"/>
      <c r="B932" s="13"/>
      <c r="C932" s="13"/>
      <c r="D932" s="13"/>
      <c r="E932" s="13"/>
      <c r="F932" s="19"/>
      <c r="G932" s="20"/>
      <c r="H932" s="13"/>
      <c r="I932" s="21"/>
      <c r="J932" s="5"/>
      <c r="K932" s="5"/>
      <c r="L932" s="5"/>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row>
    <row r="933" ht="12.75" customHeight="1">
      <c r="A933" s="18"/>
      <c r="B933" s="13"/>
      <c r="C933" s="13"/>
      <c r="D933" s="13"/>
      <c r="E933" s="13"/>
      <c r="F933" s="19"/>
      <c r="G933" s="20"/>
      <c r="H933" s="13"/>
      <c r="I933" s="21"/>
      <c r="J933" s="5"/>
      <c r="K933" s="5"/>
      <c r="L933" s="5"/>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row>
    <row r="934" ht="12.75" customHeight="1">
      <c r="A934" s="18"/>
      <c r="B934" s="13"/>
      <c r="C934" s="13"/>
      <c r="D934" s="13"/>
      <c r="E934" s="13"/>
      <c r="F934" s="19"/>
      <c r="G934" s="20"/>
      <c r="H934" s="13"/>
      <c r="I934" s="21"/>
      <c r="J934" s="5"/>
      <c r="K934" s="5"/>
      <c r="L934" s="5"/>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row>
    <row r="935" ht="12.75" customHeight="1">
      <c r="A935" s="18"/>
      <c r="B935" s="13"/>
      <c r="C935" s="13"/>
      <c r="D935" s="13"/>
      <c r="E935" s="13"/>
      <c r="F935" s="19"/>
      <c r="G935" s="20"/>
      <c r="H935" s="13"/>
      <c r="I935" s="21"/>
      <c r="J935" s="5"/>
      <c r="K935" s="5"/>
      <c r="L935" s="5"/>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row>
    <row r="936" ht="12.75" customHeight="1">
      <c r="A936" s="18"/>
      <c r="B936" s="13"/>
      <c r="C936" s="13"/>
      <c r="D936" s="13"/>
      <c r="E936" s="13"/>
      <c r="F936" s="19"/>
      <c r="G936" s="20"/>
      <c r="H936" s="13"/>
      <c r="I936" s="21"/>
      <c r="J936" s="5"/>
      <c r="K936" s="5"/>
      <c r="L936" s="5"/>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row>
    <row r="937" ht="12.75" customHeight="1">
      <c r="A937" s="18"/>
      <c r="B937" s="13"/>
      <c r="C937" s="13"/>
      <c r="D937" s="13"/>
      <c r="E937" s="13"/>
      <c r="F937" s="19"/>
      <c r="G937" s="20"/>
      <c r="H937" s="13"/>
      <c r="I937" s="21"/>
      <c r="J937" s="5"/>
      <c r="K937" s="5"/>
      <c r="L937" s="5"/>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row>
    <row r="938" ht="12.75" customHeight="1">
      <c r="A938" s="18"/>
      <c r="B938" s="13"/>
      <c r="C938" s="13"/>
      <c r="D938" s="13"/>
      <c r="E938" s="13"/>
      <c r="F938" s="19"/>
      <c r="G938" s="20"/>
      <c r="H938" s="13"/>
      <c r="I938" s="21"/>
      <c r="J938" s="5"/>
      <c r="K938" s="5"/>
      <c r="L938" s="5"/>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row>
    <row r="939" ht="12.75" customHeight="1">
      <c r="A939" s="18"/>
      <c r="B939" s="13"/>
      <c r="C939" s="13"/>
      <c r="D939" s="13"/>
      <c r="E939" s="13"/>
      <c r="F939" s="19"/>
      <c r="G939" s="20"/>
      <c r="H939" s="13"/>
      <c r="I939" s="21"/>
      <c r="J939" s="5"/>
      <c r="K939" s="5"/>
      <c r="L939" s="5"/>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row>
    <row r="940" ht="12.75" customHeight="1">
      <c r="A940" s="18"/>
      <c r="B940" s="13"/>
      <c r="C940" s="13"/>
      <c r="D940" s="13"/>
      <c r="E940" s="13"/>
      <c r="F940" s="19"/>
      <c r="G940" s="20"/>
      <c r="H940" s="13"/>
      <c r="I940" s="21"/>
      <c r="J940" s="5"/>
      <c r="K940" s="5"/>
      <c r="L940" s="5"/>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row>
    <row r="941" ht="12.75" customHeight="1">
      <c r="A941" s="18"/>
      <c r="B941" s="13"/>
      <c r="C941" s="13"/>
      <c r="D941" s="13"/>
      <c r="E941" s="13"/>
      <c r="F941" s="19"/>
      <c r="G941" s="20"/>
      <c r="H941" s="13"/>
      <c r="I941" s="21"/>
      <c r="J941" s="5"/>
      <c r="K941" s="5"/>
      <c r="L941" s="5"/>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row>
    <row r="942" ht="12.75" customHeight="1">
      <c r="A942" s="18"/>
      <c r="B942" s="13"/>
      <c r="C942" s="13"/>
      <c r="D942" s="13"/>
      <c r="E942" s="13"/>
      <c r="F942" s="19"/>
      <c r="G942" s="20"/>
      <c r="H942" s="13"/>
      <c r="I942" s="21"/>
      <c r="J942" s="5"/>
      <c r="K942" s="5"/>
      <c r="L942" s="5"/>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row>
    <row r="943" ht="12.75" customHeight="1">
      <c r="A943" s="18"/>
      <c r="B943" s="13"/>
      <c r="C943" s="13"/>
      <c r="D943" s="13"/>
      <c r="E943" s="13"/>
      <c r="F943" s="19"/>
      <c r="G943" s="20"/>
      <c r="H943" s="13"/>
      <c r="I943" s="21"/>
      <c r="J943" s="5"/>
      <c r="K943" s="5"/>
      <c r="L943" s="5"/>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row>
    <row r="944" ht="12.75" customHeight="1">
      <c r="A944" s="18"/>
      <c r="B944" s="13"/>
      <c r="C944" s="13"/>
      <c r="D944" s="13"/>
      <c r="E944" s="13"/>
      <c r="F944" s="19"/>
      <c r="G944" s="20"/>
      <c r="H944" s="13"/>
      <c r="I944" s="21"/>
      <c r="J944" s="5"/>
      <c r="K944" s="5"/>
      <c r="L944" s="5"/>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row>
    <row r="945" ht="12.75" customHeight="1">
      <c r="A945" s="18"/>
      <c r="B945" s="13"/>
      <c r="C945" s="13"/>
      <c r="D945" s="13"/>
      <c r="E945" s="13"/>
      <c r="F945" s="19"/>
      <c r="G945" s="20"/>
      <c r="H945" s="13"/>
      <c r="I945" s="21"/>
      <c r="J945" s="5"/>
      <c r="K945" s="5"/>
      <c r="L945" s="5"/>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row>
    <row r="946" ht="12.75" customHeight="1">
      <c r="A946" s="18"/>
      <c r="B946" s="13"/>
      <c r="C946" s="13"/>
      <c r="D946" s="13"/>
      <c r="E946" s="13"/>
      <c r="F946" s="19"/>
      <c r="G946" s="20"/>
      <c r="H946" s="13"/>
      <c r="I946" s="21"/>
      <c r="J946" s="5"/>
      <c r="K946" s="5"/>
      <c r="L946" s="5"/>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row>
    <row r="947" ht="12.75" customHeight="1">
      <c r="A947" s="18"/>
      <c r="B947" s="13"/>
      <c r="C947" s="13"/>
      <c r="D947" s="13"/>
      <c r="E947" s="13"/>
      <c r="F947" s="19"/>
      <c r="G947" s="20"/>
      <c r="H947" s="13"/>
      <c r="I947" s="21"/>
      <c r="J947" s="5"/>
      <c r="K947" s="5"/>
      <c r="L947" s="5"/>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row>
    <row r="948" ht="12.75" customHeight="1">
      <c r="A948" s="18"/>
      <c r="B948" s="13"/>
      <c r="C948" s="13"/>
      <c r="D948" s="13"/>
      <c r="E948" s="13"/>
      <c r="F948" s="19"/>
      <c r="G948" s="20"/>
      <c r="H948" s="13"/>
      <c r="I948" s="21"/>
      <c r="J948" s="5"/>
      <c r="K948" s="5"/>
      <c r="L948" s="5"/>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row>
    <row r="949" ht="12.75" customHeight="1">
      <c r="A949" s="18"/>
      <c r="B949" s="13"/>
      <c r="C949" s="13"/>
      <c r="D949" s="13"/>
      <c r="E949" s="13"/>
      <c r="F949" s="19"/>
      <c r="G949" s="20"/>
      <c r="H949" s="13"/>
      <c r="I949" s="21"/>
      <c r="J949" s="5"/>
      <c r="K949" s="5"/>
      <c r="L949" s="5"/>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row>
    <row r="950" ht="12.75" customHeight="1">
      <c r="A950" s="18"/>
      <c r="B950" s="13"/>
      <c r="C950" s="13"/>
      <c r="D950" s="13"/>
      <c r="E950" s="13"/>
      <c r="F950" s="19"/>
      <c r="G950" s="20"/>
      <c r="H950" s="13"/>
      <c r="I950" s="21"/>
      <c r="J950" s="5"/>
      <c r="K950" s="5"/>
      <c r="L950" s="5"/>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row>
    <row r="951" ht="12.75" customHeight="1">
      <c r="A951" s="18"/>
      <c r="B951" s="13"/>
      <c r="C951" s="13"/>
      <c r="D951" s="13"/>
      <c r="E951" s="13"/>
      <c r="F951" s="19"/>
      <c r="G951" s="20"/>
      <c r="H951" s="13"/>
      <c r="I951" s="21"/>
      <c r="J951" s="5"/>
      <c r="K951" s="5"/>
      <c r="L951" s="5"/>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row>
    <row r="952" ht="12.75" customHeight="1">
      <c r="A952" s="18"/>
      <c r="B952" s="13"/>
      <c r="C952" s="13"/>
      <c r="D952" s="13"/>
      <c r="E952" s="13"/>
      <c r="F952" s="19"/>
      <c r="G952" s="20"/>
      <c r="H952" s="13"/>
      <c r="I952" s="21"/>
      <c r="J952" s="5"/>
      <c r="K952" s="5"/>
      <c r="L952" s="5"/>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row>
    <row r="953" ht="12.75" customHeight="1">
      <c r="A953" s="18"/>
      <c r="B953" s="13"/>
      <c r="C953" s="13"/>
      <c r="D953" s="13"/>
      <c r="E953" s="13"/>
      <c r="F953" s="19"/>
      <c r="G953" s="20"/>
      <c r="H953" s="13"/>
      <c r="I953" s="21"/>
      <c r="J953" s="5"/>
      <c r="K953" s="5"/>
      <c r="L953" s="5"/>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row>
    <row r="954" ht="12.75" customHeight="1">
      <c r="A954" s="18"/>
      <c r="B954" s="13"/>
      <c r="C954" s="13"/>
      <c r="D954" s="13"/>
      <c r="E954" s="13"/>
      <c r="F954" s="19"/>
      <c r="G954" s="20"/>
      <c r="H954" s="13"/>
      <c r="I954" s="21"/>
      <c r="J954" s="5"/>
      <c r="K954" s="5"/>
      <c r="L954" s="5"/>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row>
    <row r="955" ht="12.75" customHeight="1">
      <c r="A955" s="18"/>
      <c r="B955" s="13"/>
      <c r="C955" s="13"/>
      <c r="D955" s="13"/>
      <c r="E955" s="13"/>
      <c r="F955" s="19"/>
      <c r="G955" s="20"/>
      <c r="H955" s="13"/>
      <c r="I955" s="21"/>
      <c r="J955" s="5"/>
      <c r="K955" s="5"/>
      <c r="L955" s="5"/>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row>
    <row r="956" ht="12.75" customHeight="1">
      <c r="A956" s="18"/>
      <c r="B956" s="13"/>
      <c r="C956" s="13"/>
      <c r="D956" s="13"/>
      <c r="E956" s="13"/>
      <c r="F956" s="19"/>
      <c r="G956" s="20"/>
      <c r="H956" s="13"/>
      <c r="I956" s="21"/>
      <c r="J956" s="5"/>
      <c r="K956" s="5"/>
      <c r="L956" s="5"/>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row>
    <row r="957" ht="12.75" customHeight="1">
      <c r="A957" s="18"/>
      <c r="B957" s="13"/>
      <c r="C957" s="13"/>
      <c r="D957" s="13"/>
      <c r="E957" s="13"/>
      <c r="F957" s="19"/>
      <c r="G957" s="20"/>
      <c r="H957" s="13"/>
      <c r="I957" s="21"/>
      <c r="J957" s="5"/>
      <c r="K957" s="5"/>
      <c r="L957" s="5"/>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row>
    <row r="958" ht="12.75" customHeight="1">
      <c r="A958" s="18"/>
      <c r="B958" s="13"/>
      <c r="C958" s="13"/>
      <c r="D958" s="13"/>
      <c r="E958" s="13"/>
      <c r="F958" s="19"/>
      <c r="G958" s="20"/>
      <c r="H958" s="13"/>
      <c r="I958" s="21"/>
      <c r="J958" s="5"/>
      <c r="K958" s="5"/>
      <c r="L958" s="5"/>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row>
    <row r="959" ht="12.75" customHeight="1">
      <c r="A959" s="18"/>
      <c r="B959" s="13"/>
      <c r="C959" s="13"/>
      <c r="D959" s="13"/>
      <c r="E959" s="13"/>
      <c r="F959" s="19"/>
      <c r="G959" s="20"/>
      <c r="H959" s="13"/>
      <c r="I959" s="21"/>
      <c r="J959" s="5"/>
      <c r="K959" s="5"/>
      <c r="L959" s="5"/>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row>
    <row r="960" ht="12.75" customHeight="1">
      <c r="A960" s="18"/>
      <c r="B960" s="13"/>
      <c r="C960" s="13"/>
      <c r="D960" s="13"/>
      <c r="E960" s="13"/>
      <c r="F960" s="19"/>
      <c r="G960" s="20"/>
      <c r="H960" s="13"/>
      <c r="I960" s="21"/>
      <c r="J960" s="5"/>
      <c r="K960" s="5"/>
      <c r="L960" s="5"/>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row>
    <row r="961" ht="12.75" customHeight="1">
      <c r="A961" s="18"/>
      <c r="B961" s="13"/>
      <c r="C961" s="13"/>
      <c r="D961" s="13"/>
      <c r="E961" s="13"/>
      <c r="F961" s="19"/>
      <c r="G961" s="20"/>
      <c r="H961" s="13"/>
      <c r="I961" s="21"/>
      <c r="J961" s="5"/>
      <c r="K961" s="5"/>
      <c r="L961" s="5"/>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row>
    <row r="962" ht="12.75" customHeight="1">
      <c r="A962" s="18"/>
      <c r="B962" s="13"/>
      <c r="C962" s="13"/>
      <c r="D962" s="13"/>
      <c r="E962" s="13"/>
      <c r="F962" s="19"/>
      <c r="G962" s="20"/>
      <c r="H962" s="13"/>
      <c r="I962" s="21"/>
      <c r="J962" s="5"/>
      <c r="K962" s="5"/>
      <c r="L962" s="5"/>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row>
    <row r="963" ht="12.75" customHeight="1">
      <c r="A963" s="18"/>
      <c r="B963" s="13"/>
      <c r="C963" s="13"/>
      <c r="D963" s="13"/>
      <c r="E963" s="13"/>
      <c r="F963" s="19"/>
      <c r="G963" s="20"/>
      <c r="H963" s="13"/>
      <c r="I963" s="21"/>
      <c r="J963" s="5"/>
      <c r="K963" s="5"/>
      <c r="L963" s="5"/>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row>
    <row r="964" ht="12.75" customHeight="1">
      <c r="A964" s="18"/>
      <c r="B964" s="13"/>
      <c r="C964" s="13"/>
      <c r="D964" s="13"/>
      <c r="E964" s="13"/>
      <c r="F964" s="19"/>
      <c r="G964" s="20"/>
      <c r="H964" s="13"/>
      <c r="I964" s="21"/>
      <c r="J964" s="5"/>
      <c r="K964" s="5"/>
      <c r="L964" s="5"/>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row>
    <row r="965" ht="12.75" customHeight="1">
      <c r="A965" s="18"/>
      <c r="B965" s="13"/>
      <c r="C965" s="13"/>
      <c r="D965" s="13"/>
      <c r="E965" s="13"/>
      <c r="F965" s="19"/>
      <c r="G965" s="20"/>
      <c r="H965" s="13"/>
      <c r="I965" s="21"/>
      <c r="J965" s="5"/>
      <c r="K965" s="5"/>
      <c r="L965" s="5"/>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row>
    <row r="966" ht="12.75" customHeight="1">
      <c r="A966" s="18"/>
      <c r="B966" s="13"/>
      <c r="C966" s="13"/>
      <c r="D966" s="13"/>
      <c r="E966" s="13"/>
      <c r="F966" s="19"/>
      <c r="G966" s="20"/>
      <c r="H966" s="13"/>
      <c r="I966" s="21"/>
      <c r="J966" s="5"/>
      <c r="K966" s="5"/>
      <c r="L966" s="5"/>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row>
    <row r="967" ht="12.75" customHeight="1">
      <c r="A967" s="18"/>
      <c r="B967" s="13"/>
      <c r="C967" s="13"/>
      <c r="D967" s="13"/>
      <c r="E967" s="13"/>
      <c r="F967" s="19"/>
      <c r="G967" s="20"/>
      <c r="H967" s="13"/>
      <c r="I967" s="21"/>
      <c r="J967" s="5"/>
      <c r="K967" s="5"/>
      <c r="L967" s="5"/>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row>
    <row r="968" ht="12.75" customHeight="1">
      <c r="A968" s="18"/>
      <c r="B968" s="13"/>
      <c r="C968" s="13"/>
      <c r="D968" s="13"/>
      <c r="E968" s="13"/>
      <c r="F968" s="19"/>
      <c r="G968" s="20"/>
      <c r="H968" s="13"/>
      <c r="I968" s="21"/>
      <c r="J968" s="5"/>
      <c r="K968" s="5"/>
      <c r="L968" s="5"/>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row>
    <row r="969" ht="12.75" customHeight="1">
      <c r="A969" s="18"/>
      <c r="B969" s="13"/>
      <c r="C969" s="13"/>
      <c r="D969" s="13"/>
      <c r="E969" s="13"/>
      <c r="F969" s="19"/>
      <c r="G969" s="20"/>
      <c r="H969" s="13"/>
      <c r="I969" s="21"/>
      <c r="J969" s="5"/>
      <c r="K969" s="5"/>
      <c r="L969" s="5"/>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row>
    <row r="970" ht="12.75" customHeight="1">
      <c r="A970" s="18"/>
      <c r="B970" s="13"/>
      <c r="C970" s="13"/>
      <c r="D970" s="13"/>
      <c r="E970" s="13"/>
      <c r="F970" s="19"/>
      <c r="G970" s="20"/>
      <c r="H970" s="13"/>
      <c r="I970" s="21"/>
      <c r="J970" s="5"/>
      <c r="K970" s="5"/>
      <c r="L970" s="5"/>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row>
    <row r="971" ht="12.75" customHeight="1">
      <c r="A971" s="18"/>
      <c r="B971" s="13"/>
      <c r="C971" s="13"/>
      <c r="D971" s="13"/>
      <c r="E971" s="13"/>
      <c r="F971" s="19"/>
      <c r="G971" s="20"/>
      <c r="H971" s="13"/>
      <c r="I971" s="21"/>
      <c r="J971" s="5"/>
      <c r="K971" s="5"/>
      <c r="L971" s="5"/>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row>
    <row r="972" ht="12.75" customHeight="1">
      <c r="A972" s="18"/>
      <c r="B972" s="13"/>
      <c r="C972" s="13"/>
      <c r="D972" s="13"/>
      <c r="E972" s="13"/>
      <c r="F972" s="19"/>
      <c r="G972" s="20"/>
      <c r="H972" s="13"/>
      <c r="I972" s="21"/>
      <c r="J972" s="5"/>
      <c r="K972" s="5"/>
      <c r="L972" s="5"/>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row>
    <row r="973" ht="12.75" customHeight="1">
      <c r="A973" s="18"/>
      <c r="B973" s="13"/>
      <c r="C973" s="13"/>
      <c r="D973" s="13"/>
      <c r="E973" s="13"/>
      <c r="F973" s="19"/>
      <c r="G973" s="20"/>
      <c r="H973" s="13"/>
      <c r="I973" s="21"/>
      <c r="J973" s="5"/>
      <c r="K973" s="5"/>
      <c r="L973" s="5"/>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row>
    <row r="974" ht="12.75" customHeight="1">
      <c r="A974" s="18"/>
      <c r="B974" s="13"/>
      <c r="C974" s="13"/>
      <c r="D974" s="13"/>
      <c r="E974" s="13"/>
      <c r="F974" s="19"/>
      <c r="G974" s="20"/>
      <c r="H974" s="13"/>
      <c r="I974" s="21"/>
      <c r="J974" s="5"/>
      <c r="K974" s="5"/>
      <c r="L974" s="5"/>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row>
    <row r="975" ht="12.75" customHeight="1">
      <c r="A975" s="18"/>
      <c r="B975" s="13"/>
      <c r="C975" s="13"/>
      <c r="D975" s="13"/>
      <c r="E975" s="13"/>
      <c r="F975" s="19"/>
      <c r="G975" s="20"/>
      <c r="H975" s="13"/>
      <c r="I975" s="21"/>
      <c r="J975" s="5"/>
      <c r="K975" s="5"/>
      <c r="L975" s="5"/>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row>
    <row r="976" ht="12.75" customHeight="1">
      <c r="A976" s="18"/>
      <c r="B976" s="13"/>
      <c r="C976" s="13"/>
      <c r="D976" s="13"/>
      <c r="E976" s="13"/>
      <c r="F976" s="19"/>
      <c r="G976" s="20"/>
      <c r="H976" s="13"/>
      <c r="I976" s="21"/>
      <c r="J976" s="5"/>
      <c r="K976" s="5"/>
      <c r="L976" s="5"/>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row>
    <row r="977" ht="12.75" customHeight="1">
      <c r="A977" s="18"/>
      <c r="B977" s="13"/>
      <c r="C977" s="13"/>
      <c r="D977" s="13"/>
      <c r="E977" s="13"/>
      <c r="F977" s="19"/>
      <c r="G977" s="20"/>
      <c r="H977" s="13"/>
      <c r="I977" s="21"/>
      <c r="J977" s="5"/>
      <c r="K977" s="5"/>
      <c r="L977" s="5"/>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row>
    <row r="978" ht="12.75" customHeight="1">
      <c r="A978" s="18"/>
      <c r="B978" s="13"/>
      <c r="C978" s="13"/>
      <c r="D978" s="13"/>
      <c r="E978" s="13"/>
      <c r="F978" s="19"/>
      <c r="G978" s="20"/>
      <c r="H978" s="13"/>
      <c r="I978" s="21"/>
      <c r="J978" s="5"/>
      <c r="K978" s="5"/>
      <c r="L978" s="5"/>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row>
    <row r="979" ht="12.75" customHeight="1">
      <c r="A979" s="18"/>
      <c r="B979" s="13"/>
      <c r="C979" s="13"/>
      <c r="D979" s="13"/>
      <c r="E979" s="13"/>
      <c r="F979" s="19"/>
      <c r="G979" s="20"/>
      <c r="H979" s="13"/>
      <c r="I979" s="21"/>
      <c r="J979" s="5"/>
      <c r="K979" s="5"/>
      <c r="L979" s="5"/>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row>
    <row r="980" ht="12.75" customHeight="1">
      <c r="A980" s="18"/>
      <c r="B980" s="13"/>
      <c r="C980" s="13"/>
      <c r="D980" s="13"/>
      <c r="E980" s="13"/>
      <c r="F980" s="19"/>
      <c r="G980" s="20"/>
      <c r="H980" s="13"/>
      <c r="I980" s="21"/>
      <c r="J980" s="5"/>
      <c r="K980" s="5"/>
      <c r="L980" s="5"/>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row>
    <row r="981" ht="12.75" customHeight="1">
      <c r="A981" s="18"/>
      <c r="B981" s="13"/>
      <c r="C981" s="13"/>
      <c r="D981" s="13"/>
      <c r="E981" s="13"/>
      <c r="F981" s="19"/>
      <c r="G981" s="20"/>
      <c r="H981" s="13"/>
      <c r="I981" s="21"/>
      <c r="J981" s="5"/>
      <c r="K981" s="5"/>
      <c r="L981" s="5"/>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row>
    <row r="982" ht="12.75" customHeight="1">
      <c r="A982" s="18"/>
      <c r="B982" s="13"/>
      <c r="C982" s="13"/>
      <c r="D982" s="13"/>
      <c r="E982" s="13"/>
      <c r="F982" s="19"/>
      <c r="G982" s="20"/>
      <c r="H982" s="13"/>
      <c r="I982" s="21"/>
      <c r="J982" s="5"/>
      <c r="K982" s="5"/>
      <c r="L982" s="5"/>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row>
    <row r="983" ht="12.75" customHeight="1">
      <c r="A983" s="18"/>
      <c r="B983" s="13"/>
      <c r="C983" s="13"/>
      <c r="D983" s="13"/>
      <c r="E983" s="13"/>
      <c r="F983" s="19"/>
      <c r="G983" s="20"/>
      <c r="H983" s="13"/>
      <c r="I983" s="21"/>
      <c r="J983" s="5"/>
      <c r="K983" s="5"/>
      <c r="L983" s="5"/>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row>
    <row r="984" ht="12.75" customHeight="1">
      <c r="A984" s="18"/>
      <c r="B984" s="13"/>
      <c r="C984" s="13"/>
      <c r="D984" s="13"/>
      <c r="E984" s="13"/>
      <c r="F984" s="19"/>
      <c r="G984" s="20"/>
      <c r="H984" s="13"/>
      <c r="I984" s="21"/>
      <c r="J984" s="5"/>
      <c r="K984" s="5"/>
      <c r="L984" s="5"/>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row>
    <row r="985" ht="12.75" customHeight="1">
      <c r="A985" s="18"/>
      <c r="B985" s="13"/>
      <c r="C985" s="13"/>
      <c r="D985" s="13"/>
      <c r="E985" s="13"/>
      <c r="F985" s="19"/>
      <c r="G985" s="20"/>
      <c r="H985" s="13"/>
      <c r="I985" s="21"/>
      <c r="J985" s="5"/>
      <c r="K985" s="5"/>
      <c r="L985" s="5"/>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row>
    <row r="986" ht="12.75" customHeight="1">
      <c r="A986" s="18"/>
      <c r="B986" s="13"/>
      <c r="C986" s="13"/>
      <c r="D986" s="13"/>
      <c r="E986" s="13"/>
      <c r="F986" s="19"/>
      <c r="G986" s="20"/>
      <c r="H986" s="13"/>
      <c r="I986" s="21"/>
      <c r="J986" s="5"/>
      <c r="K986" s="5"/>
      <c r="L986" s="5"/>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row>
    <row r="987" ht="12.75" customHeight="1">
      <c r="A987" s="18"/>
      <c r="B987" s="13"/>
      <c r="C987" s="13"/>
      <c r="D987" s="13"/>
      <c r="E987" s="13"/>
      <c r="F987" s="19"/>
      <c r="G987" s="20"/>
      <c r="H987" s="13"/>
      <c r="I987" s="21"/>
      <c r="J987" s="5"/>
      <c r="K987" s="5"/>
      <c r="L987" s="5"/>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row>
    <row r="988" ht="12.75" customHeight="1">
      <c r="A988" s="18"/>
      <c r="B988" s="13"/>
      <c r="C988" s="13"/>
      <c r="D988" s="13"/>
      <c r="E988" s="13"/>
      <c r="F988" s="19"/>
      <c r="G988" s="20"/>
      <c r="H988" s="13"/>
      <c r="I988" s="21"/>
      <c r="J988" s="5"/>
      <c r="K988" s="5"/>
      <c r="L988" s="5"/>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row>
    <row r="989" ht="12.75" customHeight="1">
      <c r="A989" s="18"/>
      <c r="B989" s="13"/>
      <c r="C989" s="13"/>
      <c r="D989" s="13"/>
      <c r="E989" s="13"/>
      <c r="F989" s="19"/>
      <c r="G989" s="20"/>
      <c r="H989" s="13"/>
      <c r="I989" s="21"/>
      <c r="J989" s="5"/>
      <c r="K989" s="5"/>
      <c r="L989" s="5"/>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row>
    <row r="990" ht="12.75" customHeight="1">
      <c r="A990" s="18"/>
      <c r="B990" s="13"/>
      <c r="C990" s="13"/>
      <c r="D990" s="13"/>
      <c r="E990" s="13"/>
      <c r="F990" s="19"/>
      <c r="G990" s="20"/>
      <c r="H990" s="13"/>
      <c r="I990" s="21"/>
      <c r="J990" s="5"/>
      <c r="K990" s="5"/>
      <c r="L990" s="5"/>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row>
    <row r="991" ht="12.75" customHeight="1">
      <c r="A991" s="18"/>
      <c r="B991" s="13"/>
      <c r="C991" s="13"/>
      <c r="D991" s="13"/>
      <c r="E991" s="13"/>
      <c r="F991" s="19"/>
      <c r="G991" s="20"/>
      <c r="H991" s="13"/>
      <c r="I991" s="21"/>
      <c r="J991" s="5"/>
      <c r="K991" s="5"/>
      <c r="L991" s="5"/>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row>
    <row r="992" ht="12.75" customHeight="1">
      <c r="A992" s="18"/>
      <c r="B992" s="13"/>
      <c r="C992" s="13"/>
      <c r="D992" s="13"/>
      <c r="E992" s="13"/>
      <c r="F992" s="19"/>
      <c r="G992" s="20"/>
      <c r="H992" s="13"/>
      <c r="I992" s="21"/>
      <c r="J992" s="5"/>
      <c r="K992" s="5"/>
      <c r="L992" s="5"/>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row>
    <row r="993" ht="12.75" customHeight="1">
      <c r="A993" s="18"/>
      <c r="B993" s="13"/>
      <c r="C993" s="13"/>
      <c r="D993" s="13"/>
      <c r="E993" s="13"/>
      <c r="F993" s="19"/>
      <c r="G993" s="20"/>
      <c r="H993" s="13"/>
      <c r="I993" s="21"/>
      <c r="J993" s="5"/>
      <c r="K993" s="5"/>
      <c r="L993" s="5"/>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row>
    <row r="994" ht="12.75" customHeight="1">
      <c r="A994" s="18"/>
      <c r="B994" s="13"/>
      <c r="C994" s="13"/>
      <c r="D994" s="13"/>
      <c r="E994" s="13"/>
      <c r="F994" s="19"/>
      <c r="G994" s="20"/>
      <c r="H994" s="13"/>
      <c r="I994" s="21"/>
      <c r="J994" s="5"/>
      <c r="K994" s="5"/>
      <c r="L994" s="5"/>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row>
    <row r="995" ht="12.75" customHeight="1">
      <c r="A995" s="18"/>
      <c r="B995" s="13"/>
      <c r="C995" s="13"/>
      <c r="D995" s="13"/>
      <c r="E995" s="13"/>
      <c r="F995" s="19"/>
      <c r="G995" s="20"/>
      <c r="H995" s="13"/>
      <c r="I995" s="21"/>
      <c r="J995" s="5"/>
      <c r="K995" s="5"/>
      <c r="L995" s="5"/>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row>
    <row r="996" ht="12.75" customHeight="1">
      <c r="A996" s="18"/>
      <c r="B996" s="13"/>
      <c r="C996" s="13"/>
      <c r="D996" s="13"/>
      <c r="E996" s="13"/>
      <c r="F996" s="19"/>
      <c r="G996" s="20"/>
      <c r="H996" s="13"/>
      <c r="I996" s="21"/>
      <c r="J996" s="5"/>
      <c r="K996" s="5"/>
      <c r="L996" s="5"/>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row>
    <row r="997" ht="12.75" customHeight="1">
      <c r="A997" s="18"/>
      <c r="B997" s="13"/>
      <c r="C997" s="13"/>
      <c r="D997" s="13"/>
      <c r="E997" s="13"/>
      <c r="F997" s="19"/>
      <c r="G997" s="20"/>
      <c r="H997" s="13"/>
      <c r="I997" s="21"/>
      <c r="J997" s="5"/>
      <c r="K997" s="5"/>
      <c r="L997" s="5"/>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row>
    <row r="998" ht="12.75" customHeight="1">
      <c r="A998" s="18"/>
      <c r="B998" s="13"/>
      <c r="C998" s="13"/>
      <c r="D998" s="13"/>
      <c r="E998" s="13"/>
      <c r="F998" s="19"/>
      <c r="G998" s="20"/>
      <c r="H998" s="13"/>
      <c r="I998" s="21"/>
      <c r="J998" s="5"/>
      <c r="K998" s="5"/>
      <c r="L998" s="5"/>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row>
    <row r="999" ht="12.75" customHeight="1">
      <c r="A999" s="18"/>
      <c r="B999" s="13"/>
      <c r="C999" s="13"/>
      <c r="D999" s="13"/>
      <c r="E999" s="13"/>
      <c r="F999" s="19"/>
      <c r="G999" s="20"/>
      <c r="H999" s="13"/>
      <c r="I999" s="21"/>
      <c r="J999" s="5"/>
      <c r="K999" s="5"/>
      <c r="L999" s="5"/>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row>
    <row r="1000" ht="12.75" customHeight="1">
      <c r="A1000" s="18"/>
      <c r="B1000" s="13"/>
      <c r="C1000" s="13"/>
      <c r="D1000" s="13"/>
      <c r="E1000" s="13"/>
      <c r="F1000" s="19"/>
      <c r="G1000" s="20"/>
      <c r="H1000" s="13"/>
      <c r="I1000" s="21"/>
      <c r="J1000" s="5"/>
      <c r="K1000" s="5"/>
      <c r="L1000" s="5"/>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row>
  </sheetData>
  <printOptions/>
  <pageMargins bottom="1.05277777777778" footer="0.0" header="0.0" left="0.7875" right="0.7875" top="1.05277777777778"/>
  <pageSetup orientation="portrait"/>
  <headerFooter>
    <oddHeader>&amp;C&amp;A</oddHeader>
    <oddFooter>&amp;CPage &amp;P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5"/>
    <col customWidth="1" min="2" max="2" width="11.5"/>
    <col customWidth="1" min="3" max="3" width="23.38"/>
    <col customWidth="1" min="4" max="4" width="19.63"/>
    <col customWidth="1" min="5" max="5" width="53.5"/>
    <col customWidth="1" min="6" max="6" width="20.63"/>
    <col customWidth="1" min="7" max="8" width="12.5"/>
    <col customWidth="1" min="9" max="9" width="15.25"/>
    <col customWidth="1" min="10" max="10" width="11.5"/>
    <col customWidth="1" min="11" max="11" width="14.13"/>
    <col customWidth="1" min="12" max="26" width="11.5"/>
  </cols>
  <sheetData>
    <row r="1" ht="12.75" customHeight="1">
      <c r="A1" s="1" t="s">
        <v>99</v>
      </c>
      <c r="B1" s="37" t="s">
        <v>100</v>
      </c>
      <c r="C1" s="38" t="s">
        <v>4</v>
      </c>
      <c r="D1" s="39" t="s">
        <v>101</v>
      </c>
      <c r="E1" s="1" t="s">
        <v>102</v>
      </c>
      <c r="F1" s="1" t="s">
        <v>103</v>
      </c>
      <c r="G1" s="40" t="s">
        <v>104</v>
      </c>
      <c r="H1" s="40" t="s">
        <v>105</v>
      </c>
      <c r="I1" s="40" t="s">
        <v>106</v>
      </c>
      <c r="J1" s="1" t="s">
        <v>107</v>
      </c>
      <c r="K1" s="41" t="s">
        <v>108</v>
      </c>
    </row>
    <row r="2" ht="12.75" hidden="1" customHeight="1">
      <c r="A2" s="42" t="s">
        <v>109</v>
      </c>
      <c r="B2" s="43">
        <v>45659.0</v>
      </c>
      <c r="C2" s="44" t="s">
        <v>110</v>
      </c>
      <c r="D2" s="45" t="s">
        <v>111</v>
      </c>
      <c r="E2" s="42" t="s">
        <v>112</v>
      </c>
      <c r="F2" s="46">
        <v>1.8616665E7</v>
      </c>
      <c r="G2" s="46">
        <v>1116999.9</v>
      </c>
      <c r="H2" s="46">
        <v>2170703.139</v>
      </c>
      <c r="I2" s="46">
        <v>2.1904368038999997E7</v>
      </c>
      <c r="J2" s="42" t="s">
        <v>113</v>
      </c>
      <c r="K2" s="47">
        <v>9.72356E7</v>
      </c>
    </row>
    <row r="3" ht="12.75" hidden="1" customHeight="1">
      <c r="A3" s="42" t="s">
        <v>114</v>
      </c>
      <c r="B3" s="43">
        <v>45659.0</v>
      </c>
      <c r="C3" s="44" t="s">
        <v>110</v>
      </c>
      <c r="D3" s="45" t="s">
        <v>115</v>
      </c>
      <c r="E3" s="42" t="s">
        <v>116</v>
      </c>
      <c r="F3" s="46">
        <v>2.8480668E7</v>
      </c>
      <c r="G3" s="46">
        <v>1708840.0799999998</v>
      </c>
      <c r="H3" s="46">
        <v>3320845.8888</v>
      </c>
      <c r="I3" s="46">
        <v>3.3510353968799997E7</v>
      </c>
      <c r="J3" s="42" t="s">
        <v>113</v>
      </c>
      <c r="K3" s="47"/>
    </row>
    <row r="4" ht="12.75" hidden="1" customHeight="1">
      <c r="A4" s="42" t="s">
        <v>117</v>
      </c>
      <c r="B4" s="43">
        <v>45659.0</v>
      </c>
      <c r="C4" s="44" t="s">
        <v>110</v>
      </c>
      <c r="D4" s="45" t="s">
        <v>118</v>
      </c>
      <c r="E4" s="42" t="s">
        <v>119</v>
      </c>
      <c r="F4" s="46">
        <v>2.60741541E8</v>
      </c>
      <c r="G4" s="46">
        <v>1.5644492459999999E7</v>
      </c>
      <c r="H4" s="46">
        <v>3.04024636806E7</v>
      </c>
      <c r="I4" s="46">
        <v>3.0678849714059997E8</v>
      </c>
      <c r="J4" s="42" t="s">
        <v>113</v>
      </c>
      <c r="K4" s="47"/>
    </row>
    <row r="5" ht="12.75" hidden="1" customHeight="1">
      <c r="A5" s="42" t="s">
        <v>120</v>
      </c>
      <c r="B5" s="43">
        <v>45659.0</v>
      </c>
      <c r="C5" s="42">
        <v>4.650017194E9</v>
      </c>
      <c r="D5" s="45" t="e">
        <v>#N/A</v>
      </c>
      <c r="E5" s="42" t="s">
        <v>121</v>
      </c>
      <c r="F5" s="46">
        <v>3.38680067E8</v>
      </c>
      <c r="G5" s="46">
        <v>1.8288723618E7</v>
      </c>
      <c r="H5" s="46">
        <v>3.9266566967980005E7</v>
      </c>
      <c r="I5" s="46">
        <v>3.9623535758598006E8</v>
      </c>
      <c r="J5" s="42" t="e">
        <v>#N/A</v>
      </c>
      <c r="K5" s="47"/>
    </row>
    <row r="6" ht="12.75" hidden="1" customHeight="1">
      <c r="A6" s="42" t="s">
        <v>122</v>
      </c>
      <c r="B6" s="43">
        <v>45659.0</v>
      </c>
      <c r="C6" s="42">
        <v>4.650017194E9</v>
      </c>
      <c r="D6" s="45" t="e">
        <v>#N/A</v>
      </c>
      <c r="E6" s="42" t="s">
        <v>123</v>
      </c>
      <c r="F6" s="46">
        <v>1.28196743E8</v>
      </c>
      <c r="G6" s="46">
        <v>6922624.122</v>
      </c>
      <c r="H6" s="46">
        <v>1.4863130383420002E7</v>
      </c>
      <c r="I6" s="46">
        <v>1.4998249750542E8</v>
      </c>
      <c r="J6" s="42" t="e">
        <v>#N/A</v>
      </c>
      <c r="K6" s="47"/>
    </row>
    <row r="7" ht="12.75" hidden="1" customHeight="1">
      <c r="A7" s="42" t="s">
        <v>124</v>
      </c>
      <c r="B7" s="43">
        <v>45659.0</v>
      </c>
      <c r="C7" s="44" t="s">
        <v>125</v>
      </c>
      <c r="D7" s="45" t="e">
        <v>#N/A</v>
      </c>
      <c r="E7" s="42" t="s">
        <v>126</v>
      </c>
      <c r="F7" s="46">
        <v>1.821839E7</v>
      </c>
      <c r="G7" s="46"/>
      <c r="H7" s="46">
        <v>2004022.9</v>
      </c>
      <c r="I7" s="46">
        <v>2.02224129E7</v>
      </c>
      <c r="J7" s="42" t="s">
        <v>113</v>
      </c>
      <c r="K7" s="47"/>
    </row>
    <row r="8" ht="12.75" hidden="1" customHeight="1">
      <c r="A8" s="42" t="s">
        <v>127</v>
      </c>
      <c r="B8" s="43">
        <v>45659.0</v>
      </c>
      <c r="C8" s="44" t="s">
        <v>125</v>
      </c>
      <c r="D8" s="45" t="e">
        <v>#N/A</v>
      </c>
      <c r="E8" s="42" t="s">
        <v>128</v>
      </c>
      <c r="F8" s="46">
        <v>5786460.0</v>
      </c>
      <c r="G8" s="46"/>
      <c r="H8" s="46">
        <v>636510.6</v>
      </c>
      <c r="I8" s="46">
        <v>6422970.6</v>
      </c>
      <c r="J8" s="42" t="e">
        <v>#N/A</v>
      </c>
      <c r="K8" s="47"/>
    </row>
    <row r="9" ht="12.75" hidden="1" customHeight="1">
      <c r="A9" s="42" t="s">
        <v>129</v>
      </c>
      <c r="B9" s="43">
        <v>45659.0</v>
      </c>
      <c r="C9" s="44" t="s">
        <v>125</v>
      </c>
      <c r="D9" s="45" t="e">
        <v>#N/A</v>
      </c>
      <c r="E9" s="42" t="s">
        <v>130</v>
      </c>
      <c r="F9" s="46">
        <v>3335910.0</v>
      </c>
      <c r="G9" s="46"/>
      <c r="H9" s="46">
        <v>366950.1</v>
      </c>
      <c r="I9" s="46">
        <v>3702860.1</v>
      </c>
      <c r="J9" s="42" t="s">
        <v>113</v>
      </c>
      <c r="K9" s="47"/>
    </row>
    <row r="10" ht="12.75" hidden="1" customHeight="1">
      <c r="A10" s="42" t="s">
        <v>131</v>
      </c>
      <c r="B10" s="43">
        <v>45659.0</v>
      </c>
      <c r="C10" s="44" t="s">
        <v>125</v>
      </c>
      <c r="D10" s="45" t="e">
        <v>#N/A</v>
      </c>
      <c r="E10" s="42" t="s">
        <v>132</v>
      </c>
      <c r="F10" s="46">
        <v>963883.0</v>
      </c>
      <c r="G10" s="46"/>
      <c r="H10" s="46">
        <v>106027.13</v>
      </c>
      <c r="I10" s="46">
        <v>1069910.13</v>
      </c>
      <c r="J10" s="42" t="s">
        <v>113</v>
      </c>
      <c r="K10" s="47"/>
    </row>
    <row r="11" ht="12.75" hidden="1" customHeight="1">
      <c r="A11" s="42" t="s">
        <v>133</v>
      </c>
      <c r="B11" s="43">
        <v>45659.0</v>
      </c>
      <c r="C11" s="42" t="s">
        <v>134</v>
      </c>
      <c r="D11" s="45" t="s">
        <v>135</v>
      </c>
      <c r="E11" s="42" t="s">
        <v>136</v>
      </c>
      <c r="F11" s="46">
        <v>2.1865E8</v>
      </c>
      <c r="G11" s="46"/>
      <c r="H11" s="46">
        <v>2.40515E7</v>
      </c>
      <c r="I11" s="46">
        <v>2.427015E8</v>
      </c>
      <c r="J11" s="42" t="s">
        <v>113</v>
      </c>
      <c r="K11" s="48"/>
    </row>
    <row r="12" ht="12.75" customHeight="1">
      <c r="A12" s="49" t="s">
        <v>109</v>
      </c>
      <c r="B12" s="50">
        <v>45659.0</v>
      </c>
      <c r="C12" s="51">
        <v>4.650017814E9</v>
      </c>
      <c r="D12" s="52" t="s">
        <v>111</v>
      </c>
      <c r="E12" s="53" t="s">
        <v>112</v>
      </c>
      <c r="F12" s="54" t="s">
        <v>137</v>
      </c>
      <c r="G12" s="54" t="s">
        <v>138</v>
      </c>
      <c r="H12" s="54" t="s">
        <v>139</v>
      </c>
      <c r="I12" s="54" t="s">
        <v>140</v>
      </c>
      <c r="J12" s="55" t="s">
        <v>113</v>
      </c>
      <c r="K12" s="56"/>
    </row>
    <row r="13" ht="12.75" customHeight="1">
      <c r="A13" s="49" t="s">
        <v>114</v>
      </c>
      <c r="B13" s="50">
        <v>45659.0</v>
      </c>
      <c r="C13" s="51">
        <v>4.650017814E9</v>
      </c>
      <c r="D13" s="52" t="s">
        <v>115</v>
      </c>
      <c r="E13" s="53" t="s">
        <v>116</v>
      </c>
      <c r="F13" s="54" t="s">
        <v>141</v>
      </c>
      <c r="G13" s="54" t="s">
        <v>142</v>
      </c>
      <c r="H13" s="54" t="s">
        <v>143</v>
      </c>
      <c r="I13" s="54" t="s">
        <v>144</v>
      </c>
      <c r="J13" s="55" t="s">
        <v>113</v>
      </c>
      <c r="K13" s="56"/>
    </row>
    <row r="14" ht="12.75" customHeight="1">
      <c r="A14" s="49" t="s">
        <v>117</v>
      </c>
      <c r="B14" s="50">
        <v>45659.0</v>
      </c>
      <c r="C14" s="51">
        <v>4.650017814E9</v>
      </c>
      <c r="D14" s="52" t="s">
        <v>118</v>
      </c>
      <c r="E14" s="53" t="s">
        <v>119</v>
      </c>
      <c r="F14" s="54" t="s">
        <v>145</v>
      </c>
      <c r="G14" s="54" t="s">
        <v>146</v>
      </c>
      <c r="H14" s="54" t="s">
        <v>147</v>
      </c>
      <c r="I14" s="54" t="s">
        <v>148</v>
      </c>
      <c r="J14" s="55" t="s">
        <v>113</v>
      </c>
      <c r="K14" s="56"/>
    </row>
    <row r="15" ht="12.75" customHeight="1">
      <c r="A15" s="49" t="s">
        <v>120</v>
      </c>
      <c r="B15" s="50">
        <v>45659.0</v>
      </c>
      <c r="C15" s="51">
        <v>4.650017194E9</v>
      </c>
      <c r="D15" s="52" t="e">
        <v>#N/A</v>
      </c>
      <c r="E15" s="53" t="s">
        <v>121</v>
      </c>
      <c r="F15" s="54" t="s">
        <v>149</v>
      </c>
      <c r="G15" s="54" t="s">
        <v>150</v>
      </c>
      <c r="H15" s="54" t="s">
        <v>151</v>
      </c>
      <c r="I15" s="54" t="s">
        <v>152</v>
      </c>
      <c r="J15" s="55" t="e">
        <v>#N/A</v>
      </c>
      <c r="K15" s="56"/>
    </row>
    <row r="16" ht="12.75" customHeight="1">
      <c r="A16" s="49" t="s">
        <v>122</v>
      </c>
      <c r="B16" s="50">
        <v>45659.0</v>
      </c>
      <c r="C16" s="51">
        <v>4.650017194E9</v>
      </c>
      <c r="D16" s="52" t="e">
        <v>#N/A</v>
      </c>
      <c r="E16" s="53" t="s">
        <v>123</v>
      </c>
      <c r="F16" s="54" t="s">
        <v>153</v>
      </c>
      <c r="G16" s="54" t="s">
        <v>154</v>
      </c>
      <c r="H16" s="54" t="s">
        <v>155</v>
      </c>
      <c r="I16" s="54" t="s">
        <v>156</v>
      </c>
      <c r="J16" s="55" t="e">
        <v>#N/A</v>
      </c>
      <c r="K16" s="56"/>
    </row>
    <row r="17" ht="12.75" customHeight="1">
      <c r="A17" s="49" t="s">
        <v>124</v>
      </c>
      <c r="B17" s="50">
        <v>45659.0</v>
      </c>
      <c r="C17" s="51">
        <v>4.650017194E9</v>
      </c>
      <c r="D17" s="52" t="e">
        <v>#N/A</v>
      </c>
      <c r="E17" s="53" t="s">
        <v>126</v>
      </c>
      <c r="F17" s="54" t="s">
        <v>157</v>
      </c>
      <c r="G17" s="57"/>
      <c r="H17" s="54" t="s">
        <v>158</v>
      </c>
      <c r="I17" s="54" t="s">
        <v>159</v>
      </c>
      <c r="J17" s="55" t="s">
        <v>113</v>
      </c>
      <c r="K17" s="56"/>
    </row>
    <row r="18" ht="12.75" customHeight="1">
      <c r="A18" s="49" t="s">
        <v>127</v>
      </c>
      <c r="B18" s="50">
        <v>45659.0</v>
      </c>
      <c r="C18" s="51">
        <v>4.650017194E9</v>
      </c>
      <c r="D18" s="52" t="e">
        <v>#N/A</v>
      </c>
      <c r="E18" s="53" t="s">
        <v>128</v>
      </c>
      <c r="F18" s="54" t="s">
        <v>160</v>
      </c>
      <c r="G18" s="57"/>
      <c r="H18" s="54">
        <v>636.511</v>
      </c>
      <c r="I18" s="54" t="s">
        <v>161</v>
      </c>
      <c r="J18" s="55" t="e">
        <v>#N/A</v>
      </c>
      <c r="K18" s="56"/>
    </row>
    <row r="19" ht="12.75" customHeight="1">
      <c r="A19" s="49" t="s">
        <v>129</v>
      </c>
      <c r="B19" s="50">
        <v>45659.0</v>
      </c>
      <c r="C19" s="51">
        <v>4.650017194E9</v>
      </c>
      <c r="D19" s="52" t="e">
        <v>#N/A</v>
      </c>
      <c r="E19" s="53" t="s">
        <v>130</v>
      </c>
      <c r="F19" s="54" t="s">
        <v>162</v>
      </c>
      <c r="G19" s="57"/>
      <c r="H19" s="54">
        <v>366.95</v>
      </c>
      <c r="I19" s="54" t="s">
        <v>163</v>
      </c>
      <c r="J19" s="55" t="s">
        <v>113</v>
      </c>
      <c r="K19" s="56"/>
    </row>
    <row r="20" ht="12.75" hidden="1" customHeight="1">
      <c r="A20" s="58" t="s">
        <v>164</v>
      </c>
      <c r="B20" s="59">
        <v>45659.0</v>
      </c>
      <c r="C20" s="60" t="s">
        <v>165</v>
      </c>
      <c r="D20" s="61" t="s">
        <v>166</v>
      </c>
      <c r="E20" s="58" t="s">
        <v>167</v>
      </c>
      <c r="F20" s="62">
        <v>7.94391914E8</v>
      </c>
      <c r="G20" s="62">
        <v>4.369155527E7</v>
      </c>
      <c r="H20" s="62">
        <v>9.21891816197E7</v>
      </c>
      <c r="I20" s="62">
        <v>9.302726508896999E8</v>
      </c>
      <c r="J20" s="58" t="s">
        <v>113</v>
      </c>
      <c r="K20" s="56"/>
    </row>
    <row r="21" ht="12.75" hidden="1" customHeight="1">
      <c r="A21" s="58" t="s">
        <v>168</v>
      </c>
      <c r="B21" s="59">
        <v>45693.0</v>
      </c>
      <c r="C21" s="60" t="s">
        <v>165</v>
      </c>
      <c r="D21" s="61" t="s">
        <v>169</v>
      </c>
      <c r="E21" s="58" t="s">
        <v>170</v>
      </c>
      <c r="F21" s="62">
        <v>5.8335639E7</v>
      </c>
      <c r="G21" s="62">
        <v>3500138.34</v>
      </c>
      <c r="H21" s="62">
        <v>6801935.5074000005</v>
      </c>
      <c r="I21" s="62">
        <v>6.863771284740001E7</v>
      </c>
      <c r="J21" s="58" t="s">
        <v>113</v>
      </c>
      <c r="K21" s="56"/>
    </row>
    <row r="22" ht="12.75" hidden="1" customHeight="1">
      <c r="A22" s="58" t="s">
        <v>171</v>
      </c>
      <c r="B22" s="59">
        <v>45693.0</v>
      </c>
      <c r="C22" s="60" t="s">
        <v>165</v>
      </c>
      <c r="D22" s="61" t="s">
        <v>172</v>
      </c>
      <c r="E22" s="58" t="s">
        <v>173</v>
      </c>
      <c r="F22" s="62">
        <v>3.9290244E7</v>
      </c>
      <c r="G22" s="62">
        <v>2357414.64</v>
      </c>
      <c r="H22" s="62">
        <v>4581242.4504</v>
      </c>
      <c r="I22" s="62">
        <v>4.62289010904E7</v>
      </c>
      <c r="J22" s="58" t="s">
        <v>113</v>
      </c>
      <c r="K22" s="56"/>
    </row>
    <row r="23" ht="12.75" hidden="1" customHeight="1">
      <c r="A23" s="58" t="s">
        <v>174</v>
      </c>
      <c r="B23" s="59">
        <v>45693.0</v>
      </c>
      <c r="C23" s="60" t="s">
        <v>165</v>
      </c>
      <c r="D23" s="61" t="s">
        <v>175</v>
      </c>
      <c r="E23" s="58" t="s">
        <v>176</v>
      </c>
      <c r="F23" s="62">
        <v>4.13307875E8</v>
      </c>
      <c r="G23" s="62">
        <v>2.47984725E7</v>
      </c>
      <c r="H23" s="62">
        <v>4.8191698225E7</v>
      </c>
      <c r="I23" s="62">
        <v>4.86298045725E8</v>
      </c>
      <c r="J23" s="58" t="s">
        <v>113</v>
      </c>
      <c r="K23" s="56"/>
    </row>
    <row r="24" ht="12.75" customHeight="1">
      <c r="A24" s="49" t="s">
        <v>131</v>
      </c>
      <c r="B24" s="50">
        <v>45659.0</v>
      </c>
      <c r="C24" s="51">
        <v>4.650017194E9</v>
      </c>
      <c r="D24" s="52" t="e">
        <v>#N/A</v>
      </c>
      <c r="E24" s="53" t="s">
        <v>132</v>
      </c>
      <c r="F24" s="54">
        <v>963.883</v>
      </c>
      <c r="G24" s="57"/>
      <c r="H24" s="54">
        <v>106.027</v>
      </c>
      <c r="I24" s="54" t="s">
        <v>177</v>
      </c>
      <c r="J24" s="55" t="s">
        <v>113</v>
      </c>
      <c r="K24" s="56"/>
    </row>
    <row r="25" ht="12.75" hidden="1" customHeight="1">
      <c r="A25" s="58" t="s">
        <v>178</v>
      </c>
      <c r="B25" s="59">
        <v>45698.0</v>
      </c>
      <c r="C25" s="60" t="s">
        <v>110</v>
      </c>
      <c r="D25" s="61" t="s">
        <v>179</v>
      </c>
      <c r="E25" s="58" t="s">
        <v>180</v>
      </c>
      <c r="F25" s="62">
        <v>2.840158E7</v>
      </c>
      <c r="G25" s="62">
        <v>1704094.8</v>
      </c>
      <c r="H25" s="62">
        <v>3311624.228</v>
      </c>
      <c r="I25" s="62">
        <v>3.3417299028E7</v>
      </c>
      <c r="J25" s="58" t="s">
        <v>113</v>
      </c>
      <c r="K25" s="56"/>
    </row>
    <row r="26" ht="12.75" hidden="1" customHeight="1">
      <c r="A26" s="58" t="s">
        <v>181</v>
      </c>
      <c r="B26" s="59">
        <v>45698.0</v>
      </c>
      <c r="C26" s="60" t="s">
        <v>110</v>
      </c>
      <c r="D26" s="61" t="s">
        <v>182</v>
      </c>
      <c r="E26" s="58" t="s">
        <v>183</v>
      </c>
      <c r="F26" s="62">
        <v>4.0100894E7</v>
      </c>
      <c r="G26" s="62">
        <v>2406053.64</v>
      </c>
      <c r="H26" s="62">
        <v>4675764.2404000005</v>
      </c>
      <c r="I26" s="62">
        <v>4.71827118804E7</v>
      </c>
      <c r="J26" s="58" t="s">
        <v>113</v>
      </c>
      <c r="K26" s="56"/>
    </row>
    <row r="27" ht="12.75" hidden="1" customHeight="1">
      <c r="A27" s="58" t="s">
        <v>184</v>
      </c>
      <c r="B27" s="59">
        <v>45698.0</v>
      </c>
      <c r="C27" s="60" t="s">
        <v>110</v>
      </c>
      <c r="D27" s="61">
        <v>3.00250004398441E15</v>
      </c>
      <c r="E27" s="58" t="s">
        <v>185</v>
      </c>
      <c r="F27" s="62">
        <v>8.3102759E7</v>
      </c>
      <c r="G27" s="62">
        <v>4986165.54</v>
      </c>
      <c r="H27" s="62">
        <v>9689781.6994</v>
      </c>
      <c r="I27" s="62">
        <v>9.77787062394E7</v>
      </c>
      <c r="J27" s="58" t="s">
        <v>113</v>
      </c>
      <c r="K27" s="56"/>
    </row>
    <row r="28" ht="12.75" hidden="1" customHeight="1">
      <c r="A28" s="58" t="s">
        <v>186</v>
      </c>
      <c r="B28" s="59">
        <v>45702.0</v>
      </c>
      <c r="C28" s="60" t="s">
        <v>110</v>
      </c>
      <c r="D28" s="61" t="e">
        <v>#N/A</v>
      </c>
      <c r="E28" s="58" t="s">
        <v>187</v>
      </c>
      <c r="F28" s="62">
        <v>2.738832E7</v>
      </c>
      <c r="G28" s="62">
        <v>1506357.6</v>
      </c>
      <c r="H28" s="62">
        <v>165699.336</v>
      </c>
      <c r="I28" s="62">
        <v>2.9060376936E7</v>
      </c>
      <c r="J28" s="58" t="s">
        <v>113</v>
      </c>
      <c r="K28" s="56"/>
    </row>
    <row r="29" ht="12.75" hidden="1" customHeight="1">
      <c r="A29" s="58" t="s">
        <v>188</v>
      </c>
      <c r="B29" s="59">
        <v>45702.0</v>
      </c>
      <c r="C29" s="60" t="s">
        <v>110</v>
      </c>
      <c r="D29" s="61" t="e">
        <v>#N/A</v>
      </c>
      <c r="E29" s="58" t="s">
        <v>189</v>
      </c>
      <c r="F29" s="62">
        <v>1.552E8</v>
      </c>
      <c r="G29" s="62">
        <v>8536000.0</v>
      </c>
      <c r="H29" s="62">
        <v>1.801096E7</v>
      </c>
      <c r="I29" s="62">
        <v>1.8174696E8</v>
      </c>
      <c r="J29" s="58" t="s">
        <v>113</v>
      </c>
      <c r="K29" s="56"/>
    </row>
    <row r="30" ht="12.75" hidden="1" customHeight="1">
      <c r="A30" s="58" t="s">
        <v>190</v>
      </c>
      <c r="B30" s="59">
        <v>45705.0</v>
      </c>
      <c r="C30" s="58">
        <v>3.900540206E9</v>
      </c>
      <c r="D30" s="61" t="e">
        <v>#N/A</v>
      </c>
      <c r="E30" s="58" t="s">
        <v>191</v>
      </c>
      <c r="F30" s="62">
        <v>2.70152363E8</v>
      </c>
      <c r="G30" s="62">
        <v>1.7019598869E7</v>
      </c>
      <c r="H30" s="62">
        <v>3.1588915805590004E7</v>
      </c>
      <c r="I30" s="62">
        <v>3.1876087767459E8</v>
      </c>
      <c r="J30" s="58" t="s">
        <v>113</v>
      </c>
      <c r="K30" s="56"/>
    </row>
    <row r="31" ht="12.75" hidden="1" customHeight="1">
      <c r="A31" s="58" t="s">
        <v>192</v>
      </c>
      <c r="B31" s="59">
        <v>45713.0</v>
      </c>
      <c r="C31" s="58" t="s">
        <v>134</v>
      </c>
      <c r="D31" s="61" t="e">
        <v>#N/A</v>
      </c>
      <c r="E31" s="58" t="s">
        <v>193</v>
      </c>
      <c r="F31" s="62">
        <v>2.1865E8</v>
      </c>
      <c r="G31" s="62"/>
      <c r="H31" s="62">
        <v>2.40515E7</v>
      </c>
      <c r="I31" s="62">
        <v>2.427015E8</v>
      </c>
      <c r="J31" s="58" t="s">
        <v>113</v>
      </c>
      <c r="K31" s="56"/>
    </row>
    <row r="32" ht="12.75" customHeight="1">
      <c r="A32" s="49" t="s">
        <v>133</v>
      </c>
      <c r="B32" s="50">
        <v>45659.0</v>
      </c>
      <c r="C32" s="51" t="s">
        <v>194</v>
      </c>
      <c r="D32" s="52" t="s">
        <v>135</v>
      </c>
      <c r="E32" s="53" t="s">
        <v>136</v>
      </c>
      <c r="F32" s="54" t="s">
        <v>195</v>
      </c>
      <c r="G32" s="57"/>
      <c r="H32" s="54" t="s">
        <v>196</v>
      </c>
      <c r="I32" s="54" t="s">
        <v>197</v>
      </c>
      <c r="J32" s="55" t="s">
        <v>113</v>
      </c>
      <c r="K32" s="56"/>
    </row>
    <row r="33" ht="12.75" customHeight="1">
      <c r="A33" s="49" t="s">
        <v>198</v>
      </c>
      <c r="B33" s="50">
        <v>45659.0</v>
      </c>
      <c r="C33" s="51">
        <v>4.600003949E9</v>
      </c>
      <c r="D33" s="52">
        <v>3.0025E19</v>
      </c>
      <c r="E33" s="53" t="s">
        <v>199</v>
      </c>
      <c r="F33" s="54" t="s">
        <v>200</v>
      </c>
      <c r="G33" s="57"/>
      <c r="H33" s="54" t="s">
        <v>201</v>
      </c>
      <c r="I33" s="54" t="s">
        <v>202</v>
      </c>
      <c r="J33" s="55" t="s">
        <v>113</v>
      </c>
      <c r="K33" s="56"/>
    </row>
    <row r="34" ht="12.75" customHeight="1">
      <c r="A34" s="49" t="s">
        <v>203</v>
      </c>
      <c r="B34" s="50">
        <v>45659.0</v>
      </c>
      <c r="C34" s="51">
        <v>4.600003949E9</v>
      </c>
      <c r="D34" s="52" t="e">
        <v>#N/A</v>
      </c>
      <c r="E34" s="53" t="s">
        <v>204</v>
      </c>
      <c r="F34" s="54" t="s">
        <v>205</v>
      </c>
      <c r="G34" s="57"/>
      <c r="H34" s="54" t="s">
        <v>206</v>
      </c>
      <c r="I34" s="54" t="s">
        <v>207</v>
      </c>
      <c r="J34" s="55" t="s">
        <v>113</v>
      </c>
      <c r="K34" s="56"/>
    </row>
    <row r="35" ht="12.75" customHeight="1">
      <c r="A35" s="49" t="s">
        <v>208</v>
      </c>
      <c r="B35" s="50">
        <v>45659.0</v>
      </c>
      <c r="C35" s="51">
        <v>4.600003949E9</v>
      </c>
      <c r="D35" s="52" t="s">
        <v>209</v>
      </c>
      <c r="E35" s="53" t="s">
        <v>210</v>
      </c>
      <c r="F35" s="54" t="s">
        <v>211</v>
      </c>
      <c r="G35" s="57"/>
      <c r="H35" s="54" t="s">
        <v>212</v>
      </c>
      <c r="I35" s="54" t="s">
        <v>213</v>
      </c>
      <c r="J35" s="55" t="s">
        <v>113</v>
      </c>
      <c r="K35" s="56"/>
    </row>
    <row r="36" ht="12.75" customHeight="1">
      <c r="A36" s="49" t="s">
        <v>214</v>
      </c>
      <c r="B36" s="50">
        <v>45659.0</v>
      </c>
      <c r="C36" s="51">
        <v>4.600003949E9</v>
      </c>
      <c r="D36" s="52" t="e">
        <v>#N/A</v>
      </c>
      <c r="E36" s="53" t="s">
        <v>215</v>
      </c>
      <c r="F36" s="54" t="s">
        <v>216</v>
      </c>
      <c r="G36" s="57"/>
      <c r="H36" s="54" t="s">
        <v>217</v>
      </c>
      <c r="I36" s="54" t="s">
        <v>218</v>
      </c>
      <c r="J36" s="55" t="s">
        <v>113</v>
      </c>
      <c r="K36" s="56"/>
    </row>
    <row r="37" ht="12.75" customHeight="1">
      <c r="A37" s="49" t="s">
        <v>219</v>
      </c>
      <c r="B37" s="50">
        <v>45659.0</v>
      </c>
      <c r="C37" s="51">
        <v>4.600003949E9</v>
      </c>
      <c r="D37" s="52" t="e">
        <v>#N/A</v>
      </c>
      <c r="E37" s="53" t="s">
        <v>220</v>
      </c>
      <c r="F37" s="54" t="s">
        <v>221</v>
      </c>
      <c r="G37" s="57"/>
      <c r="H37" s="54" t="s">
        <v>222</v>
      </c>
      <c r="I37" s="54" t="s">
        <v>223</v>
      </c>
      <c r="J37" s="55" t="s">
        <v>113</v>
      </c>
      <c r="K37" s="56"/>
    </row>
    <row r="38" ht="12.75" customHeight="1">
      <c r="A38" s="49" t="s">
        <v>224</v>
      </c>
      <c r="B38" s="50">
        <v>45659.0</v>
      </c>
      <c r="C38" s="51">
        <v>4.600003949E9</v>
      </c>
      <c r="D38" s="52" t="e">
        <v>#N/A</v>
      </c>
      <c r="E38" s="53" t="s">
        <v>225</v>
      </c>
      <c r="F38" s="54" t="s">
        <v>226</v>
      </c>
      <c r="G38" s="57"/>
      <c r="H38" s="54" t="s">
        <v>227</v>
      </c>
      <c r="I38" s="54" t="s">
        <v>228</v>
      </c>
      <c r="J38" s="55" t="s">
        <v>113</v>
      </c>
      <c r="K38" s="56"/>
    </row>
    <row r="39" ht="12.75" customHeight="1">
      <c r="A39" s="49" t="s">
        <v>229</v>
      </c>
      <c r="B39" s="50">
        <v>45659.0</v>
      </c>
      <c r="C39" s="51">
        <v>4.600003949E9</v>
      </c>
      <c r="D39" s="52" t="s">
        <v>230</v>
      </c>
      <c r="E39" s="53" t="s">
        <v>231</v>
      </c>
      <c r="F39" s="54" t="s">
        <v>232</v>
      </c>
      <c r="G39" s="57"/>
      <c r="H39" s="54" t="s">
        <v>233</v>
      </c>
      <c r="I39" s="54" t="s">
        <v>234</v>
      </c>
      <c r="J39" s="55" t="s">
        <v>113</v>
      </c>
      <c r="K39" s="56"/>
    </row>
    <row r="40" ht="12.75" hidden="1" customHeight="1">
      <c r="A40" s="58" t="s">
        <v>235</v>
      </c>
      <c r="B40" s="59">
        <v>45722.0</v>
      </c>
      <c r="C40" s="60" t="s">
        <v>110</v>
      </c>
      <c r="D40" s="61" t="e">
        <v>#N/A</v>
      </c>
      <c r="E40" s="58" t="s">
        <v>236</v>
      </c>
      <c r="F40" s="62">
        <v>8.19941583E8</v>
      </c>
      <c r="G40" s="62">
        <v>4.5096787065E7</v>
      </c>
      <c r="H40" s="62">
        <v>9.515422070715001E7</v>
      </c>
      <c r="I40" s="62">
        <v>9.6019259077215E8</v>
      </c>
      <c r="J40" s="58" t="s">
        <v>113</v>
      </c>
      <c r="K40" s="56"/>
    </row>
    <row r="41" ht="12.75" hidden="1" customHeight="1">
      <c r="A41" s="58" t="s">
        <v>237</v>
      </c>
      <c r="B41" s="59">
        <v>45722.0</v>
      </c>
      <c r="C41" s="58" t="s">
        <v>238</v>
      </c>
      <c r="D41" s="61" t="e">
        <v>#N/A</v>
      </c>
      <c r="E41" s="58" t="s">
        <v>239</v>
      </c>
      <c r="F41" s="62">
        <v>5.4833552E7</v>
      </c>
      <c r="G41" s="62"/>
      <c r="H41" s="62">
        <v>6031690.72</v>
      </c>
      <c r="I41" s="62">
        <v>6.086524272E7</v>
      </c>
      <c r="J41" s="58" t="e">
        <v>#N/A</v>
      </c>
      <c r="K41" s="56"/>
    </row>
    <row r="42" ht="12.75" hidden="1" customHeight="1">
      <c r="A42" s="58" t="s">
        <v>240</v>
      </c>
      <c r="B42" s="59">
        <v>45722.0</v>
      </c>
      <c r="C42" s="60" t="s">
        <v>110</v>
      </c>
      <c r="D42" s="61" t="e">
        <v>#N/A</v>
      </c>
      <c r="E42" s="58" t="s">
        <v>241</v>
      </c>
      <c r="F42" s="62">
        <v>5.8363459E7</v>
      </c>
      <c r="G42" s="62">
        <v>3501807.54</v>
      </c>
      <c r="H42" s="62">
        <v>6805179.3194</v>
      </c>
      <c r="I42" s="62">
        <v>6.86704458594E7</v>
      </c>
      <c r="J42" s="58" t="s">
        <v>113</v>
      </c>
      <c r="K42" s="56"/>
    </row>
    <row r="43" ht="12.75" hidden="1" customHeight="1">
      <c r="A43" s="58" t="s">
        <v>242</v>
      </c>
      <c r="B43" s="59">
        <v>45722.0</v>
      </c>
      <c r="C43" s="60" t="s">
        <v>110</v>
      </c>
      <c r="D43" s="61" t="e">
        <v>#N/A</v>
      </c>
      <c r="E43" s="58" t="s">
        <v>243</v>
      </c>
      <c r="F43" s="62">
        <v>3.9290244E7</v>
      </c>
      <c r="G43" s="62">
        <v>2357414.64</v>
      </c>
      <c r="H43" s="62">
        <v>4581242.4504</v>
      </c>
      <c r="I43" s="62">
        <v>4.62289010904E7</v>
      </c>
      <c r="J43" s="58" t="s">
        <v>113</v>
      </c>
      <c r="K43" s="56"/>
    </row>
    <row r="44" ht="12.75" hidden="1" customHeight="1">
      <c r="A44" s="58" t="s">
        <v>244</v>
      </c>
      <c r="B44" s="59">
        <v>45722.0</v>
      </c>
      <c r="C44" s="60" t="s">
        <v>110</v>
      </c>
      <c r="D44" s="61" t="e">
        <v>#N/A</v>
      </c>
      <c r="E44" s="58" t="s">
        <v>245</v>
      </c>
      <c r="F44" s="62">
        <v>4.15083177E8</v>
      </c>
      <c r="G44" s="62">
        <v>2.4904990619999997E7</v>
      </c>
      <c r="H44" s="62">
        <v>4.8398698438200004E7</v>
      </c>
      <c r="I44" s="62">
        <v>4.883868660582E8</v>
      </c>
      <c r="J44" s="58" t="s">
        <v>113</v>
      </c>
      <c r="K44" s="56"/>
    </row>
    <row r="45" ht="12.75" hidden="1" customHeight="1">
      <c r="A45" s="58" t="s">
        <v>246</v>
      </c>
      <c r="B45" s="59">
        <v>45722.0</v>
      </c>
      <c r="C45" s="60" t="s">
        <v>247</v>
      </c>
      <c r="D45" s="61" t="e">
        <v>#N/A</v>
      </c>
      <c r="E45" s="58" t="s">
        <v>248</v>
      </c>
      <c r="F45" s="62">
        <v>1.71272905E8</v>
      </c>
      <c r="G45" s="62">
        <v>9077463.965</v>
      </c>
      <c r="H45" s="62">
        <v>1.983854058615E7</v>
      </c>
      <c r="I45" s="62">
        <v>2.0018890955115E8</v>
      </c>
      <c r="J45" s="58" t="s">
        <v>113</v>
      </c>
      <c r="K45" s="56"/>
    </row>
    <row r="46" ht="12.75" hidden="1" customHeight="1">
      <c r="A46" s="58" t="s">
        <v>249</v>
      </c>
      <c r="B46" s="59">
        <v>45722.0</v>
      </c>
      <c r="C46" s="60" t="s">
        <v>247</v>
      </c>
      <c r="D46" s="61" t="e">
        <v>#N/A</v>
      </c>
      <c r="E46" s="58" t="s">
        <v>250</v>
      </c>
      <c r="F46" s="62">
        <v>4.1255049E7</v>
      </c>
      <c r="G46" s="62">
        <v>2186517.597</v>
      </c>
      <c r="H46" s="62">
        <v>4778572.32567</v>
      </c>
      <c r="I46" s="62">
        <v>4.822013892267001E7</v>
      </c>
      <c r="J46" s="58" t="s">
        <v>113</v>
      </c>
      <c r="K46" s="56"/>
    </row>
    <row r="47" ht="12.75" hidden="1" customHeight="1">
      <c r="A47" s="58" t="s">
        <v>251</v>
      </c>
      <c r="B47" s="59">
        <v>45722.0</v>
      </c>
      <c r="C47" s="60" t="s">
        <v>247</v>
      </c>
      <c r="D47" s="61" t="e">
        <v>#N/A</v>
      </c>
      <c r="E47" s="58" t="s">
        <v>252</v>
      </c>
      <c r="F47" s="62">
        <v>2.7025583E7</v>
      </c>
      <c r="G47" s="62">
        <v>1432355.899</v>
      </c>
      <c r="H47" s="62">
        <v>3130373.27889</v>
      </c>
      <c r="I47" s="62">
        <v>3.158831217789E7</v>
      </c>
      <c r="J47" s="58" t="s">
        <v>113</v>
      </c>
      <c r="K47" s="56"/>
    </row>
    <row r="48" ht="12.75" customHeight="1">
      <c r="A48" s="49" t="s">
        <v>253</v>
      </c>
      <c r="B48" s="50">
        <v>45659.0</v>
      </c>
      <c r="C48" s="51">
        <v>4.600003949E9</v>
      </c>
      <c r="D48" s="52" t="s">
        <v>254</v>
      </c>
      <c r="E48" s="53" t="s">
        <v>255</v>
      </c>
      <c r="F48" s="54" t="s">
        <v>256</v>
      </c>
      <c r="G48" s="57"/>
      <c r="H48" s="54">
        <v>823.634</v>
      </c>
      <c r="I48" s="54" t="s">
        <v>257</v>
      </c>
      <c r="J48" s="55" t="s">
        <v>113</v>
      </c>
      <c r="K48" s="56"/>
    </row>
    <row r="49" ht="12.75" hidden="1" customHeight="1">
      <c r="A49" s="58" t="s">
        <v>258</v>
      </c>
      <c r="B49" s="59">
        <v>45723.0</v>
      </c>
      <c r="C49" s="60" t="s">
        <v>110</v>
      </c>
      <c r="D49" s="61" t="e">
        <v>#N/A</v>
      </c>
      <c r="E49" s="58" t="s">
        <v>259</v>
      </c>
      <c r="F49" s="62">
        <v>8.9204119E7</v>
      </c>
      <c r="G49" s="62">
        <v>5352247.14</v>
      </c>
      <c r="H49" s="62">
        <v>1.04012002754E7</v>
      </c>
      <c r="I49" s="62">
        <v>1.049575664154E8</v>
      </c>
      <c r="J49" s="58" t="s">
        <v>113</v>
      </c>
      <c r="K49" s="56"/>
    </row>
    <row r="50" ht="12.75" hidden="1" customHeight="1">
      <c r="A50" s="58" t="s">
        <v>260</v>
      </c>
      <c r="B50" s="59">
        <v>45723.0</v>
      </c>
      <c r="C50" s="60" t="s">
        <v>110</v>
      </c>
      <c r="D50" s="61" t="e">
        <v>#N/A</v>
      </c>
      <c r="E50" s="58" t="s">
        <v>261</v>
      </c>
      <c r="F50" s="62">
        <v>4.3777308E7</v>
      </c>
      <c r="G50" s="62">
        <v>2626638.48</v>
      </c>
      <c r="H50" s="62">
        <v>5104434.112799999</v>
      </c>
      <c r="I50" s="62">
        <v>5.15083805928E7</v>
      </c>
      <c r="J50" s="58" t="s">
        <v>113</v>
      </c>
      <c r="K50" s="56"/>
    </row>
    <row r="51" ht="12.75" hidden="1" customHeight="1">
      <c r="A51" s="58" t="s">
        <v>262</v>
      </c>
      <c r="B51" s="59">
        <v>45723.0</v>
      </c>
      <c r="C51" s="60" t="s">
        <v>110</v>
      </c>
      <c r="D51" s="61" t="e">
        <v>#N/A</v>
      </c>
      <c r="E51" s="58" t="s">
        <v>263</v>
      </c>
      <c r="F51" s="62">
        <v>1.18186305E8</v>
      </c>
      <c r="G51" s="62">
        <v>7091178.3</v>
      </c>
      <c r="H51" s="62">
        <v>1.3780523163E7</v>
      </c>
      <c r="I51" s="62">
        <v>1.39058006463E8</v>
      </c>
      <c r="J51" s="58" t="s">
        <v>113</v>
      </c>
      <c r="K51" s="56"/>
    </row>
    <row r="52" ht="12.75" hidden="1" customHeight="1">
      <c r="A52" s="58" t="s">
        <v>264</v>
      </c>
      <c r="B52" s="59">
        <v>45723.0</v>
      </c>
      <c r="C52" s="58">
        <v>3.900540206E9</v>
      </c>
      <c r="D52" s="61" t="e">
        <v>#N/A</v>
      </c>
      <c r="E52" s="58" t="s">
        <v>265</v>
      </c>
      <c r="F52" s="62">
        <v>1.567636E7</v>
      </c>
      <c r="G52" s="62">
        <v>987610.68</v>
      </c>
      <c r="H52" s="62">
        <v>1833036.7748</v>
      </c>
      <c r="I52" s="62">
        <v>1.84970074548E7</v>
      </c>
      <c r="J52" s="58" t="s">
        <v>113</v>
      </c>
      <c r="K52" s="56"/>
    </row>
    <row r="53" ht="12.75" hidden="1" customHeight="1">
      <c r="A53" s="58" t="s">
        <v>266</v>
      </c>
      <c r="B53" s="59">
        <v>45727.0</v>
      </c>
      <c r="C53" s="60" t="s">
        <v>247</v>
      </c>
      <c r="D53" s="61" t="e">
        <v>#N/A</v>
      </c>
      <c r="E53" s="58" t="s">
        <v>267</v>
      </c>
      <c r="F53" s="62">
        <v>1.71466823E8</v>
      </c>
      <c r="G53" s="62">
        <v>9087741.618999999</v>
      </c>
      <c r="H53" s="62">
        <v>1.986100210809E7</v>
      </c>
      <c r="I53" s="62">
        <v>2.0041556672709E8</v>
      </c>
      <c r="J53" s="58" t="s">
        <v>113</v>
      </c>
      <c r="K53" s="56"/>
    </row>
    <row r="54" ht="12.75" hidden="1" customHeight="1">
      <c r="A54" s="58" t="s">
        <v>268</v>
      </c>
      <c r="B54" s="59">
        <v>45727.0</v>
      </c>
      <c r="C54" s="60" t="s">
        <v>247</v>
      </c>
      <c r="D54" s="61" t="e">
        <v>#N/A</v>
      </c>
      <c r="E54" s="58" t="s">
        <v>269</v>
      </c>
      <c r="F54" s="62">
        <v>4.8368243E7</v>
      </c>
      <c r="G54" s="62">
        <v>2563516.8789999997</v>
      </c>
      <c r="H54" s="62">
        <v>5602493.58669</v>
      </c>
      <c r="I54" s="62">
        <v>5.653425346569E7</v>
      </c>
      <c r="J54" s="58" t="s">
        <v>113</v>
      </c>
      <c r="K54" s="56"/>
    </row>
    <row r="55" ht="12.75" hidden="1" customHeight="1">
      <c r="A55" s="58" t="s">
        <v>270</v>
      </c>
      <c r="B55" s="59">
        <v>45727.0</v>
      </c>
      <c r="C55" s="60" t="s">
        <v>247</v>
      </c>
      <c r="D55" s="61" t="e">
        <v>#N/A</v>
      </c>
      <c r="E55" s="58" t="s">
        <v>271</v>
      </c>
      <c r="F55" s="62">
        <v>2.7073583E7</v>
      </c>
      <c r="G55" s="62">
        <v>1434899.899</v>
      </c>
      <c r="H55" s="62">
        <v>3135933.11889</v>
      </c>
      <c r="I55" s="62">
        <v>3.164441601789E7</v>
      </c>
      <c r="J55" s="58" t="s">
        <v>113</v>
      </c>
      <c r="K55" s="56"/>
    </row>
    <row r="56" ht="12.75" customHeight="1">
      <c r="A56" s="49" t="s">
        <v>164</v>
      </c>
      <c r="B56" s="50">
        <v>45659.0</v>
      </c>
      <c r="C56" s="51">
        <v>4.65001716E9</v>
      </c>
      <c r="D56" s="52" t="s">
        <v>166</v>
      </c>
      <c r="E56" s="53" t="s">
        <v>167</v>
      </c>
      <c r="F56" s="54" t="s">
        <v>272</v>
      </c>
      <c r="G56" s="54" t="s">
        <v>273</v>
      </c>
      <c r="H56" s="54" t="s">
        <v>274</v>
      </c>
      <c r="I56" s="54" t="s">
        <v>275</v>
      </c>
      <c r="J56" s="55" t="s">
        <v>113</v>
      </c>
      <c r="K56" s="56"/>
    </row>
    <row r="57" ht="12.75" customHeight="1">
      <c r="A57" s="49" t="s">
        <v>168</v>
      </c>
      <c r="B57" s="50">
        <v>45693.0</v>
      </c>
      <c r="C57" s="51">
        <v>4.650017814E9</v>
      </c>
      <c r="D57" s="52" t="s">
        <v>169</v>
      </c>
      <c r="E57" s="53" t="s">
        <v>170</v>
      </c>
      <c r="F57" s="54" t="s">
        <v>276</v>
      </c>
      <c r="G57" s="54" t="s">
        <v>277</v>
      </c>
      <c r="H57" s="54" t="s">
        <v>278</v>
      </c>
      <c r="I57" s="54" t="s">
        <v>279</v>
      </c>
      <c r="J57" s="55" t="s">
        <v>113</v>
      </c>
      <c r="K57" s="56"/>
    </row>
    <row r="58" ht="12.75" hidden="1" customHeight="1">
      <c r="A58" s="58" t="s">
        <v>280</v>
      </c>
      <c r="B58" s="59">
        <v>45729.0</v>
      </c>
      <c r="C58" s="60" t="s">
        <v>110</v>
      </c>
      <c r="D58" s="61" t="e">
        <v>#N/A</v>
      </c>
      <c r="E58" s="58" t="s">
        <v>281</v>
      </c>
      <c r="F58" s="62">
        <v>5.52615E7</v>
      </c>
      <c r="G58" s="62">
        <v>3315690.0</v>
      </c>
      <c r="H58" s="62">
        <v>6443490.9</v>
      </c>
      <c r="I58" s="62">
        <v>6.50206809E7</v>
      </c>
      <c r="J58" s="58" t="s">
        <v>113</v>
      </c>
      <c r="K58" s="56"/>
    </row>
    <row r="59" ht="12.75" hidden="1" customHeight="1">
      <c r="A59" s="58" t="s">
        <v>282</v>
      </c>
      <c r="B59" s="59">
        <v>45729.0</v>
      </c>
      <c r="C59" s="60" t="s">
        <v>110</v>
      </c>
      <c r="D59" s="61" t="e">
        <v>#N/A</v>
      </c>
      <c r="E59" s="58" t="s">
        <v>283</v>
      </c>
      <c r="F59" s="62">
        <v>3.78714E7</v>
      </c>
      <c r="G59" s="62">
        <v>2272284.0</v>
      </c>
      <c r="H59" s="62">
        <v>4165854.0</v>
      </c>
      <c r="I59" s="62">
        <v>4.4309538E7</v>
      </c>
      <c r="J59" s="58" t="s">
        <v>113</v>
      </c>
      <c r="K59" s="56"/>
    </row>
    <row r="60" ht="12.75" hidden="1" customHeight="1">
      <c r="A60" s="58" t="s">
        <v>284</v>
      </c>
      <c r="B60" s="59">
        <v>45729.0</v>
      </c>
      <c r="C60" s="60" t="s">
        <v>110</v>
      </c>
      <c r="D60" s="61"/>
      <c r="E60" s="58" t="s">
        <v>285</v>
      </c>
      <c r="F60" s="62">
        <v>3.45224338E8</v>
      </c>
      <c r="G60" s="62">
        <v>2.0713460279999997E7</v>
      </c>
      <c r="H60" s="62">
        <v>4.025315781079999E7</v>
      </c>
      <c r="I60" s="62">
        <v>4.061909560908E8</v>
      </c>
      <c r="J60" s="58" t="s">
        <v>113</v>
      </c>
      <c r="K60" s="56"/>
    </row>
    <row r="61" ht="12.75" customHeight="1">
      <c r="A61" s="49" t="s">
        <v>171</v>
      </c>
      <c r="B61" s="50">
        <v>45693.0</v>
      </c>
      <c r="C61" s="51">
        <v>4.650017814E9</v>
      </c>
      <c r="D61" s="52" t="s">
        <v>172</v>
      </c>
      <c r="E61" s="53" t="s">
        <v>173</v>
      </c>
      <c r="F61" s="54" t="s">
        <v>286</v>
      </c>
      <c r="G61" s="54" t="s">
        <v>287</v>
      </c>
      <c r="H61" s="54" t="s">
        <v>288</v>
      </c>
      <c r="I61" s="54" t="s">
        <v>289</v>
      </c>
      <c r="J61" s="55" t="s">
        <v>113</v>
      </c>
      <c r="K61" s="56"/>
    </row>
    <row r="62" ht="12.75" customHeight="1">
      <c r="A62" s="49" t="s">
        <v>174</v>
      </c>
      <c r="B62" s="50">
        <v>45693.0</v>
      </c>
      <c r="C62" s="51">
        <v>4.650017814E9</v>
      </c>
      <c r="D62" s="52" t="s">
        <v>175</v>
      </c>
      <c r="E62" s="53" t="s">
        <v>176</v>
      </c>
      <c r="F62" s="54" t="s">
        <v>290</v>
      </c>
      <c r="G62" s="54" t="s">
        <v>291</v>
      </c>
      <c r="H62" s="54" t="s">
        <v>292</v>
      </c>
      <c r="I62" s="54" t="s">
        <v>293</v>
      </c>
      <c r="J62" s="55" t="s">
        <v>113</v>
      </c>
      <c r="K62" s="56"/>
    </row>
    <row r="63" ht="12.75" customHeight="1">
      <c r="A63" s="49" t="s">
        <v>294</v>
      </c>
      <c r="B63" s="50">
        <v>45698.0</v>
      </c>
      <c r="C63" s="51" t="s">
        <v>295</v>
      </c>
      <c r="D63" s="52" t="e">
        <v>#N/A</v>
      </c>
      <c r="E63" s="53" t="s">
        <v>296</v>
      </c>
      <c r="F63" s="54" t="s">
        <v>297</v>
      </c>
      <c r="G63" s="57"/>
      <c r="H63" s="54" t="s">
        <v>298</v>
      </c>
      <c r="I63" s="54" t="s">
        <v>299</v>
      </c>
      <c r="J63" s="55" t="e">
        <v>#N/A</v>
      </c>
      <c r="K63" s="56"/>
    </row>
    <row r="64" ht="12.75" hidden="1" customHeight="1">
      <c r="A64" s="58" t="s">
        <v>300</v>
      </c>
      <c r="B64" s="59">
        <v>45733.0</v>
      </c>
      <c r="C64" s="60" t="s">
        <v>110</v>
      </c>
      <c r="D64" s="61"/>
      <c r="E64" s="58" t="s">
        <v>301</v>
      </c>
      <c r="F64" s="62">
        <v>9.09024698E8</v>
      </c>
      <c r="G64" s="62">
        <v>4.999635839E7</v>
      </c>
      <c r="H64" s="62">
        <v>1.0549231620289999E8</v>
      </c>
      <c r="I64" s="62">
        <v>1.0645133725929E9</v>
      </c>
      <c r="J64" s="58" t="s">
        <v>113</v>
      </c>
      <c r="K64" s="56"/>
    </row>
    <row r="65" ht="12.75" customHeight="1">
      <c r="A65" s="49" t="s">
        <v>178</v>
      </c>
      <c r="B65" s="50">
        <v>45698.0</v>
      </c>
      <c r="C65" s="51">
        <v>4.650017814E9</v>
      </c>
      <c r="D65" s="52" t="s">
        <v>179</v>
      </c>
      <c r="E65" s="53" t="s">
        <v>180</v>
      </c>
      <c r="F65" s="54" t="s">
        <v>302</v>
      </c>
      <c r="G65" s="54" t="s">
        <v>303</v>
      </c>
      <c r="H65" s="54" t="s">
        <v>304</v>
      </c>
      <c r="I65" s="54" t="s">
        <v>305</v>
      </c>
      <c r="J65" s="55" t="s">
        <v>113</v>
      </c>
      <c r="K65" s="56"/>
    </row>
    <row r="66" ht="12.75" customHeight="1">
      <c r="A66" s="49" t="s">
        <v>181</v>
      </c>
      <c r="B66" s="50">
        <v>45698.0</v>
      </c>
      <c r="C66" s="51">
        <v>4.650017814E9</v>
      </c>
      <c r="D66" s="52" t="s">
        <v>182</v>
      </c>
      <c r="E66" s="53" t="s">
        <v>183</v>
      </c>
      <c r="F66" s="54" t="s">
        <v>306</v>
      </c>
      <c r="G66" s="54" t="s">
        <v>307</v>
      </c>
      <c r="H66" s="54" t="s">
        <v>308</v>
      </c>
      <c r="I66" s="54" t="s">
        <v>309</v>
      </c>
      <c r="J66" s="55" t="s">
        <v>113</v>
      </c>
      <c r="K66" s="56"/>
    </row>
    <row r="67" ht="12.75" customHeight="1">
      <c r="A67" s="49" t="s">
        <v>184</v>
      </c>
      <c r="B67" s="50">
        <v>45698.0</v>
      </c>
      <c r="C67" s="51">
        <v>4.650017814E9</v>
      </c>
      <c r="D67" s="52">
        <v>3.0025E19</v>
      </c>
      <c r="E67" s="53" t="s">
        <v>185</v>
      </c>
      <c r="F67" s="54" t="s">
        <v>310</v>
      </c>
      <c r="G67" s="54" t="s">
        <v>311</v>
      </c>
      <c r="H67" s="54" t="s">
        <v>312</v>
      </c>
      <c r="I67" s="54" t="s">
        <v>313</v>
      </c>
      <c r="J67" s="55" t="s">
        <v>113</v>
      </c>
      <c r="K67" s="56"/>
    </row>
    <row r="68" ht="12.75" hidden="1" customHeight="1">
      <c r="A68" s="58" t="s">
        <v>314</v>
      </c>
      <c r="B68" s="59">
        <v>45734.0</v>
      </c>
      <c r="C68" s="60" t="s">
        <v>110</v>
      </c>
      <c r="D68" s="61"/>
      <c r="E68" s="58" t="s">
        <v>315</v>
      </c>
      <c r="F68" s="62">
        <v>8.19941583E8</v>
      </c>
      <c r="G68" s="62">
        <v>4.5096787065E7</v>
      </c>
      <c r="H68" s="62">
        <v>9.515422070715001E7</v>
      </c>
      <c r="I68" s="62">
        <v>9.6019259077215E8</v>
      </c>
      <c r="J68" s="58" t="s">
        <v>113</v>
      </c>
      <c r="K68" s="56"/>
    </row>
    <row r="69" ht="12.75" customHeight="1">
      <c r="A69" s="49" t="s">
        <v>186</v>
      </c>
      <c r="B69" s="50">
        <v>45702.0</v>
      </c>
      <c r="C69" s="51">
        <v>4.65001716E9</v>
      </c>
      <c r="D69" s="52" t="e">
        <v>#N/A</v>
      </c>
      <c r="E69" s="53" t="s">
        <v>187</v>
      </c>
      <c r="F69" s="54" t="s">
        <v>316</v>
      </c>
      <c r="G69" s="54" t="s">
        <v>317</v>
      </c>
      <c r="H69" s="54">
        <v>165.699</v>
      </c>
      <c r="I69" s="54" t="s">
        <v>318</v>
      </c>
      <c r="J69" s="55" t="s">
        <v>113</v>
      </c>
      <c r="K69" s="56"/>
    </row>
    <row r="70" ht="12.75" hidden="1" customHeight="1">
      <c r="A70" s="58" t="s">
        <v>319</v>
      </c>
      <c r="B70" s="59">
        <v>45736.0</v>
      </c>
      <c r="C70" s="58">
        <v>3.900558866E9</v>
      </c>
      <c r="D70" s="61"/>
      <c r="E70" s="58" t="s">
        <v>320</v>
      </c>
      <c r="F70" s="62">
        <v>1.66464417E8</v>
      </c>
      <c r="G70" s="62">
        <v>8822614.101</v>
      </c>
      <c r="H70" s="62">
        <v>1.928157342111E7</v>
      </c>
      <c r="I70" s="62">
        <v>1.9456860452211002E8</v>
      </c>
      <c r="J70" s="58" t="s">
        <v>113</v>
      </c>
      <c r="K70" s="56"/>
    </row>
    <row r="71" ht="12.75" hidden="1" customHeight="1">
      <c r="A71" s="58" t="s">
        <v>321</v>
      </c>
      <c r="B71" s="59">
        <v>45736.0</v>
      </c>
      <c r="C71" s="58">
        <v>3.900558866E9</v>
      </c>
      <c r="D71" s="61"/>
      <c r="E71" s="58" t="s">
        <v>322</v>
      </c>
      <c r="F71" s="62">
        <v>2.9435993E7</v>
      </c>
      <c r="G71" s="62">
        <v>1560107.629</v>
      </c>
      <c r="H71" s="62">
        <v>3409571.06919</v>
      </c>
      <c r="I71" s="62">
        <v>3.440567169819E7</v>
      </c>
      <c r="J71" s="58" t="s">
        <v>113</v>
      </c>
      <c r="K71" s="56"/>
    </row>
    <row r="72" ht="12.75" hidden="1" customHeight="1">
      <c r="A72" s="58" t="s">
        <v>323</v>
      </c>
      <c r="B72" s="59">
        <v>45736.0</v>
      </c>
      <c r="C72" s="58">
        <v>3.900558866E9</v>
      </c>
      <c r="D72" s="61"/>
      <c r="E72" s="58" t="s">
        <v>324</v>
      </c>
      <c r="F72" s="62">
        <v>2.6556529E7</v>
      </c>
      <c r="G72" s="62">
        <v>1407496.037</v>
      </c>
      <c r="H72" s="62">
        <v>3076042.7540700003</v>
      </c>
      <c r="I72" s="62">
        <v>3.104006779107E7</v>
      </c>
      <c r="J72" s="58" t="s">
        <v>113</v>
      </c>
      <c r="K72" s="56"/>
    </row>
    <row r="73" ht="12.75" hidden="1" customHeight="1">
      <c r="A73" s="58" t="s">
        <v>325</v>
      </c>
      <c r="B73" s="59">
        <v>45736.0</v>
      </c>
      <c r="C73" s="58" t="s">
        <v>238</v>
      </c>
      <c r="D73" s="61"/>
      <c r="E73" s="58" t="s">
        <v>326</v>
      </c>
      <c r="F73" s="62">
        <v>5.1519251E7</v>
      </c>
      <c r="G73" s="62">
        <v>5151925.100000001</v>
      </c>
      <c r="H73" s="62">
        <v>6233829.371</v>
      </c>
      <c r="I73" s="62">
        <v>6.2905005471E7</v>
      </c>
      <c r="J73" s="58" t="e">
        <v>#N/A</v>
      </c>
      <c r="K73" s="56"/>
    </row>
    <row r="74" ht="12.75" customHeight="1">
      <c r="A74" s="49" t="s">
        <v>188</v>
      </c>
      <c r="B74" s="50">
        <v>45702.0</v>
      </c>
      <c r="C74" s="51">
        <v>4.65001716E9</v>
      </c>
      <c r="D74" s="52" t="e">
        <v>#N/A</v>
      </c>
      <c r="E74" s="53" t="s">
        <v>189</v>
      </c>
      <c r="F74" s="54" t="s">
        <v>327</v>
      </c>
      <c r="G74" s="54" t="s">
        <v>328</v>
      </c>
      <c r="H74" s="54" t="s">
        <v>329</v>
      </c>
      <c r="I74" s="54" t="s">
        <v>330</v>
      </c>
      <c r="J74" s="55" t="s">
        <v>113</v>
      </c>
      <c r="K74" s="56"/>
    </row>
    <row r="75" ht="12.75" hidden="1" customHeight="1">
      <c r="A75" s="58" t="s">
        <v>331</v>
      </c>
      <c r="B75" s="59">
        <v>45741.0</v>
      </c>
      <c r="C75" s="58" t="s">
        <v>238</v>
      </c>
      <c r="D75" s="61"/>
      <c r="E75" s="58" t="s">
        <v>326</v>
      </c>
      <c r="F75" s="62">
        <v>5.1519251E7</v>
      </c>
      <c r="G75" s="62">
        <v>5151925.100000001</v>
      </c>
      <c r="H75" s="62">
        <v>6233829.371</v>
      </c>
      <c r="I75" s="62">
        <v>6.2905005471E7</v>
      </c>
      <c r="J75" s="58" t="e">
        <v>#N/A</v>
      </c>
      <c r="K75" s="56"/>
    </row>
    <row r="76" ht="12.75" customHeight="1">
      <c r="A76" s="49" t="s">
        <v>190</v>
      </c>
      <c r="B76" s="50">
        <v>45705.0</v>
      </c>
      <c r="C76" s="51">
        <v>3.900540206E9</v>
      </c>
      <c r="D76" s="52" t="e">
        <v>#N/A</v>
      </c>
      <c r="E76" s="53" t="s">
        <v>191</v>
      </c>
      <c r="F76" s="54" t="s">
        <v>332</v>
      </c>
      <c r="G76" s="54" t="s">
        <v>333</v>
      </c>
      <c r="H76" s="54" t="s">
        <v>334</v>
      </c>
      <c r="I76" s="54" t="s">
        <v>335</v>
      </c>
      <c r="J76" s="55" t="s">
        <v>113</v>
      </c>
      <c r="K76" s="56"/>
    </row>
    <row r="77" ht="12.75" customHeight="1">
      <c r="A77" s="49" t="s">
        <v>192</v>
      </c>
      <c r="B77" s="50">
        <v>45713.0</v>
      </c>
      <c r="C77" s="51" t="s">
        <v>194</v>
      </c>
      <c r="D77" s="52" t="e">
        <v>#N/A</v>
      </c>
      <c r="E77" s="53" t="s">
        <v>193</v>
      </c>
      <c r="F77" s="54" t="s">
        <v>195</v>
      </c>
      <c r="G77" s="57"/>
      <c r="H77" s="54" t="s">
        <v>196</v>
      </c>
      <c r="I77" s="54" t="s">
        <v>197</v>
      </c>
      <c r="J77" s="55" t="s">
        <v>113</v>
      </c>
      <c r="K77" s="56"/>
    </row>
    <row r="78" ht="12.75" customHeight="1">
      <c r="A78" s="49" t="s">
        <v>336</v>
      </c>
      <c r="B78" s="50">
        <v>45714.0</v>
      </c>
      <c r="C78" s="51">
        <v>4.600003949E9</v>
      </c>
      <c r="D78" s="52" t="e">
        <v>#N/A</v>
      </c>
      <c r="E78" s="53" t="s">
        <v>337</v>
      </c>
      <c r="F78" s="54" t="s">
        <v>338</v>
      </c>
      <c r="G78" s="54" t="s">
        <v>339</v>
      </c>
      <c r="H78" s="54" t="s">
        <v>340</v>
      </c>
      <c r="I78" s="54" t="s">
        <v>341</v>
      </c>
      <c r="J78" s="55" t="s">
        <v>113</v>
      </c>
      <c r="K78" s="56"/>
    </row>
    <row r="79" ht="12.75" customHeight="1">
      <c r="A79" s="49" t="s">
        <v>342</v>
      </c>
      <c r="B79" s="50">
        <v>45714.0</v>
      </c>
      <c r="C79" s="51">
        <v>4.600003949E9</v>
      </c>
      <c r="D79" s="52" t="e">
        <v>#N/A</v>
      </c>
      <c r="E79" s="53" t="s">
        <v>343</v>
      </c>
      <c r="F79" s="54" t="s">
        <v>344</v>
      </c>
      <c r="G79" s="54">
        <v>993.688</v>
      </c>
      <c r="H79" s="54" t="s">
        <v>206</v>
      </c>
      <c r="I79" s="54" t="s">
        <v>207</v>
      </c>
      <c r="J79" s="55" t="s">
        <v>113</v>
      </c>
      <c r="K79" s="56"/>
    </row>
    <row r="80" ht="12.75" customHeight="1">
      <c r="A80" s="49" t="s">
        <v>345</v>
      </c>
      <c r="B80" s="50">
        <v>45714.0</v>
      </c>
      <c r="C80" s="51">
        <v>4.600003949E9</v>
      </c>
      <c r="D80" s="52" t="e">
        <v>#N/A</v>
      </c>
      <c r="E80" s="53" t="s">
        <v>346</v>
      </c>
      <c r="F80" s="54" t="s">
        <v>347</v>
      </c>
      <c r="G80" s="54" t="s">
        <v>348</v>
      </c>
      <c r="H80" s="54" t="s">
        <v>349</v>
      </c>
      <c r="I80" s="54" t="s">
        <v>350</v>
      </c>
      <c r="J80" s="55" t="s">
        <v>113</v>
      </c>
      <c r="K80" s="56"/>
    </row>
    <row r="81" ht="12.75" customHeight="1">
      <c r="A81" s="49" t="s">
        <v>351</v>
      </c>
      <c r="B81" s="50">
        <v>45714.0</v>
      </c>
      <c r="C81" s="51">
        <v>4.600003949E9</v>
      </c>
      <c r="D81" s="52" t="e">
        <v>#N/A</v>
      </c>
      <c r="E81" s="53" t="s">
        <v>352</v>
      </c>
      <c r="F81" s="54" t="s">
        <v>353</v>
      </c>
      <c r="G81" s="54" t="s">
        <v>354</v>
      </c>
      <c r="H81" s="54" t="s">
        <v>355</v>
      </c>
      <c r="I81" s="54" t="s">
        <v>356</v>
      </c>
      <c r="J81" s="55" t="s">
        <v>113</v>
      </c>
      <c r="K81" s="56"/>
    </row>
    <row r="82" ht="12.75" customHeight="1">
      <c r="A82" s="49" t="s">
        <v>357</v>
      </c>
      <c r="B82" s="50">
        <v>45714.0</v>
      </c>
      <c r="C82" s="51">
        <v>4.600003949E9</v>
      </c>
      <c r="D82" s="52" t="e">
        <v>#N/A</v>
      </c>
      <c r="E82" s="53" t="s">
        <v>352</v>
      </c>
      <c r="F82" s="54" t="s">
        <v>358</v>
      </c>
      <c r="G82" s="54" t="s">
        <v>359</v>
      </c>
      <c r="H82" s="54" t="s">
        <v>360</v>
      </c>
      <c r="I82" s="54" t="s">
        <v>361</v>
      </c>
      <c r="J82" s="55" t="s">
        <v>113</v>
      </c>
      <c r="K82" s="56"/>
    </row>
    <row r="83" ht="12.75" hidden="1" customHeight="1">
      <c r="A83" s="58" t="s">
        <v>362</v>
      </c>
      <c r="B83" s="59">
        <v>45741.0</v>
      </c>
      <c r="C83" s="58">
        <v>3.900558866E9</v>
      </c>
      <c r="D83" s="61"/>
      <c r="E83" s="58" t="s">
        <v>363</v>
      </c>
      <c r="F83" s="62">
        <v>1.71617573E8</v>
      </c>
      <c r="G83" s="62">
        <v>9095731.368999999</v>
      </c>
      <c r="H83" s="62">
        <v>1.9878463480589997E7</v>
      </c>
      <c r="I83" s="62">
        <v>2.0059176784958997E8</v>
      </c>
      <c r="J83" s="58" t="s">
        <v>113</v>
      </c>
      <c r="K83" s="56"/>
    </row>
    <row r="84" ht="12.75" hidden="1" customHeight="1">
      <c r="A84" s="58" t="s">
        <v>364</v>
      </c>
      <c r="B84" s="59">
        <v>45741.0</v>
      </c>
      <c r="C84" s="58">
        <v>3.900558866E9</v>
      </c>
      <c r="D84" s="61"/>
      <c r="E84" s="58" t="s">
        <v>365</v>
      </c>
      <c r="F84" s="62">
        <v>4.8368243E7</v>
      </c>
      <c r="G84" s="62">
        <v>2563516.8789999997</v>
      </c>
      <c r="H84" s="62">
        <v>5602493.58669</v>
      </c>
      <c r="I84" s="62">
        <v>5.653425346569E7</v>
      </c>
      <c r="J84" s="58" t="s">
        <v>113</v>
      </c>
      <c r="K84" s="56"/>
    </row>
    <row r="85" ht="12.75" hidden="1" customHeight="1">
      <c r="A85" s="58" t="s">
        <v>366</v>
      </c>
      <c r="B85" s="59">
        <v>45741.0</v>
      </c>
      <c r="C85" s="58">
        <v>3.900558866E9</v>
      </c>
      <c r="D85" s="61"/>
      <c r="E85" s="58" t="s">
        <v>367</v>
      </c>
      <c r="F85" s="62">
        <v>2.7073583E7</v>
      </c>
      <c r="G85" s="62">
        <v>1434899.899</v>
      </c>
      <c r="H85" s="62">
        <v>3135933.11889</v>
      </c>
      <c r="I85" s="62">
        <v>3.164441601789E7</v>
      </c>
      <c r="J85" s="58" t="s">
        <v>113</v>
      </c>
      <c r="K85" s="56"/>
    </row>
    <row r="86" ht="12.75" hidden="1" customHeight="1">
      <c r="A86" s="58" t="s">
        <v>368</v>
      </c>
      <c r="B86" s="59">
        <v>45755.0</v>
      </c>
      <c r="C86" s="60" t="s">
        <v>110</v>
      </c>
      <c r="D86" s="61"/>
      <c r="E86" s="58" t="s">
        <v>369</v>
      </c>
      <c r="F86" s="62">
        <v>6.3497929E7</v>
      </c>
      <c r="G86" s="62">
        <v>3809875.7399999998</v>
      </c>
      <c r="H86" s="62">
        <v>7403858.521399999</v>
      </c>
      <c r="I86" s="62">
        <v>7.47116632614E7</v>
      </c>
      <c r="J86" s="58" t="s">
        <v>113</v>
      </c>
      <c r="K86" s="56"/>
    </row>
    <row r="87" ht="12.75" hidden="1" customHeight="1">
      <c r="A87" s="58" t="s">
        <v>370</v>
      </c>
      <c r="B87" s="59">
        <v>45755.0</v>
      </c>
      <c r="C87" s="60" t="s">
        <v>110</v>
      </c>
      <c r="D87" s="61"/>
      <c r="E87" s="58" t="s">
        <v>371</v>
      </c>
      <c r="F87" s="62">
        <v>4.2617016E7</v>
      </c>
      <c r="G87" s="62">
        <v>2557020.96</v>
      </c>
      <c r="H87" s="62">
        <v>4969144.0656</v>
      </c>
      <c r="I87" s="62">
        <v>5.01431810256E7</v>
      </c>
      <c r="J87" s="58" t="s">
        <v>113</v>
      </c>
      <c r="K87" s="56"/>
    </row>
    <row r="88" ht="12.75" hidden="1" customHeight="1">
      <c r="A88" s="58" t="s">
        <v>372</v>
      </c>
      <c r="B88" s="59">
        <v>45755.0</v>
      </c>
      <c r="C88" s="60" t="s">
        <v>110</v>
      </c>
      <c r="D88" s="61"/>
      <c r="E88" s="58" t="s">
        <v>373</v>
      </c>
      <c r="F88" s="62">
        <v>4.30096733E8</v>
      </c>
      <c r="G88" s="62">
        <v>2.580580398E7</v>
      </c>
      <c r="H88" s="62">
        <v>5.01492790678E7</v>
      </c>
      <c r="I88" s="62">
        <v>5.060518160478E8</v>
      </c>
      <c r="J88" s="58" t="s">
        <v>113</v>
      </c>
      <c r="K88" s="56"/>
    </row>
    <row r="89" ht="12.75" customHeight="1">
      <c r="A89" s="49" t="s">
        <v>374</v>
      </c>
      <c r="B89" s="50">
        <v>45714.0</v>
      </c>
      <c r="C89" s="51">
        <v>4.600003949E9</v>
      </c>
      <c r="D89" s="52" t="e">
        <v>#N/A</v>
      </c>
      <c r="E89" s="53" t="s">
        <v>375</v>
      </c>
      <c r="F89" s="54" t="s">
        <v>376</v>
      </c>
      <c r="G89" s="54">
        <v>70.76</v>
      </c>
      <c r="H89" s="54">
        <v>141.984</v>
      </c>
      <c r="I89" s="54" t="s">
        <v>377</v>
      </c>
      <c r="J89" s="55" t="s">
        <v>113</v>
      </c>
      <c r="K89" s="56"/>
    </row>
    <row r="90" ht="12.75" customHeight="1">
      <c r="A90" s="49" t="s">
        <v>378</v>
      </c>
      <c r="B90" s="50">
        <v>45714.0</v>
      </c>
      <c r="C90" s="51">
        <v>4.600003949E9</v>
      </c>
      <c r="D90" s="52" t="e">
        <v>#N/A</v>
      </c>
      <c r="E90" s="53" t="s">
        <v>379</v>
      </c>
      <c r="F90" s="54" t="s">
        <v>380</v>
      </c>
      <c r="G90" s="54">
        <v>410.472</v>
      </c>
      <c r="H90" s="54">
        <v>823.634</v>
      </c>
      <c r="I90" s="54" t="s">
        <v>381</v>
      </c>
      <c r="J90" s="55" t="s">
        <v>113</v>
      </c>
      <c r="K90" s="56"/>
    </row>
    <row r="91" ht="12.75" hidden="1" customHeight="1">
      <c r="A91" s="58" t="s">
        <v>382</v>
      </c>
      <c r="B91" s="59">
        <v>45755.0</v>
      </c>
      <c r="C91" s="58">
        <v>3.900540206E9</v>
      </c>
      <c r="D91" s="61"/>
      <c r="E91" s="58" t="s">
        <v>383</v>
      </c>
      <c r="F91" s="62">
        <v>2.71250705E8</v>
      </c>
      <c r="G91" s="62">
        <v>1.7088794415E7</v>
      </c>
      <c r="H91" s="62">
        <v>3.1717344935650002E7</v>
      </c>
      <c r="I91" s="62">
        <v>3.2005684435065E8</v>
      </c>
      <c r="J91" s="58" t="s">
        <v>113</v>
      </c>
      <c r="K91" s="56"/>
    </row>
    <row r="92" ht="12.75" customHeight="1">
      <c r="A92" s="49" t="s">
        <v>384</v>
      </c>
      <c r="B92" s="50">
        <v>45721.0</v>
      </c>
      <c r="C92" s="51" t="s">
        <v>385</v>
      </c>
      <c r="D92" s="52" t="e">
        <v>#N/A</v>
      </c>
      <c r="E92" s="53" t="s">
        <v>386</v>
      </c>
      <c r="F92" s="54" t="s">
        <v>297</v>
      </c>
      <c r="G92" s="57"/>
      <c r="H92" s="54" t="s">
        <v>298</v>
      </c>
      <c r="I92" s="54" t="s">
        <v>299</v>
      </c>
      <c r="J92" s="55" t="s">
        <v>113</v>
      </c>
      <c r="K92" s="56"/>
    </row>
    <row r="93" ht="12.75" hidden="1" customHeight="1">
      <c r="A93" s="58" t="s">
        <v>387</v>
      </c>
      <c r="B93" s="59">
        <v>45757.0</v>
      </c>
      <c r="C93" s="60" t="s">
        <v>110</v>
      </c>
      <c r="D93" s="61"/>
      <c r="E93" s="58" t="s">
        <v>388</v>
      </c>
      <c r="F93" s="62">
        <v>6.4919597E7</v>
      </c>
      <c r="G93" s="62">
        <v>3895175.82</v>
      </c>
      <c r="H93" s="62">
        <v>7569625.010199999</v>
      </c>
      <c r="I93" s="62">
        <v>7.638439783019999E7</v>
      </c>
      <c r="J93" s="58" t="s">
        <v>113</v>
      </c>
      <c r="K93" s="56"/>
    </row>
    <row r="94" ht="12.75" hidden="1" customHeight="1">
      <c r="A94" s="58" t="s">
        <v>389</v>
      </c>
      <c r="B94" s="59">
        <v>45757.0</v>
      </c>
      <c r="C94" s="60" t="s">
        <v>110</v>
      </c>
      <c r="D94" s="61"/>
      <c r="E94" s="58" t="s">
        <v>390</v>
      </c>
      <c r="F94" s="62">
        <v>2.1411099E7</v>
      </c>
      <c r="G94" s="62">
        <v>1284665.94</v>
      </c>
      <c r="H94" s="62">
        <v>2496534.1434</v>
      </c>
      <c r="I94" s="62">
        <v>2.51922990834E7</v>
      </c>
      <c r="J94" s="58" t="s">
        <v>113</v>
      </c>
      <c r="K94" s="56"/>
    </row>
    <row r="95" ht="12.75" hidden="1" customHeight="1">
      <c r="A95" s="58" t="s">
        <v>391</v>
      </c>
      <c r="B95" s="59">
        <v>45755.0</v>
      </c>
      <c r="C95" s="60" t="s">
        <v>110</v>
      </c>
      <c r="D95" s="61"/>
      <c r="E95" s="58" t="s">
        <v>392</v>
      </c>
      <c r="F95" s="62">
        <v>6.1636697E7</v>
      </c>
      <c r="G95" s="62">
        <v>3698201.82</v>
      </c>
      <c r="H95" s="62">
        <v>7186838.8702</v>
      </c>
      <c r="I95" s="62">
        <v>7.25217376902E7</v>
      </c>
      <c r="J95" s="58" t="s">
        <v>113</v>
      </c>
      <c r="K95" s="56"/>
    </row>
    <row r="96" ht="12.75" hidden="1" customHeight="1">
      <c r="A96" s="58" t="s">
        <v>393</v>
      </c>
      <c r="B96" s="59">
        <v>45755.0</v>
      </c>
      <c r="C96" s="58">
        <v>4.650017194E9</v>
      </c>
      <c r="D96" s="61"/>
      <c r="E96" s="58" t="s">
        <v>121</v>
      </c>
      <c r="F96" s="62">
        <v>3.38680067E8</v>
      </c>
      <c r="G96" s="62">
        <v>1.8288723618E7</v>
      </c>
      <c r="H96" s="62">
        <v>3.9266566967980005E7</v>
      </c>
      <c r="I96" s="62">
        <v>3.9623535758598006E8</v>
      </c>
      <c r="J96" s="58" t="s">
        <v>113</v>
      </c>
      <c r="K96" s="56"/>
    </row>
    <row r="97" ht="12.75" hidden="1" customHeight="1">
      <c r="A97" s="58" t="s">
        <v>394</v>
      </c>
      <c r="B97" s="59">
        <v>45755.0</v>
      </c>
      <c r="C97" s="58">
        <v>4.650017194E9</v>
      </c>
      <c r="D97" s="61"/>
      <c r="E97" s="58" t="s">
        <v>395</v>
      </c>
      <c r="F97" s="62">
        <v>1.54234887E8</v>
      </c>
      <c r="G97" s="62">
        <v>8328683.898000001</v>
      </c>
      <c r="H97" s="62">
        <v>1.788199279878E7</v>
      </c>
      <c r="I97" s="62">
        <v>1.8044556369678E8</v>
      </c>
      <c r="J97" s="58" t="s">
        <v>113</v>
      </c>
      <c r="K97" s="56"/>
    </row>
    <row r="98" ht="12.75" hidden="1" customHeight="1">
      <c r="A98" s="58" t="s">
        <v>396</v>
      </c>
      <c r="B98" s="59">
        <v>45755.0</v>
      </c>
      <c r="C98" s="58">
        <v>4.650017194E9</v>
      </c>
      <c r="D98" s="61"/>
      <c r="E98" s="58" t="s">
        <v>123</v>
      </c>
      <c r="F98" s="62">
        <v>1.28566675E8</v>
      </c>
      <c r="G98" s="62">
        <v>6942600.450000001</v>
      </c>
      <c r="H98" s="62">
        <v>1.4906020299499998E7</v>
      </c>
      <c r="I98" s="62">
        <v>1.5041529574949998E8</v>
      </c>
      <c r="J98" s="58" t="s">
        <v>113</v>
      </c>
      <c r="K98" s="56"/>
    </row>
    <row r="99" ht="12.75" hidden="1" customHeight="1">
      <c r="A99" s="58" t="s">
        <v>397</v>
      </c>
      <c r="B99" s="59">
        <v>45755.0</v>
      </c>
      <c r="C99" s="58">
        <v>3.900558866E9</v>
      </c>
      <c r="D99" s="61"/>
      <c r="E99" s="58" t="s">
        <v>398</v>
      </c>
      <c r="F99" s="62">
        <v>4.4901194E7</v>
      </c>
      <c r="G99" s="62">
        <v>2379763.282</v>
      </c>
      <c r="H99" s="62">
        <v>5200905.30102</v>
      </c>
      <c r="I99" s="62">
        <v>5.248186258302E7</v>
      </c>
      <c r="J99" s="58" t="e">
        <v>#N/A</v>
      </c>
      <c r="K99" s="56"/>
    </row>
    <row r="100" ht="12.75" customHeight="1">
      <c r="A100" s="49" t="s">
        <v>235</v>
      </c>
      <c r="B100" s="50">
        <v>45722.0</v>
      </c>
      <c r="C100" s="51">
        <v>4.65001716E9</v>
      </c>
      <c r="D100" s="52" t="e">
        <v>#N/A</v>
      </c>
      <c r="E100" s="53" t="s">
        <v>236</v>
      </c>
      <c r="F100" s="54" t="s">
        <v>399</v>
      </c>
      <c r="G100" s="54" t="s">
        <v>400</v>
      </c>
      <c r="H100" s="54" t="s">
        <v>401</v>
      </c>
      <c r="I100" s="54" t="s">
        <v>402</v>
      </c>
      <c r="J100" s="55" t="s">
        <v>113</v>
      </c>
      <c r="K100" s="56"/>
    </row>
    <row r="101" ht="12.75" customHeight="1">
      <c r="A101" s="49" t="s">
        <v>237</v>
      </c>
      <c r="B101" s="50">
        <v>45722.0</v>
      </c>
      <c r="C101" s="51" t="s">
        <v>238</v>
      </c>
      <c r="D101" s="52" t="e">
        <v>#N/A</v>
      </c>
      <c r="E101" s="53" t="s">
        <v>239</v>
      </c>
      <c r="F101" s="54" t="s">
        <v>403</v>
      </c>
      <c r="G101" s="57"/>
      <c r="H101" s="54" t="s">
        <v>404</v>
      </c>
      <c r="I101" s="54" t="s">
        <v>405</v>
      </c>
      <c r="J101" s="55" t="s">
        <v>113</v>
      </c>
      <c r="K101" s="56"/>
    </row>
    <row r="102" ht="12.75" customHeight="1">
      <c r="A102" s="49" t="s">
        <v>240</v>
      </c>
      <c r="B102" s="50">
        <v>45722.0</v>
      </c>
      <c r="C102" s="51">
        <v>4.650017814E9</v>
      </c>
      <c r="D102" s="52" t="e">
        <v>#N/A</v>
      </c>
      <c r="E102" s="53" t="s">
        <v>241</v>
      </c>
      <c r="F102" s="54" t="s">
        <v>406</v>
      </c>
      <c r="G102" s="54" t="s">
        <v>407</v>
      </c>
      <c r="H102" s="54" t="s">
        <v>408</v>
      </c>
      <c r="I102" s="54" t="s">
        <v>409</v>
      </c>
      <c r="J102" s="55" t="s">
        <v>113</v>
      </c>
      <c r="K102" s="56"/>
    </row>
    <row r="103" ht="12.75" customHeight="1">
      <c r="A103" s="49" t="s">
        <v>242</v>
      </c>
      <c r="B103" s="50">
        <v>45722.0</v>
      </c>
      <c r="C103" s="51">
        <v>4.650017814E9</v>
      </c>
      <c r="D103" s="52" t="e">
        <v>#N/A</v>
      </c>
      <c r="E103" s="53" t="s">
        <v>243</v>
      </c>
      <c r="F103" s="54" t="s">
        <v>286</v>
      </c>
      <c r="G103" s="54" t="s">
        <v>287</v>
      </c>
      <c r="H103" s="54" t="s">
        <v>288</v>
      </c>
      <c r="I103" s="54" t="s">
        <v>289</v>
      </c>
      <c r="J103" s="55" t="s">
        <v>113</v>
      </c>
      <c r="K103" s="56"/>
    </row>
    <row r="104" ht="12.75" customHeight="1">
      <c r="A104" s="49" t="s">
        <v>244</v>
      </c>
      <c r="B104" s="50">
        <v>45722.0</v>
      </c>
      <c r="C104" s="51">
        <v>4.650017814E9</v>
      </c>
      <c r="D104" s="52" t="e">
        <v>#N/A</v>
      </c>
      <c r="E104" s="53" t="s">
        <v>245</v>
      </c>
      <c r="F104" s="54" t="s">
        <v>410</v>
      </c>
      <c r="G104" s="54" t="s">
        <v>411</v>
      </c>
      <c r="H104" s="54" t="s">
        <v>412</v>
      </c>
      <c r="I104" s="54" t="s">
        <v>413</v>
      </c>
      <c r="J104" s="55" t="s">
        <v>113</v>
      </c>
      <c r="K104" s="56"/>
    </row>
    <row r="105" ht="12.75" customHeight="1">
      <c r="A105" s="49" t="s">
        <v>246</v>
      </c>
      <c r="B105" s="50">
        <v>45722.0</v>
      </c>
      <c r="C105" s="51" t="s">
        <v>414</v>
      </c>
      <c r="D105" s="52" t="e">
        <v>#N/A</v>
      </c>
      <c r="E105" s="53" t="s">
        <v>248</v>
      </c>
      <c r="F105" s="54" t="s">
        <v>415</v>
      </c>
      <c r="G105" s="54" t="s">
        <v>416</v>
      </c>
      <c r="H105" s="54" t="s">
        <v>417</v>
      </c>
      <c r="I105" s="54" t="s">
        <v>418</v>
      </c>
      <c r="J105" s="55" t="s">
        <v>113</v>
      </c>
      <c r="K105" s="56"/>
    </row>
    <row r="106" ht="12.75" customHeight="1">
      <c r="A106" s="49" t="s">
        <v>249</v>
      </c>
      <c r="B106" s="50">
        <v>45722.0</v>
      </c>
      <c r="C106" s="51" t="s">
        <v>414</v>
      </c>
      <c r="D106" s="52" t="e">
        <v>#N/A</v>
      </c>
      <c r="E106" s="53" t="s">
        <v>250</v>
      </c>
      <c r="F106" s="54" t="s">
        <v>419</v>
      </c>
      <c r="G106" s="54" t="s">
        <v>420</v>
      </c>
      <c r="H106" s="54" t="s">
        <v>421</v>
      </c>
      <c r="I106" s="54" t="s">
        <v>422</v>
      </c>
      <c r="J106" s="55" t="s">
        <v>113</v>
      </c>
      <c r="K106" s="56"/>
    </row>
    <row r="107" ht="12.75" customHeight="1">
      <c r="A107" s="49" t="s">
        <v>251</v>
      </c>
      <c r="B107" s="50">
        <v>45722.0</v>
      </c>
      <c r="C107" s="51" t="s">
        <v>414</v>
      </c>
      <c r="D107" s="52" t="e">
        <v>#N/A</v>
      </c>
      <c r="E107" s="53" t="s">
        <v>252</v>
      </c>
      <c r="F107" s="54" t="s">
        <v>423</v>
      </c>
      <c r="G107" s="54" t="s">
        <v>424</v>
      </c>
      <c r="H107" s="54" t="s">
        <v>425</v>
      </c>
      <c r="I107" s="54" t="s">
        <v>426</v>
      </c>
      <c r="J107" s="55" t="s">
        <v>113</v>
      </c>
      <c r="K107" s="56"/>
    </row>
    <row r="108" ht="12.75" customHeight="1">
      <c r="A108" s="49" t="s">
        <v>427</v>
      </c>
      <c r="B108" s="50">
        <v>45723.0</v>
      </c>
      <c r="C108" s="51" t="s">
        <v>428</v>
      </c>
      <c r="D108" s="52" t="e">
        <v>#N/A</v>
      </c>
      <c r="E108" s="53" t="s">
        <v>429</v>
      </c>
      <c r="F108" s="54" t="s">
        <v>430</v>
      </c>
      <c r="G108" s="54" t="s">
        <v>431</v>
      </c>
      <c r="H108" s="54" t="s">
        <v>432</v>
      </c>
      <c r="I108" s="54" t="s">
        <v>433</v>
      </c>
      <c r="J108" s="55" t="s">
        <v>113</v>
      </c>
      <c r="K108" s="56"/>
    </row>
    <row r="109" ht="12.75" hidden="1" customHeight="1">
      <c r="A109" s="58" t="s">
        <v>434</v>
      </c>
      <c r="B109" s="59">
        <v>45764.0</v>
      </c>
      <c r="C109" s="58">
        <v>4.650017814E9</v>
      </c>
      <c r="D109" s="61"/>
      <c r="E109" s="58" t="s">
        <v>435</v>
      </c>
      <c r="F109" s="62">
        <v>6.423E7</v>
      </c>
      <c r="G109" s="62">
        <v>3853800.0</v>
      </c>
      <c r="H109" s="62">
        <v>423918.0</v>
      </c>
      <c r="I109" s="62">
        <v>6.8507718E7</v>
      </c>
      <c r="J109" s="58" t="s">
        <v>113</v>
      </c>
      <c r="K109" s="56"/>
    </row>
    <row r="110" ht="12.75" hidden="1" customHeight="1">
      <c r="A110" s="58" t="s">
        <v>436</v>
      </c>
      <c r="B110" s="59">
        <v>45764.0</v>
      </c>
      <c r="C110" s="58">
        <v>4.650017814E9</v>
      </c>
      <c r="D110" s="61"/>
      <c r="E110" s="58" t="s">
        <v>437</v>
      </c>
      <c r="F110" s="62">
        <v>3.8495E7</v>
      </c>
      <c r="G110" s="62">
        <v>2309700.0</v>
      </c>
      <c r="H110" s="62">
        <v>254067.0</v>
      </c>
      <c r="I110" s="62">
        <v>4.1058767E7</v>
      </c>
      <c r="J110" s="58" t="s">
        <v>113</v>
      </c>
      <c r="K110" s="56"/>
    </row>
    <row r="111" ht="12.75" hidden="1" customHeight="1">
      <c r="A111" s="58" t="s">
        <v>438</v>
      </c>
      <c r="B111" s="59">
        <v>45764.0</v>
      </c>
      <c r="C111" s="58">
        <v>4.650017814E9</v>
      </c>
      <c r="D111" s="61"/>
      <c r="E111" s="58" t="s">
        <v>439</v>
      </c>
      <c r="F111" s="62">
        <v>2.5665E7</v>
      </c>
      <c r="G111" s="62">
        <v>1539900.0</v>
      </c>
      <c r="H111" s="62">
        <v>4403839.0</v>
      </c>
      <c r="I111" s="62">
        <v>4.4438739E7</v>
      </c>
      <c r="J111" s="58" t="s">
        <v>113</v>
      </c>
      <c r="K111" s="56"/>
    </row>
    <row r="112" ht="12.75" hidden="1" customHeight="1">
      <c r="A112" s="58" t="s">
        <v>440</v>
      </c>
      <c r="B112" s="59">
        <v>45768.0</v>
      </c>
      <c r="C112" s="58" t="s">
        <v>24</v>
      </c>
      <c r="D112" s="61"/>
      <c r="E112" s="58" t="s">
        <v>441</v>
      </c>
      <c r="F112" s="62">
        <v>6.10122902E8</v>
      </c>
      <c r="G112" s="62">
        <v>5.186044667E7</v>
      </c>
      <c r="H112" s="62">
        <v>7.28181683537E7</v>
      </c>
      <c r="I112" s="62">
        <v>7.348015170237E8</v>
      </c>
      <c r="J112" s="58" t="s">
        <v>113</v>
      </c>
      <c r="K112" s="56"/>
    </row>
    <row r="113" ht="12.75" hidden="1" customHeight="1">
      <c r="A113" s="58" t="s">
        <v>442</v>
      </c>
      <c r="B113" s="59">
        <v>45771.0</v>
      </c>
      <c r="C113" s="58">
        <v>4.650017194E9</v>
      </c>
      <c r="D113" s="61"/>
      <c r="E113" s="58" t="s">
        <v>443</v>
      </c>
      <c r="F113" s="62">
        <v>3.4536107E7</v>
      </c>
      <c r="G113" s="62">
        <v>1864949.7780000002</v>
      </c>
      <c r="H113" s="62">
        <v>4004116.24558</v>
      </c>
      <c r="I113" s="62">
        <v>4.040517302358E7</v>
      </c>
      <c r="J113" s="58" t="s">
        <v>113</v>
      </c>
      <c r="K113" s="56"/>
    </row>
    <row r="114" ht="12.75" hidden="1" customHeight="1">
      <c r="A114" s="58" t="s">
        <v>444</v>
      </c>
      <c r="B114" s="59">
        <v>45771.0</v>
      </c>
      <c r="C114" s="58">
        <v>4.650017194E9</v>
      </c>
      <c r="D114" s="61"/>
      <c r="E114" s="58" t="s">
        <v>445</v>
      </c>
      <c r="F114" s="62">
        <v>3.57002798E8</v>
      </c>
      <c r="G114" s="62">
        <v>1.9278151092000004E7</v>
      </c>
      <c r="H114" s="62">
        <v>4.139090440012E7</v>
      </c>
      <c r="I114" s="62">
        <v>4.1767185349212E8</v>
      </c>
      <c r="J114" s="58" t="s">
        <v>113</v>
      </c>
      <c r="K114" s="56"/>
    </row>
    <row r="115" ht="12.75" hidden="1" customHeight="1">
      <c r="A115" s="58" t="s">
        <v>446</v>
      </c>
      <c r="B115" s="59">
        <v>45771.0</v>
      </c>
      <c r="C115" s="58">
        <v>4.650017194E9</v>
      </c>
      <c r="D115" s="61"/>
      <c r="E115" s="58" t="s">
        <v>447</v>
      </c>
      <c r="F115" s="62">
        <v>1.21411503E8</v>
      </c>
      <c r="G115" s="62">
        <v>6556221.1620000005</v>
      </c>
      <c r="H115" s="62">
        <v>1.407644965782E7</v>
      </c>
      <c r="I115" s="62">
        <v>1.4204417381982E8</v>
      </c>
      <c r="J115" s="58" t="s">
        <v>113</v>
      </c>
      <c r="K115" s="56"/>
    </row>
    <row r="116" ht="12.75" hidden="1" customHeight="1">
      <c r="A116" s="58" t="s">
        <v>448</v>
      </c>
      <c r="B116" s="59">
        <v>45771.0</v>
      </c>
      <c r="C116" s="58" t="s">
        <v>238</v>
      </c>
      <c r="D116" s="61"/>
      <c r="E116" s="58" t="s">
        <v>449</v>
      </c>
      <c r="F116" s="62">
        <v>9.6342055E7</v>
      </c>
      <c r="G116" s="62">
        <v>9634205.5</v>
      </c>
      <c r="H116" s="62">
        <v>1059762.605</v>
      </c>
      <c r="I116" s="62">
        <v>1.07036023105E8</v>
      </c>
      <c r="J116" s="58" t="e">
        <v>#N/A</v>
      </c>
      <c r="K116" s="56"/>
    </row>
    <row r="117" ht="12.75" hidden="1" customHeight="1">
      <c r="A117" s="58" t="s">
        <v>450</v>
      </c>
      <c r="B117" s="59">
        <v>45771.0</v>
      </c>
      <c r="C117" s="60" t="s">
        <v>110</v>
      </c>
      <c r="D117" s="61"/>
      <c r="E117" s="58" t="s">
        <v>451</v>
      </c>
      <c r="F117" s="62">
        <v>8.19941583E8</v>
      </c>
      <c r="G117" s="62">
        <v>4.5096787065E7</v>
      </c>
      <c r="H117" s="62">
        <v>9.515422070715001E7</v>
      </c>
      <c r="I117" s="62">
        <v>9.6019259077215E8</v>
      </c>
      <c r="J117" s="58" t="s">
        <v>113</v>
      </c>
      <c r="K117" s="56"/>
    </row>
    <row r="118" ht="12.75" customHeight="1">
      <c r="A118" s="49" t="s">
        <v>258</v>
      </c>
      <c r="B118" s="50">
        <v>45723.0</v>
      </c>
      <c r="C118" s="63"/>
      <c r="D118" s="52" t="e">
        <v>#N/A</v>
      </c>
      <c r="E118" s="53" t="s">
        <v>259</v>
      </c>
      <c r="F118" s="54" t="s">
        <v>452</v>
      </c>
      <c r="G118" s="54" t="s">
        <v>453</v>
      </c>
      <c r="H118" s="54" t="s">
        <v>454</v>
      </c>
      <c r="I118" s="54" t="s">
        <v>455</v>
      </c>
      <c r="J118" s="55" t="s">
        <v>113</v>
      </c>
      <c r="K118" s="56"/>
    </row>
    <row r="119" ht="12.75" customHeight="1">
      <c r="A119" s="49" t="s">
        <v>260</v>
      </c>
      <c r="B119" s="50">
        <v>45723.0</v>
      </c>
      <c r="C119" s="63"/>
      <c r="D119" s="52" t="e">
        <v>#N/A</v>
      </c>
      <c r="E119" s="53" t="s">
        <v>261</v>
      </c>
      <c r="F119" s="54" t="s">
        <v>456</v>
      </c>
      <c r="G119" s="54" t="s">
        <v>457</v>
      </c>
      <c r="H119" s="54" t="s">
        <v>458</v>
      </c>
      <c r="I119" s="54" t="s">
        <v>459</v>
      </c>
      <c r="J119" s="55" t="s">
        <v>113</v>
      </c>
      <c r="K119" s="56"/>
    </row>
    <row r="120" ht="12.75" customHeight="1">
      <c r="A120" s="49" t="s">
        <v>262</v>
      </c>
      <c r="B120" s="50">
        <v>45723.0</v>
      </c>
      <c r="C120" s="63"/>
      <c r="D120" s="52" t="e">
        <v>#N/A</v>
      </c>
      <c r="E120" s="53" t="s">
        <v>263</v>
      </c>
      <c r="F120" s="54" t="s">
        <v>460</v>
      </c>
      <c r="G120" s="54" t="s">
        <v>461</v>
      </c>
      <c r="H120" s="54" t="s">
        <v>462</v>
      </c>
      <c r="I120" s="54" t="s">
        <v>463</v>
      </c>
      <c r="J120" s="55" t="s">
        <v>113</v>
      </c>
      <c r="K120" s="56"/>
    </row>
    <row r="121" ht="12.75" customHeight="1">
      <c r="A121" s="49" t="s">
        <v>264</v>
      </c>
      <c r="B121" s="50">
        <v>45723.0</v>
      </c>
      <c r="C121" s="63"/>
      <c r="D121" s="52" t="e">
        <v>#N/A</v>
      </c>
      <c r="E121" s="53" t="s">
        <v>265</v>
      </c>
      <c r="F121" s="54" t="s">
        <v>464</v>
      </c>
      <c r="G121" s="54">
        <v>987.611</v>
      </c>
      <c r="H121" s="54" t="s">
        <v>465</v>
      </c>
      <c r="I121" s="54" t="s">
        <v>466</v>
      </c>
      <c r="J121" s="55" t="s">
        <v>113</v>
      </c>
      <c r="K121" s="56"/>
    </row>
    <row r="122" ht="12.75" customHeight="1">
      <c r="A122" s="49" t="s">
        <v>266</v>
      </c>
      <c r="B122" s="50">
        <v>45727.0</v>
      </c>
      <c r="C122" s="51" t="s">
        <v>414</v>
      </c>
      <c r="D122" s="52" t="e">
        <v>#N/A</v>
      </c>
      <c r="E122" s="53" t="s">
        <v>267</v>
      </c>
      <c r="F122" s="54" t="s">
        <v>467</v>
      </c>
      <c r="G122" s="54" t="s">
        <v>468</v>
      </c>
      <c r="H122" s="54" t="s">
        <v>469</v>
      </c>
      <c r="I122" s="54" t="s">
        <v>470</v>
      </c>
      <c r="J122" s="55" t="s">
        <v>113</v>
      </c>
      <c r="K122" s="56"/>
    </row>
    <row r="123" ht="12.75" customHeight="1">
      <c r="A123" s="49" t="s">
        <v>268</v>
      </c>
      <c r="B123" s="50">
        <v>45727.0</v>
      </c>
      <c r="C123" s="51" t="s">
        <v>414</v>
      </c>
      <c r="D123" s="52" t="e">
        <v>#N/A</v>
      </c>
      <c r="E123" s="53" t="s">
        <v>269</v>
      </c>
      <c r="F123" s="54" t="s">
        <v>471</v>
      </c>
      <c r="G123" s="54" t="s">
        <v>472</v>
      </c>
      <c r="H123" s="54" t="s">
        <v>473</v>
      </c>
      <c r="I123" s="54" t="s">
        <v>474</v>
      </c>
      <c r="J123" s="55" t="s">
        <v>113</v>
      </c>
      <c r="K123" s="56"/>
    </row>
    <row r="124" ht="12.75" customHeight="1">
      <c r="A124" s="49" t="s">
        <v>270</v>
      </c>
      <c r="B124" s="50">
        <v>45727.0</v>
      </c>
      <c r="C124" s="51" t="s">
        <v>414</v>
      </c>
      <c r="D124" s="52" t="e">
        <v>#N/A</v>
      </c>
      <c r="E124" s="53" t="s">
        <v>271</v>
      </c>
      <c r="F124" s="54" t="s">
        <v>475</v>
      </c>
      <c r="G124" s="54" t="s">
        <v>476</v>
      </c>
      <c r="H124" s="54" t="s">
        <v>477</v>
      </c>
      <c r="I124" s="54" t="s">
        <v>478</v>
      </c>
      <c r="J124" s="55" t="s">
        <v>113</v>
      </c>
      <c r="K124" s="56"/>
    </row>
    <row r="125" ht="12.75" customHeight="1">
      <c r="A125" s="49" t="s">
        <v>479</v>
      </c>
      <c r="B125" s="50">
        <v>45729.0</v>
      </c>
      <c r="C125" s="63"/>
      <c r="D125" s="52" t="e">
        <v>#N/A</v>
      </c>
      <c r="E125" s="53" t="s">
        <v>480</v>
      </c>
      <c r="F125" s="54" t="s">
        <v>481</v>
      </c>
      <c r="G125" s="54" t="s">
        <v>482</v>
      </c>
      <c r="H125" s="54" t="s">
        <v>483</v>
      </c>
      <c r="I125" s="54" t="s">
        <v>484</v>
      </c>
      <c r="J125" s="55" t="s">
        <v>113</v>
      </c>
      <c r="K125" s="56"/>
    </row>
    <row r="126" ht="12.75" hidden="1" customHeight="1">
      <c r="A126" s="58" t="s">
        <v>485</v>
      </c>
      <c r="B126" s="59">
        <v>45775.0</v>
      </c>
      <c r="C126" s="58">
        <v>3.900540206E9</v>
      </c>
      <c r="D126" s="61"/>
      <c r="E126" s="58" t="s">
        <v>486</v>
      </c>
      <c r="F126" s="62">
        <v>2.71250705E8</v>
      </c>
      <c r="G126" s="62">
        <v>1.7088794415E7</v>
      </c>
      <c r="H126" s="62">
        <v>3.1717344935650002E7</v>
      </c>
      <c r="I126" s="62">
        <v>3.2005684435065E8</v>
      </c>
      <c r="J126" s="58" t="s">
        <v>113</v>
      </c>
      <c r="K126" s="56"/>
    </row>
    <row r="127" ht="12.75" hidden="1" customHeight="1">
      <c r="A127" s="58" t="s">
        <v>487</v>
      </c>
      <c r="B127" s="59">
        <v>45775.0</v>
      </c>
      <c r="C127" s="58">
        <v>3.900558866E9</v>
      </c>
      <c r="D127" s="61"/>
      <c r="E127" s="58" t="s">
        <v>488</v>
      </c>
      <c r="F127" s="62">
        <v>1.62358451E8</v>
      </c>
      <c r="G127" s="62">
        <v>8604997.902999999</v>
      </c>
      <c r="H127" s="62">
        <v>1.8805979379329998E7</v>
      </c>
      <c r="I127" s="62">
        <v>1.8976942828233E8</v>
      </c>
      <c r="J127" s="58" t="s">
        <v>113</v>
      </c>
      <c r="K127" s="56"/>
    </row>
    <row r="128" ht="12.75" hidden="1" customHeight="1">
      <c r="A128" s="58" t="s">
        <v>489</v>
      </c>
      <c r="B128" s="59">
        <v>45775.0</v>
      </c>
      <c r="C128" s="58">
        <v>3.900558866E9</v>
      </c>
      <c r="D128" s="61"/>
      <c r="E128" s="58" t="s">
        <v>490</v>
      </c>
      <c r="F128" s="62">
        <v>4.8368243E7</v>
      </c>
      <c r="G128" s="62">
        <v>2563516.8789999997</v>
      </c>
      <c r="H128" s="62">
        <v>5602493.58669</v>
      </c>
      <c r="I128" s="62">
        <v>5.653425346569E7</v>
      </c>
      <c r="J128" s="58" t="s">
        <v>113</v>
      </c>
      <c r="K128" s="56"/>
    </row>
    <row r="129" ht="12.75" hidden="1" customHeight="1">
      <c r="A129" s="58" t="s">
        <v>491</v>
      </c>
      <c r="B129" s="59">
        <v>45775.0</v>
      </c>
      <c r="C129" s="58">
        <v>3.900558866E9</v>
      </c>
      <c r="D129" s="61"/>
      <c r="E129" s="58" t="s">
        <v>492</v>
      </c>
      <c r="F129" s="62">
        <v>3.5308832E7</v>
      </c>
      <c r="G129" s="62">
        <v>1871368.096</v>
      </c>
      <c r="H129" s="62">
        <v>4089822.0105600003</v>
      </c>
      <c r="I129" s="62">
        <v>4.127002210656E7</v>
      </c>
      <c r="J129" s="58" t="s">
        <v>113</v>
      </c>
      <c r="K129" s="56"/>
    </row>
    <row r="130" ht="12.75" hidden="1" customHeight="1">
      <c r="A130" s="58" t="s">
        <v>493</v>
      </c>
      <c r="B130" s="59">
        <v>45775.0</v>
      </c>
      <c r="C130" s="58">
        <v>3.900558866E9</v>
      </c>
      <c r="D130" s="61"/>
      <c r="E130" s="58" t="s">
        <v>398</v>
      </c>
      <c r="F130" s="62">
        <v>4.4901194E7</v>
      </c>
      <c r="G130" s="62">
        <v>2379763.282</v>
      </c>
      <c r="H130" s="62">
        <v>5200905.30102</v>
      </c>
      <c r="I130" s="62">
        <v>5.248186258302E7</v>
      </c>
      <c r="J130" s="58" t="s">
        <v>113</v>
      </c>
      <c r="K130" s="56"/>
    </row>
    <row r="131" ht="12.75" hidden="1" customHeight="1">
      <c r="A131" s="58" t="s">
        <v>494</v>
      </c>
      <c r="B131" s="59">
        <v>45777.0</v>
      </c>
      <c r="C131" s="60" t="s">
        <v>110</v>
      </c>
      <c r="D131" s="61" t="e">
        <v>#N/A</v>
      </c>
      <c r="E131" s="58" t="s">
        <v>495</v>
      </c>
      <c r="F131" s="62">
        <v>5.8362386E7</v>
      </c>
      <c r="G131" s="62">
        <v>3501743.1599999997</v>
      </c>
      <c r="H131" s="62">
        <v>6805054.207599999</v>
      </c>
      <c r="I131" s="62">
        <v>6.86691833676E7</v>
      </c>
      <c r="J131" s="58" t="s">
        <v>113</v>
      </c>
      <c r="K131" s="56"/>
    </row>
    <row r="132" ht="12.75" hidden="1" customHeight="1">
      <c r="A132" s="58" t="s">
        <v>496</v>
      </c>
      <c r="B132" s="59">
        <v>45777.0</v>
      </c>
      <c r="C132" s="60" t="s">
        <v>110</v>
      </c>
      <c r="D132" s="61" t="e">
        <v>#N/A</v>
      </c>
      <c r="E132" s="58" t="s">
        <v>497</v>
      </c>
      <c r="F132" s="62">
        <v>4.2617016E7</v>
      </c>
      <c r="G132" s="62">
        <v>2557020.96</v>
      </c>
      <c r="H132" s="62">
        <v>4969144.0656</v>
      </c>
      <c r="I132" s="62">
        <v>5.01431810256E7</v>
      </c>
      <c r="J132" s="58" t="s">
        <v>113</v>
      </c>
      <c r="K132" s="56"/>
    </row>
    <row r="133" ht="12.75" hidden="1" customHeight="1">
      <c r="A133" s="58" t="s">
        <v>498</v>
      </c>
      <c r="B133" s="59">
        <v>45777.0</v>
      </c>
      <c r="C133" s="60" t="s">
        <v>110</v>
      </c>
      <c r="D133" s="61" t="e">
        <v>#N/A</v>
      </c>
      <c r="E133" s="58" t="s">
        <v>499</v>
      </c>
      <c r="F133" s="62">
        <v>4.06212139E8</v>
      </c>
      <c r="G133" s="62">
        <v>2.437272834E7</v>
      </c>
      <c r="H133" s="62">
        <v>4.73643354074E7</v>
      </c>
      <c r="I133" s="62">
        <v>4.779492027474E8</v>
      </c>
      <c r="J133" s="58" t="s">
        <v>113</v>
      </c>
      <c r="K133" s="56"/>
    </row>
    <row r="134" ht="12.75" customHeight="1">
      <c r="A134" s="49" t="s">
        <v>500</v>
      </c>
      <c r="B134" s="50">
        <v>45729.0</v>
      </c>
      <c r="C134" s="63"/>
      <c r="D134" s="52" t="e">
        <v>#N/A</v>
      </c>
      <c r="E134" s="53" t="s">
        <v>501</v>
      </c>
      <c r="F134" s="54" t="s">
        <v>502</v>
      </c>
      <c r="G134" s="54" t="s">
        <v>503</v>
      </c>
      <c r="H134" s="54" t="s">
        <v>504</v>
      </c>
      <c r="I134" s="54" t="s">
        <v>505</v>
      </c>
      <c r="J134" s="55" t="e">
        <v>#N/A</v>
      </c>
      <c r="K134" s="56"/>
    </row>
    <row r="135" ht="12.75" customHeight="1">
      <c r="A135" s="49" t="s">
        <v>280</v>
      </c>
      <c r="B135" s="50">
        <v>45729.0</v>
      </c>
      <c r="C135" s="63"/>
      <c r="D135" s="52" t="e">
        <v>#N/A</v>
      </c>
      <c r="E135" s="53" t="s">
        <v>281</v>
      </c>
      <c r="F135" s="54" t="s">
        <v>506</v>
      </c>
      <c r="G135" s="54" t="s">
        <v>507</v>
      </c>
      <c r="H135" s="54" t="s">
        <v>508</v>
      </c>
      <c r="I135" s="54" t="s">
        <v>509</v>
      </c>
      <c r="J135" s="55" t="s">
        <v>113</v>
      </c>
      <c r="K135" s="56"/>
    </row>
    <row r="136" ht="12.75" hidden="1" customHeight="1">
      <c r="A136" s="58" t="s">
        <v>510</v>
      </c>
      <c r="B136" s="59">
        <v>45804.0</v>
      </c>
      <c r="C136" s="60" t="s">
        <v>110</v>
      </c>
      <c r="D136" s="61"/>
      <c r="E136" s="58" t="s">
        <v>511</v>
      </c>
      <c r="F136" s="62">
        <v>3585400.0</v>
      </c>
      <c r="G136" s="62">
        <v>215124.0</v>
      </c>
      <c r="H136" s="62">
        <v>418057.64</v>
      </c>
      <c r="I136" s="62">
        <v>4218581.64</v>
      </c>
      <c r="J136" s="58" t="s">
        <v>113</v>
      </c>
      <c r="K136" s="56"/>
    </row>
    <row r="137" ht="12.75" hidden="1" customHeight="1">
      <c r="A137" s="58" t="s">
        <v>512</v>
      </c>
      <c r="B137" s="59">
        <v>45804.0</v>
      </c>
      <c r="C137" s="60" t="s">
        <v>110</v>
      </c>
      <c r="D137" s="61"/>
      <c r="E137" s="58" t="s">
        <v>513</v>
      </c>
      <c r="F137" s="62">
        <v>9613873.0</v>
      </c>
      <c r="G137" s="62">
        <v>576832.38</v>
      </c>
      <c r="H137" s="62">
        <v>1120977.5918</v>
      </c>
      <c r="I137" s="62">
        <v>1.1311682971800001E7</v>
      </c>
      <c r="J137" s="58" t="s">
        <v>113</v>
      </c>
      <c r="K137" s="56"/>
    </row>
    <row r="138" ht="12.75" hidden="1" customHeight="1">
      <c r="A138" s="58" t="s">
        <v>514</v>
      </c>
      <c r="B138" s="59">
        <v>45804.0</v>
      </c>
      <c r="C138" s="60" t="s">
        <v>110</v>
      </c>
      <c r="D138" s="61"/>
      <c r="E138" s="58" t="s">
        <v>515</v>
      </c>
      <c r="F138" s="62">
        <v>3.155862E7</v>
      </c>
      <c r="G138" s="62">
        <v>1893517.2</v>
      </c>
      <c r="H138" s="62">
        <v>3679735.0919999997</v>
      </c>
      <c r="I138" s="62">
        <v>3.7131872291999996E7</v>
      </c>
      <c r="J138" s="58" t="s">
        <v>113</v>
      </c>
      <c r="K138" s="56"/>
    </row>
    <row r="139" ht="12.75" customHeight="1">
      <c r="A139" s="49" t="s">
        <v>282</v>
      </c>
      <c r="B139" s="50">
        <v>45729.0</v>
      </c>
      <c r="C139" s="63"/>
      <c r="D139" s="52" t="e">
        <v>#N/A</v>
      </c>
      <c r="E139" s="53" t="s">
        <v>283</v>
      </c>
      <c r="F139" s="54" t="s">
        <v>516</v>
      </c>
      <c r="G139" s="54" t="s">
        <v>517</v>
      </c>
      <c r="H139" s="54" t="s">
        <v>518</v>
      </c>
      <c r="I139" s="54" t="s">
        <v>519</v>
      </c>
      <c r="J139" s="55" t="s">
        <v>113</v>
      </c>
      <c r="K139" s="56"/>
    </row>
    <row r="140" ht="12.75" customHeight="1">
      <c r="A140" s="49" t="s">
        <v>284</v>
      </c>
      <c r="B140" s="50">
        <v>45729.0</v>
      </c>
      <c r="C140" s="63"/>
      <c r="D140" s="64"/>
      <c r="E140" s="53" t="s">
        <v>285</v>
      </c>
      <c r="F140" s="54" t="s">
        <v>520</v>
      </c>
      <c r="G140" s="54" t="s">
        <v>521</v>
      </c>
      <c r="H140" s="54" t="s">
        <v>522</v>
      </c>
      <c r="I140" s="54" t="s">
        <v>523</v>
      </c>
      <c r="J140" s="55" t="s">
        <v>113</v>
      </c>
      <c r="K140" s="56"/>
    </row>
    <row r="141" ht="12.75" customHeight="1">
      <c r="A141" s="49" t="s">
        <v>524</v>
      </c>
      <c r="B141" s="50">
        <v>45729.0</v>
      </c>
      <c r="C141" s="63"/>
      <c r="D141" s="64"/>
      <c r="E141" s="53" t="s">
        <v>525</v>
      </c>
      <c r="F141" s="54" t="s">
        <v>526</v>
      </c>
      <c r="G141" s="54" t="s">
        <v>527</v>
      </c>
      <c r="H141" s="54" t="s">
        <v>528</v>
      </c>
      <c r="I141" s="54" t="s">
        <v>529</v>
      </c>
      <c r="J141" s="55" t="s">
        <v>113</v>
      </c>
      <c r="K141" s="56"/>
    </row>
    <row r="142" ht="12.75" customHeight="1">
      <c r="A142" s="49" t="s">
        <v>530</v>
      </c>
      <c r="B142" s="50">
        <v>45729.0</v>
      </c>
      <c r="C142" s="63"/>
      <c r="D142" s="64"/>
      <c r="E142" s="53" t="s">
        <v>531</v>
      </c>
      <c r="F142" s="54" t="s">
        <v>532</v>
      </c>
      <c r="G142" s="54" t="s">
        <v>533</v>
      </c>
      <c r="H142" s="54" t="s">
        <v>534</v>
      </c>
      <c r="I142" s="54" t="s">
        <v>535</v>
      </c>
      <c r="J142" s="55" t="s">
        <v>113</v>
      </c>
      <c r="K142" s="56"/>
    </row>
    <row r="143" ht="12.75" customHeight="1">
      <c r="A143" s="49" t="s">
        <v>536</v>
      </c>
      <c r="B143" s="50">
        <v>45733.0</v>
      </c>
      <c r="C143" s="63"/>
      <c r="D143" s="64"/>
      <c r="E143" s="53" t="s">
        <v>537</v>
      </c>
      <c r="F143" s="54" t="s">
        <v>538</v>
      </c>
      <c r="G143" s="54" t="s">
        <v>539</v>
      </c>
      <c r="H143" s="54" t="s">
        <v>540</v>
      </c>
      <c r="I143" s="54" t="s">
        <v>541</v>
      </c>
      <c r="J143" s="55" t="s">
        <v>113</v>
      </c>
      <c r="K143" s="56"/>
    </row>
    <row r="144" ht="12.75" customHeight="1">
      <c r="A144" s="49" t="s">
        <v>300</v>
      </c>
      <c r="B144" s="50">
        <v>45733.0</v>
      </c>
      <c r="C144" s="63"/>
      <c r="D144" s="64"/>
      <c r="E144" s="53" t="s">
        <v>301</v>
      </c>
      <c r="F144" s="54" t="s">
        <v>542</v>
      </c>
      <c r="G144" s="54" t="s">
        <v>543</v>
      </c>
      <c r="H144" s="54" t="s">
        <v>544</v>
      </c>
      <c r="I144" s="54" t="s">
        <v>545</v>
      </c>
      <c r="J144" s="55" t="s">
        <v>113</v>
      </c>
      <c r="K144" s="56"/>
    </row>
    <row r="145" ht="12.75" hidden="1" customHeight="1">
      <c r="A145" s="58" t="s">
        <v>546</v>
      </c>
      <c r="B145" s="59">
        <v>45793.0</v>
      </c>
      <c r="C145" s="58">
        <v>3.900558866E9</v>
      </c>
      <c r="D145" s="61"/>
      <c r="E145" s="58" t="s">
        <v>547</v>
      </c>
      <c r="F145" s="62">
        <v>1.783751E7</v>
      </c>
      <c r="G145" s="62">
        <v>945388.03</v>
      </c>
      <c r="H145" s="62">
        <v>2066118.7833000002</v>
      </c>
      <c r="I145" s="62">
        <v>2.0849016813300002E7</v>
      </c>
      <c r="J145" s="58" t="s">
        <v>113</v>
      </c>
      <c r="K145" s="56"/>
    </row>
    <row r="146" ht="12.75" hidden="1" customHeight="1">
      <c r="A146" s="58" t="s">
        <v>548</v>
      </c>
      <c r="B146" s="59">
        <v>45793.0</v>
      </c>
      <c r="C146" s="58">
        <v>3.900558866E9</v>
      </c>
      <c r="D146" s="61"/>
      <c r="E146" s="58" t="s">
        <v>549</v>
      </c>
      <c r="F146" s="62">
        <v>1.726964E7</v>
      </c>
      <c r="G146" s="62">
        <v>915290.9199999999</v>
      </c>
      <c r="H146" s="62">
        <v>2000342.4012000002</v>
      </c>
      <c r="I146" s="62">
        <v>2.0185273321200002E7</v>
      </c>
      <c r="J146" s="58" t="s">
        <v>113</v>
      </c>
      <c r="K146" s="56"/>
    </row>
    <row r="147" ht="12.75" hidden="1" customHeight="1">
      <c r="A147" s="58" t="s">
        <v>550</v>
      </c>
      <c r="B147" s="59">
        <v>45793.0</v>
      </c>
      <c r="C147" s="60" t="s">
        <v>551</v>
      </c>
      <c r="D147" s="61"/>
      <c r="E147" s="58" t="s">
        <v>552</v>
      </c>
      <c r="F147" s="62">
        <v>9327127.0</v>
      </c>
      <c r="G147" s="62">
        <v>932712.7000000001</v>
      </c>
      <c r="H147" s="62">
        <v>1128582.3669999999</v>
      </c>
      <c r="I147" s="62">
        <v>1.1388422067E7</v>
      </c>
      <c r="J147" s="58" t="s">
        <v>113</v>
      </c>
      <c r="K147" s="56"/>
    </row>
    <row r="148" ht="12.75" hidden="1" customHeight="1">
      <c r="A148" s="58" t="s">
        <v>553</v>
      </c>
      <c r="B148" s="59">
        <v>45793.0</v>
      </c>
      <c r="C148" s="60" t="s">
        <v>551</v>
      </c>
      <c r="D148" s="61"/>
      <c r="E148" s="58" t="s">
        <v>554</v>
      </c>
      <c r="F148" s="62">
        <v>7717878.0</v>
      </c>
      <c r="G148" s="62">
        <v>771787.8</v>
      </c>
      <c r="H148" s="62">
        <v>0.0</v>
      </c>
      <c r="I148" s="62">
        <v>8489665.8</v>
      </c>
      <c r="J148" s="58" t="s">
        <v>113</v>
      </c>
      <c r="K148" s="56"/>
    </row>
    <row r="149" ht="12.75" hidden="1" customHeight="1">
      <c r="A149" s="58" t="s">
        <v>555</v>
      </c>
      <c r="B149" s="59">
        <v>45793.0</v>
      </c>
      <c r="C149" s="60" t="s">
        <v>551</v>
      </c>
      <c r="D149" s="61"/>
      <c r="E149" s="58" t="s">
        <v>556</v>
      </c>
      <c r="F149" s="62">
        <v>1.0134545E7</v>
      </c>
      <c r="G149" s="62">
        <v>1013454.5</v>
      </c>
      <c r="H149" s="62">
        <v>0.0</v>
      </c>
      <c r="I149" s="62">
        <v>1.11479995E7</v>
      </c>
      <c r="J149" s="58" t="s">
        <v>113</v>
      </c>
      <c r="K149" s="56"/>
    </row>
    <row r="150" ht="12.75" hidden="1" customHeight="1">
      <c r="A150" s="58" t="s">
        <v>557</v>
      </c>
      <c r="B150" s="59">
        <v>45793.0</v>
      </c>
      <c r="C150" s="60" t="s">
        <v>551</v>
      </c>
      <c r="D150" s="61"/>
      <c r="E150" s="58" t="s">
        <v>558</v>
      </c>
      <c r="F150" s="62">
        <v>1.3699029E7</v>
      </c>
      <c r="G150" s="62">
        <v>1369902.9000000001</v>
      </c>
      <c r="H150" s="62">
        <v>0.0</v>
      </c>
      <c r="I150" s="62">
        <v>1.50689319E7</v>
      </c>
      <c r="J150" s="58" t="s">
        <v>113</v>
      </c>
      <c r="K150" s="56"/>
    </row>
    <row r="151" ht="12.75" hidden="1" customHeight="1">
      <c r="A151" s="58" t="s">
        <v>559</v>
      </c>
      <c r="B151" s="59">
        <v>45796.0</v>
      </c>
      <c r="C151" s="58">
        <v>3.900558866E9</v>
      </c>
      <c r="D151" s="61"/>
      <c r="E151" s="58" t="s">
        <v>560</v>
      </c>
      <c r="F151" s="62">
        <v>1.6490203E7</v>
      </c>
      <c r="G151" s="62">
        <v>873980.759</v>
      </c>
      <c r="H151" s="62">
        <v>1910060.21349</v>
      </c>
      <c r="I151" s="62">
        <v>1.9274243972489998E7</v>
      </c>
      <c r="J151" s="58" t="s">
        <v>113</v>
      </c>
      <c r="K151" s="56"/>
    </row>
    <row r="152" ht="12.75" hidden="1" customHeight="1">
      <c r="A152" s="58" t="s">
        <v>561</v>
      </c>
      <c r="B152" s="59">
        <v>45796.0</v>
      </c>
      <c r="C152" s="58">
        <v>3.900558866E9</v>
      </c>
      <c r="D152" s="61"/>
      <c r="E152" s="58" t="s">
        <v>562</v>
      </c>
      <c r="F152" s="62">
        <v>1.0308346E7</v>
      </c>
      <c r="G152" s="62">
        <v>546342.338</v>
      </c>
      <c r="H152" s="62">
        <v>1194015.71718</v>
      </c>
      <c r="I152" s="62">
        <v>1.204870405518E7</v>
      </c>
      <c r="J152" s="58" t="e">
        <v>#N/A</v>
      </c>
      <c r="K152" s="56"/>
    </row>
    <row r="153" ht="12.75" hidden="1" customHeight="1">
      <c r="A153" s="58" t="s">
        <v>563</v>
      </c>
      <c r="B153" s="59">
        <v>45796.0</v>
      </c>
      <c r="C153" s="58">
        <v>3.900558866E9</v>
      </c>
      <c r="D153" s="61"/>
      <c r="E153" s="58" t="s">
        <v>564</v>
      </c>
      <c r="F153" s="62">
        <v>4580000.0</v>
      </c>
      <c r="G153" s="62">
        <v>242740.0</v>
      </c>
      <c r="H153" s="62">
        <v>0.0</v>
      </c>
      <c r="I153" s="62">
        <v>4822740.0</v>
      </c>
      <c r="J153" s="58" t="e">
        <v>#N/A</v>
      </c>
      <c r="K153" s="56"/>
    </row>
    <row r="154" ht="12.75" hidden="1" customHeight="1">
      <c r="A154" s="58" t="s">
        <v>565</v>
      </c>
      <c r="B154" s="59">
        <v>45796.0</v>
      </c>
      <c r="C154" s="58">
        <v>3.900558866E9</v>
      </c>
      <c r="D154" s="61"/>
      <c r="E154" s="58" t="s">
        <v>566</v>
      </c>
      <c r="F154" s="62">
        <v>6969627.0</v>
      </c>
      <c r="G154" s="62">
        <v>369390.23099999997</v>
      </c>
      <c r="H154" s="62">
        <v>807291.89541</v>
      </c>
      <c r="I154" s="62">
        <v>8146309.12641</v>
      </c>
      <c r="J154" s="58" t="e">
        <v>#N/A</v>
      </c>
      <c r="K154" s="56"/>
    </row>
    <row r="155" ht="12.75" hidden="1" customHeight="1">
      <c r="A155" s="58" t="s">
        <v>567</v>
      </c>
      <c r="B155" s="59">
        <v>45796.0</v>
      </c>
      <c r="C155" s="58">
        <v>3.900558866E9</v>
      </c>
      <c r="D155" s="61"/>
      <c r="E155" s="58" t="s">
        <v>568</v>
      </c>
      <c r="F155" s="62">
        <v>1.0139636E7</v>
      </c>
      <c r="G155" s="62">
        <v>537400.708</v>
      </c>
      <c r="H155" s="62">
        <v>59114.07788</v>
      </c>
      <c r="I155" s="62">
        <v>1.0736150785880001E7</v>
      </c>
      <c r="J155" s="58" t="e">
        <v>#N/A</v>
      </c>
      <c r="K155" s="56"/>
    </row>
    <row r="156" ht="12.75" hidden="1" customHeight="1">
      <c r="A156" s="58" t="s">
        <v>569</v>
      </c>
      <c r="B156" s="59">
        <v>45796.0</v>
      </c>
      <c r="C156" s="58" t="s">
        <v>570</v>
      </c>
      <c r="D156" s="61"/>
      <c r="E156" s="58" t="s">
        <v>571</v>
      </c>
      <c r="F156" s="62">
        <v>2.174E7</v>
      </c>
      <c r="G156" s="62"/>
      <c r="H156" s="62">
        <v>2391400.0</v>
      </c>
      <c r="I156" s="62">
        <v>2.41314E7</v>
      </c>
      <c r="J156" s="58" t="s">
        <v>113</v>
      </c>
      <c r="K156" s="56"/>
    </row>
    <row r="157" ht="12.75" hidden="1" customHeight="1">
      <c r="A157" s="58" t="s">
        <v>572</v>
      </c>
      <c r="B157" s="59">
        <v>45800.0</v>
      </c>
      <c r="C157" s="58">
        <v>4.600004404E9</v>
      </c>
      <c r="D157" s="61"/>
      <c r="E157" s="58" t="s">
        <v>573</v>
      </c>
      <c r="F157" s="62">
        <v>5.2480776E7</v>
      </c>
      <c r="G157" s="62">
        <v>2781481.128</v>
      </c>
      <c r="H157" s="62">
        <v>6078848.28408</v>
      </c>
      <c r="I157" s="62">
        <v>6.134110541208E7</v>
      </c>
      <c r="J157" s="58" t="s">
        <v>113</v>
      </c>
      <c r="K157" s="56"/>
    </row>
    <row r="158" ht="12.75" hidden="1" customHeight="1">
      <c r="A158" s="58" t="s">
        <v>574</v>
      </c>
      <c r="B158" s="59">
        <v>45800.0</v>
      </c>
      <c r="C158" s="58">
        <v>4.600004404E9</v>
      </c>
      <c r="D158" s="61"/>
      <c r="E158" s="58" t="s">
        <v>575</v>
      </c>
      <c r="F158" s="62">
        <v>1.17942236E8</v>
      </c>
      <c r="G158" s="62">
        <v>6250938.507999999</v>
      </c>
      <c r="H158" s="62">
        <v>1.366124919588E7</v>
      </c>
      <c r="I158" s="62">
        <v>1.3785442370388E8</v>
      </c>
      <c r="J158" s="58" t="s">
        <v>113</v>
      </c>
      <c r="K158" s="56"/>
    </row>
    <row r="159" ht="12.75" hidden="1" customHeight="1">
      <c r="A159" s="58" t="s">
        <v>576</v>
      </c>
      <c r="B159" s="59">
        <v>45800.0</v>
      </c>
      <c r="C159" s="58">
        <v>4.600004404E9</v>
      </c>
      <c r="D159" s="61"/>
      <c r="E159" s="58" t="s">
        <v>577</v>
      </c>
      <c r="F159" s="62">
        <v>5.1918197E7</v>
      </c>
      <c r="G159" s="62">
        <v>2751664.441</v>
      </c>
      <c r="H159" s="62">
        <v>6013684.75851</v>
      </c>
      <c r="I159" s="62">
        <v>6.068354619951E7</v>
      </c>
      <c r="J159" s="58" t="s">
        <v>113</v>
      </c>
      <c r="K159" s="56"/>
    </row>
    <row r="160" ht="12.75" hidden="1" customHeight="1">
      <c r="A160" s="58" t="s">
        <v>578</v>
      </c>
      <c r="B160" s="59">
        <v>45800.0</v>
      </c>
      <c r="C160" s="58">
        <v>4.600004404E9</v>
      </c>
      <c r="D160" s="61"/>
      <c r="E160" s="58" t="s">
        <v>579</v>
      </c>
      <c r="F160" s="62">
        <v>1.23816242E8</v>
      </c>
      <c r="G160" s="62">
        <v>6562260.825999999</v>
      </c>
      <c r="H160" s="62">
        <v>1.434163531086E7</v>
      </c>
      <c r="I160" s="62">
        <v>1.4472013813686E8</v>
      </c>
      <c r="J160" s="58" t="s">
        <v>113</v>
      </c>
      <c r="K160" s="56"/>
    </row>
    <row r="161" ht="12.75" hidden="1" customHeight="1">
      <c r="A161" s="58" t="s">
        <v>580</v>
      </c>
      <c r="B161" s="59">
        <v>45801.0</v>
      </c>
      <c r="C161" s="60" t="s">
        <v>125</v>
      </c>
      <c r="D161" s="61"/>
      <c r="E161" s="58" t="s">
        <v>581</v>
      </c>
      <c r="F161" s="62">
        <v>3.39477992E8</v>
      </c>
      <c r="G161" s="62">
        <v>1.7992333576E7</v>
      </c>
      <c r="H161" s="62">
        <v>3.932173581336E7</v>
      </c>
      <c r="I161" s="62">
        <v>3.9679206138935995E8</v>
      </c>
      <c r="J161" s="58" t="s">
        <v>113</v>
      </c>
      <c r="K161" s="56"/>
    </row>
    <row r="162" ht="12.75" hidden="1" customHeight="1">
      <c r="A162" s="58" t="s">
        <v>582</v>
      </c>
      <c r="B162" s="59">
        <v>45801.0</v>
      </c>
      <c r="C162" s="60" t="s">
        <v>125</v>
      </c>
      <c r="D162" s="61"/>
      <c r="E162" s="58" t="s">
        <v>583</v>
      </c>
      <c r="F162" s="62">
        <v>2.70143E8</v>
      </c>
      <c r="G162" s="62">
        <v>1.4317579E7</v>
      </c>
      <c r="H162" s="62">
        <v>3.129066369E7</v>
      </c>
      <c r="I162" s="62">
        <v>3.1575124269E8</v>
      </c>
      <c r="J162" s="58" t="s">
        <v>113</v>
      </c>
      <c r="K162" s="56"/>
    </row>
    <row r="163" ht="12.75" hidden="1" customHeight="1">
      <c r="A163" s="58" t="s">
        <v>584</v>
      </c>
      <c r="B163" s="59">
        <v>45801.0</v>
      </c>
      <c r="C163" s="60" t="s">
        <v>125</v>
      </c>
      <c r="D163" s="61"/>
      <c r="E163" s="58" t="s">
        <v>585</v>
      </c>
      <c r="F163" s="62">
        <v>3.48041001E8</v>
      </c>
      <c r="G163" s="62">
        <v>1.8446173053E7</v>
      </c>
      <c r="H163" s="62">
        <v>4.031358914583E7</v>
      </c>
      <c r="I163" s="62">
        <v>4.0680076319882995E8</v>
      </c>
      <c r="J163" s="58" t="s">
        <v>113</v>
      </c>
      <c r="K163" s="56"/>
    </row>
    <row r="164" ht="12.75" hidden="1" customHeight="1">
      <c r="A164" s="58" t="s">
        <v>586</v>
      </c>
      <c r="B164" s="59">
        <v>45801.0</v>
      </c>
      <c r="C164" s="60" t="s">
        <v>125</v>
      </c>
      <c r="D164" s="61"/>
      <c r="E164" s="58" t="s">
        <v>587</v>
      </c>
      <c r="F164" s="62">
        <v>3.34183877E8</v>
      </c>
      <c r="G164" s="62">
        <v>1.7711745481E7</v>
      </c>
      <c r="H164" s="62">
        <v>3.870851847291E7</v>
      </c>
      <c r="I164" s="62">
        <v>3.9060414095391E8</v>
      </c>
      <c r="J164" s="58" t="s">
        <v>113</v>
      </c>
      <c r="K164" s="56"/>
    </row>
    <row r="165" ht="12.75" customHeight="1">
      <c r="A165" s="49" t="s">
        <v>588</v>
      </c>
      <c r="B165" s="50">
        <v>45733.0</v>
      </c>
      <c r="C165" s="63"/>
      <c r="D165" s="64"/>
      <c r="E165" s="53" t="s">
        <v>589</v>
      </c>
      <c r="F165" s="54" t="s">
        <v>590</v>
      </c>
      <c r="G165" s="57"/>
      <c r="H165" s="54" t="s">
        <v>591</v>
      </c>
      <c r="I165" s="54" t="s">
        <v>592</v>
      </c>
      <c r="J165" s="55" t="s">
        <v>113</v>
      </c>
      <c r="K165" s="56"/>
    </row>
    <row r="166" ht="12.75" customHeight="1">
      <c r="A166" s="49" t="s">
        <v>593</v>
      </c>
      <c r="B166" s="50">
        <v>45733.0</v>
      </c>
      <c r="C166" s="63"/>
      <c r="D166" s="64"/>
      <c r="E166" s="53" t="s">
        <v>594</v>
      </c>
      <c r="F166" s="54" t="s">
        <v>595</v>
      </c>
      <c r="G166" s="57"/>
      <c r="H166" s="54" t="s">
        <v>596</v>
      </c>
      <c r="I166" s="54" t="s">
        <v>597</v>
      </c>
      <c r="J166" s="55" t="s">
        <v>113</v>
      </c>
      <c r="K166" s="56"/>
    </row>
    <row r="167" ht="12.75" customHeight="1">
      <c r="A167" s="49" t="s">
        <v>598</v>
      </c>
      <c r="B167" s="50">
        <v>45734.0</v>
      </c>
      <c r="C167" s="63"/>
      <c r="D167" s="64"/>
      <c r="E167" s="53" t="s">
        <v>599</v>
      </c>
      <c r="F167" s="54" t="s">
        <v>600</v>
      </c>
      <c r="G167" s="54" t="s">
        <v>601</v>
      </c>
      <c r="H167" s="54" t="s">
        <v>602</v>
      </c>
      <c r="I167" s="54" t="s">
        <v>603</v>
      </c>
      <c r="J167" s="55" t="s">
        <v>113</v>
      </c>
      <c r="K167" s="56"/>
    </row>
    <row r="168" ht="12.75" customHeight="1">
      <c r="A168" s="49" t="s">
        <v>314</v>
      </c>
      <c r="B168" s="50">
        <v>45734.0</v>
      </c>
      <c r="C168" s="63"/>
      <c r="D168" s="64"/>
      <c r="E168" s="53" t="s">
        <v>315</v>
      </c>
      <c r="F168" s="54" t="s">
        <v>399</v>
      </c>
      <c r="G168" s="54" t="s">
        <v>400</v>
      </c>
      <c r="H168" s="54" t="s">
        <v>401</v>
      </c>
      <c r="I168" s="54" t="s">
        <v>402</v>
      </c>
      <c r="J168" s="55" t="s">
        <v>113</v>
      </c>
      <c r="K168" s="56"/>
    </row>
    <row r="169" ht="12.75" customHeight="1">
      <c r="A169" s="49" t="s">
        <v>604</v>
      </c>
      <c r="B169" s="50">
        <v>45736.0</v>
      </c>
      <c r="C169" s="63"/>
      <c r="D169" s="64"/>
      <c r="E169" s="53" t="s">
        <v>605</v>
      </c>
      <c r="F169" s="54" t="s">
        <v>606</v>
      </c>
      <c r="G169" s="57"/>
      <c r="H169" s="54" t="s">
        <v>607</v>
      </c>
      <c r="I169" s="54" t="s">
        <v>608</v>
      </c>
      <c r="J169" s="55" t="s">
        <v>113</v>
      </c>
      <c r="K169" s="56"/>
    </row>
    <row r="170" ht="12.75" customHeight="1">
      <c r="A170" s="49" t="s">
        <v>319</v>
      </c>
      <c r="B170" s="50">
        <v>45736.0</v>
      </c>
      <c r="C170" s="63"/>
      <c r="D170" s="64"/>
      <c r="E170" s="53" t="s">
        <v>320</v>
      </c>
      <c r="F170" s="54" t="s">
        <v>609</v>
      </c>
      <c r="G170" s="54" t="s">
        <v>610</v>
      </c>
      <c r="H170" s="54" t="s">
        <v>611</v>
      </c>
      <c r="I170" s="54" t="s">
        <v>612</v>
      </c>
      <c r="J170" s="55" t="s">
        <v>113</v>
      </c>
      <c r="K170" s="56"/>
    </row>
    <row r="171" ht="12.75" hidden="1" customHeight="1">
      <c r="A171" s="58" t="s">
        <v>613</v>
      </c>
      <c r="B171" s="59">
        <v>45805.0</v>
      </c>
      <c r="C171" s="60" t="s">
        <v>110</v>
      </c>
      <c r="D171" s="61"/>
      <c r="E171" s="58" t="s">
        <v>614</v>
      </c>
      <c r="F171" s="62">
        <v>8.19941583E8</v>
      </c>
      <c r="G171" s="62">
        <v>4.5096787065E7</v>
      </c>
      <c r="H171" s="62">
        <v>9.515422070715001E7</v>
      </c>
      <c r="I171" s="62">
        <v>9.6019259077215E8</v>
      </c>
      <c r="J171" s="58" t="e">
        <v>#N/A</v>
      </c>
      <c r="K171" s="56"/>
    </row>
    <row r="172" ht="12.75" customHeight="1">
      <c r="A172" s="49" t="s">
        <v>321</v>
      </c>
      <c r="B172" s="50">
        <v>45736.0</v>
      </c>
      <c r="C172" s="63"/>
      <c r="D172" s="64"/>
      <c r="E172" s="53" t="s">
        <v>322</v>
      </c>
      <c r="F172" s="54" t="s">
        <v>615</v>
      </c>
      <c r="G172" s="54" t="s">
        <v>616</v>
      </c>
      <c r="H172" s="54" t="s">
        <v>617</v>
      </c>
      <c r="I172" s="54" t="s">
        <v>618</v>
      </c>
      <c r="J172" s="55" t="s">
        <v>113</v>
      </c>
      <c r="K172" s="56"/>
    </row>
    <row r="173" ht="12.75" customHeight="1">
      <c r="A173" s="49" t="s">
        <v>323</v>
      </c>
      <c r="B173" s="50">
        <v>45736.0</v>
      </c>
      <c r="C173" s="63"/>
      <c r="D173" s="64"/>
      <c r="E173" s="53" t="s">
        <v>324</v>
      </c>
      <c r="F173" s="54" t="s">
        <v>619</v>
      </c>
      <c r="G173" s="54" t="s">
        <v>620</v>
      </c>
      <c r="H173" s="54" t="s">
        <v>621</v>
      </c>
      <c r="I173" s="54" t="s">
        <v>622</v>
      </c>
      <c r="J173" s="55" t="s">
        <v>113</v>
      </c>
      <c r="K173" s="56"/>
    </row>
    <row r="174" ht="12.75" customHeight="1">
      <c r="A174" s="49" t="s">
        <v>325</v>
      </c>
      <c r="B174" s="50">
        <v>45736.0</v>
      </c>
      <c r="C174" s="63"/>
      <c r="D174" s="64"/>
      <c r="E174" s="53" t="s">
        <v>326</v>
      </c>
      <c r="F174" s="54" t="s">
        <v>623</v>
      </c>
      <c r="G174" s="54" t="s">
        <v>624</v>
      </c>
      <c r="H174" s="54" t="s">
        <v>625</v>
      </c>
      <c r="I174" s="54" t="s">
        <v>626</v>
      </c>
      <c r="J174" s="55" t="s">
        <v>113</v>
      </c>
      <c r="K174" s="56"/>
    </row>
    <row r="175" ht="12.75" customHeight="1">
      <c r="A175" s="49" t="s">
        <v>627</v>
      </c>
      <c r="B175" s="50">
        <v>45737.0</v>
      </c>
      <c r="C175" s="63"/>
      <c r="D175" s="64"/>
      <c r="E175" s="53" t="s">
        <v>628</v>
      </c>
      <c r="F175" s="54" t="s">
        <v>629</v>
      </c>
      <c r="G175" s="54" t="s">
        <v>630</v>
      </c>
      <c r="H175" s="54" t="s">
        <v>631</v>
      </c>
      <c r="I175" s="54" t="s">
        <v>632</v>
      </c>
      <c r="J175" s="55" t="s">
        <v>113</v>
      </c>
      <c r="K175" s="56"/>
    </row>
    <row r="176" ht="12.75" customHeight="1">
      <c r="A176" s="49" t="s">
        <v>331</v>
      </c>
      <c r="B176" s="50">
        <v>45741.0</v>
      </c>
      <c r="C176" s="63"/>
      <c r="D176" s="64"/>
      <c r="E176" s="53" t="s">
        <v>326</v>
      </c>
      <c r="F176" s="54" t="s">
        <v>623</v>
      </c>
      <c r="G176" s="54" t="s">
        <v>624</v>
      </c>
      <c r="H176" s="54" t="s">
        <v>625</v>
      </c>
      <c r="I176" s="54" t="s">
        <v>626</v>
      </c>
      <c r="J176" s="55" t="s">
        <v>113</v>
      </c>
      <c r="K176" s="56"/>
    </row>
    <row r="177" ht="12.75" customHeight="1">
      <c r="A177" s="49" t="s">
        <v>633</v>
      </c>
      <c r="B177" s="50">
        <v>45741.0</v>
      </c>
      <c r="C177" s="63"/>
      <c r="D177" s="64"/>
      <c r="E177" s="53" t="s">
        <v>634</v>
      </c>
      <c r="F177" s="54" t="s">
        <v>635</v>
      </c>
      <c r="G177" s="57"/>
      <c r="H177" s="54" t="s">
        <v>636</v>
      </c>
      <c r="I177" s="54" t="s">
        <v>637</v>
      </c>
      <c r="J177" s="55" t="s">
        <v>113</v>
      </c>
      <c r="K177" s="56"/>
    </row>
    <row r="178" ht="12.75" hidden="1" customHeight="1">
      <c r="A178" s="58" t="s">
        <v>638</v>
      </c>
      <c r="B178" s="59">
        <v>45810.0</v>
      </c>
      <c r="C178" s="60" t="s">
        <v>110</v>
      </c>
      <c r="D178" s="61"/>
      <c r="E178" s="58" t="s">
        <v>639</v>
      </c>
      <c r="F178" s="62">
        <v>6.7830337E7</v>
      </c>
      <c r="G178" s="62">
        <v>4069820.2199999997</v>
      </c>
      <c r="H178" s="62">
        <v>7909017.2942</v>
      </c>
      <c r="I178" s="62">
        <v>7.98091745142E7</v>
      </c>
      <c r="J178" s="58" t="s">
        <v>113</v>
      </c>
      <c r="K178" s="56"/>
    </row>
    <row r="179" ht="12.75" hidden="1" customHeight="1">
      <c r="A179" s="58" t="s">
        <v>640</v>
      </c>
      <c r="B179" s="59">
        <v>45810.0</v>
      </c>
      <c r="C179" s="60" t="s">
        <v>110</v>
      </c>
      <c r="D179" s="61"/>
      <c r="E179" s="58" t="s">
        <v>641</v>
      </c>
      <c r="F179" s="62">
        <v>4.2617016E7</v>
      </c>
      <c r="G179" s="62">
        <v>2557020.96</v>
      </c>
      <c r="H179" s="62">
        <v>4969144.0656</v>
      </c>
      <c r="I179" s="62">
        <v>5.01431810256E7</v>
      </c>
      <c r="J179" s="58" t="s">
        <v>113</v>
      </c>
      <c r="K179" s="56"/>
    </row>
    <row r="180" ht="12.75" hidden="1" customHeight="1">
      <c r="A180" s="58" t="s">
        <v>642</v>
      </c>
      <c r="B180" s="59">
        <v>45810.0</v>
      </c>
      <c r="C180" s="60" t="s">
        <v>110</v>
      </c>
      <c r="D180" s="61"/>
      <c r="E180" s="58" t="s">
        <v>643</v>
      </c>
      <c r="F180" s="62">
        <v>4.04457096E8</v>
      </c>
      <c r="G180" s="62">
        <v>2.4267425759999998E7</v>
      </c>
      <c r="H180" s="62">
        <v>4.71596973936E7</v>
      </c>
      <c r="I180" s="62">
        <v>4.758842191536E8</v>
      </c>
      <c r="J180" s="58" t="s">
        <v>113</v>
      </c>
      <c r="K180" s="56"/>
    </row>
    <row r="181" ht="12.75" customHeight="1">
      <c r="A181" s="49" t="s">
        <v>644</v>
      </c>
      <c r="B181" s="50">
        <v>45741.0</v>
      </c>
      <c r="C181" s="63"/>
      <c r="D181" s="64"/>
      <c r="E181" s="53" t="s">
        <v>645</v>
      </c>
      <c r="F181" s="54" t="s">
        <v>646</v>
      </c>
      <c r="G181" s="57"/>
      <c r="H181" s="54" t="s">
        <v>647</v>
      </c>
      <c r="I181" s="54" t="s">
        <v>648</v>
      </c>
      <c r="J181" s="55" t="s">
        <v>113</v>
      </c>
      <c r="K181" s="56"/>
    </row>
    <row r="182" ht="12.75" hidden="1" customHeight="1">
      <c r="A182" s="58" t="s">
        <v>649</v>
      </c>
      <c r="B182" s="59">
        <v>45810.0</v>
      </c>
      <c r="C182" s="58">
        <v>3.900558866E9</v>
      </c>
      <c r="D182" s="61" t="e">
        <v>#N/A</v>
      </c>
      <c r="E182" s="58" t="s">
        <v>650</v>
      </c>
      <c r="F182" s="62">
        <v>1.6301621E8</v>
      </c>
      <c r="G182" s="62">
        <v>8639859.129999999</v>
      </c>
      <c r="H182" s="62">
        <v>1.88821676043E7</v>
      </c>
      <c r="I182" s="62">
        <v>1.905382367343E8</v>
      </c>
      <c r="J182" s="58" t="s">
        <v>113</v>
      </c>
      <c r="K182" s="56"/>
    </row>
    <row r="183" ht="12.75" hidden="1" customHeight="1">
      <c r="A183" s="58" t="s">
        <v>651</v>
      </c>
      <c r="B183" s="59">
        <v>45810.0</v>
      </c>
      <c r="C183" s="58">
        <v>3.900558866E9</v>
      </c>
      <c r="D183" s="61" t="e">
        <v>#N/A</v>
      </c>
      <c r="E183" s="58" t="s">
        <v>652</v>
      </c>
      <c r="F183" s="62">
        <v>4.8368243E7</v>
      </c>
      <c r="G183" s="62">
        <v>2563516.8789999997</v>
      </c>
      <c r="H183" s="62">
        <v>5602493.58669</v>
      </c>
      <c r="I183" s="62">
        <v>5.653425346569E7</v>
      </c>
      <c r="J183" s="58" t="s">
        <v>113</v>
      </c>
      <c r="K183" s="56"/>
    </row>
    <row r="184" ht="12.75" hidden="1" customHeight="1">
      <c r="A184" s="58" t="s">
        <v>653</v>
      </c>
      <c r="B184" s="59">
        <v>45810.0</v>
      </c>
      <c r="C184" s="58">
        <v>3.900558866E9</v>
      </c>
      <c r="D184" s="61" t="e">
        <v>#N/A</v>
      </c>
      <c r="E184" s="58" t="s">
        <v>654</v>
      </c>
      <c r="F184" s="62">
        <v>3.5404832E7</v>
      </c>
      <c r="G184" s="62">
        <v>1876456.096</v>
      </c>
      <c r="H184" s="62">
        <v>4100941.69056</v>
      </c>
      <c r="I184" s="62">
        <v>4.138222978656E7</v>
      </c>
      <c r="J184" s="58" t="s">
        <v>113</v>
      </c>
      <c r="K184" s="56"/>
    </row>
    <row r="185" ht="12.75" customHeight="1">
      <c r="A185" s="49" t="s">
        <v>655</v>
      </c>
      <c r="B185" s="50">
        <v>45741.0</v>
      </c>
      <c r="C185" s="63"/>
      <c r="D185" s="64"/>
      <c r="E185" s="53" t="s">
        <v>656</v>
      </c>
      <c r="F185" s="54" t="s">
        <v>657</v>
      </c>
      <c r="G185" s="57"/>
      <c r="H185" s="54" t="s">
        <v>658</v>
      </c>
      <c r="I185" s="54" t="s">
        <v>659</v>
      </c>
      <c r="J185" s="55" t="s">
        <v>113</v>
      </c>
      <c r="K185" s="56"/>
    </row>
    <row r="186" ht="12.75" hidden="1" customHeight="1">
      <c r="A186" s="58" t="s">
        <v>660</v>
      </c>
      <c r="B186" s="59">
        <v>45812.0</v>
      </c>
      <c r="C186" s="58">
        <v>3.900555529E9</v>
      </c>
      <c r="D186" s="61" t="e">
        <v>#N/A</v>
      </c>
      <c r="E186" s="58" t="s">
        <v>661</v>
      </c>
      <c r="F186" s="62">
        <v>1.00067186E8</v>
      </c>
      <c r="G186" s="62"/>
      <c r="H186" s="62">
        <v>1.100739046E7</v>
      </c>
      <c r="I186" s="62">
        <v>1.1107457646000001E8</v>
      </c>
      <c r="J186" s="58" t="e">
        <v>#N/A</v>
      </c>
      <c r="K186" s="56"/>
    </row>
    <row r="187" ht="12.75" hidden="1" customHeight="1">
      <c r="A187" s="58" t="s">
        <v>662</v>
      </c>
      <c r="B187" s="59">
        <v>45812.0</v>
      </c>
      <c r="C187" s="60" t="s">
        <v>110</v>
      </c>
      <c r="D187" s="61"/>
      <c r="E187" s="58" t="s">
        <v>663</v>
      </c>
      <c r="F187" s="62">
        <v>4.8436967E7</v>
      </c>
      <c r="G187" s="62">
        <v>2906218.02</v>
      </c>
      <c r="H187" s="62">
        <v>5647750.352200001</v>
      </c>
      <c r="I187" s="62">
        <v>5.6990935372200005E7</v>
      </c>
      <c r="J187" s="58" t="s">
        <v>113</v>
      </c>
      <c r="K187" s="56"/>
    </row>
    <row r="188" ht="12.75" hidden="1" customHeight="1">
      <c r="A188" s="58" t="s">
        <v>664</v>
      </c>
      <c r="B188" s="59">
        <v>45812.0</v>
      </c>
      <c r="C188" s="60" t="s">
        <v>110</v>
      </c>
      <c r="D188" s="61"/>
      <c r="E188" s="58" t="s">
        <v>665</v>
      </c>
      <c r="F188" s="62">
        <v>5.8414806E7</v>
      </c>
      <c r="G188" s="62">
        <v>3504888.36</v>
      </c>
      <c r="H188" s="62">
        <v>6811166.3796</v>
      </c>
      <c r="I188" s="62">
        <v>6.87308607396E7</v>
      </c>
      <c r="J188" s="58" t="s">
        <v>113</v>
      </c>
      <c r="K188" s="56"/>
    </row>
    <row r="189" ht="12.75" hidden="1" customHeight="1">
      <c r="A189" s="58" t="s">
        <v>666</v>
      </c>
      <c r="B189" s="59">
        <v>45812.0</v>
      </c>
      <c r="C189" s="60" t="s">
        <v>110</v>
      </c>
      <c r="D189" s="61"/>
      <c r="E189" s="58" t="s">
        <v>667</v>
      </c>
      <c r="F189" s="62">
        <v>1.05643745E8</v>
      </c>
      <c r="G189" s="62">
        <v>6338624.7</v>
      </c>
      <c r="H189" s="62">
        <v>1.2318060667000001E7</v>
      </c>
      <c r="I189" s="62">
        <v>1.24300430367E8</v>
      </c>
      <c r="J189" s="58" t="s">
        <v>113</v>
      </c>
      <c r="K189" s="56"/>
    </row>
    <row r="190" ht="12.75" hidden="1" customHeight="1">
      <c r="A190" s="58" t="s">
        <v>668</v>
      </c>
      <c r="B190" s="59">
        <v>45812.0</v>
      </c>
      <c r="C190" s="60" t="s">
        <v>551</v>
      </c>
      <c r="D190" s="61"/>
      <c r="E190" s="58" t="s">
        <v>669</v>
      </c>
      <c r="F190" s="62">
        <v>2.135698E7</v>
      </c>
      <c r="G190" s="62">
        <v>2135698.0</v>
      </c>
      <c r="H190" s="62">
        <v>2584194.58</v>
      </c>
      <c r="I190" s="62">
        <v>2.607687258E7</v>
      </c>
      <c r="J190" s="58" t="s">
        <v>113</v>
      </c>
      <c r="K190" s="56"/>
    </row>
    <row r="191" ht="12.75" hidden="1" customHeight="1">
      <c r="A191" s="58" t="s">
        <v>670</v>
      </c>
      <c r="B191" s="59">
        <v>45813.0</v>
      </c>
      <c r="C191" s="58">
        <v>3.900558866E9</v>
      </c>
      <c r="D191" s="61"/>
      <c r="E191" s="58" t="s">
        <v>671</v>
      </c>
      <c r="F191" s="62">
        <v>8649863.0</v>
      </c>
      <c r="G191" s="62">
        <v>458442.739</v>
      </c>
      <c r="H191" s="62">
        <v>1001913.63129</v>
      </c>
      <c r="I191" s="62">
        <v>1.011021937029E7</v>
      </c>
      <c r="J191" s="58" t="e">
        <v>#N/A</v>
      </c>
      <c r="K191" s="56"/>
    </row>
    <row r="192" ht="12.75" hidden="1" customHeight="1">
      <c r="A192" s="58" t="s">
        <v>672</v>
      </c>
      <c r="B192" s="59">
        <v>45813.0</v>
      </c>
      <c r="C192" s="58">
        <v>3.900558866E9</v>
      </c>
      <c r="D192" s="61"/>
      <c r="E192" s="58" t="s">
        <v>673</v>
      </c>
      <c r="F192" s="62">
        <v>8422337.0</v>
      </c>
      <c r="G192" s="62">
        <v>446383.861</v>
      </c>
      <c r="H192" s="62">
        <v>975559.2947099999</v>
      </c>
      <c r="I192" s="62">
        <v>9844280.155709999</v>
      </c>
      <c r="J192" s="58" t="s">
        <v>113</v>
      </c>
      <c r="K192" s="56"/>
    </row>
    <row r="193" ht="12.75" customHeight="1">
      <c r="A193" s="49" t="s">
        <v>674</v>
      </c>
      <c r="B193" s="50">
        <v>45741.0</v>
      </c>
      <c r="C193" s="63"/>
      <c r="D193" s="64"/>
      <c r="E193" s="53" t="s">
        <v>675</v>
      </c>
      <c r="F193" s="54" t="s">
        <v>676</v>
      </c>
      <c r="G193" s="57"/>
      <c r="H193" s="54" t="s">
        <v>677</v>
      </c>
      <c r="I193" s="54" t="s">
        <v>678</v>
      </c>
      <c r="J193" s="55" t="s">
        <v>113</v>
      </c>
      <c r="K193" s="56"/>
    </row>
    <row r="194" ht="12.75" hidden="1" customHeight="1">
      <c r="A194" s="58" t="s">
        <v>679</v>
      </c>
      <c r="B194" s="59">
        <v>45818.0</v>
      </c>
      <c r="C194" s="58">
        <v>3.900540206E9</v>
      </c>
      <c r="D194" s="61"/>
      <c r="E194" s="58" t="s">
        <v>680</v>
      </c>
      <c r="F194" s="62">
        <v>2.71250705E8</v>
      </c>
      <c r="G194" s="62">
        <v>1.7088794415E7</v>
      </c>
      <c r="H194" s="62">
        <v>3.1717344935650002E7</v>
      </c>
      <c r="I194" s="62">
        <v>3.2005684435065E8</v>
      </c>
      <c r="J194" s="58" t="s">
        <v>113</v>
      </c>
      <c r="K194" s="56"/>
    </row>
    <row r="195" ht="12.75" customHeight="1">
      <c r="A195" s="49" t="s">
        <v>681</v>
      </c>
      <c r="B195" s="50">
        <v>45741.0</v>
      </c>
      <c r="C195" s="63"/>
      <c r="D195" s="64"/>
      <c r="E195" s="53" t="s">
        <v>682</v>
      </c>
      <c r="F195" s="54" t="s">
        <v>683</v>
      </c>
      <c r="G195" s="57"/>
      <c r="H195" s="54" t="s">
        <v>360</v>
      </c>
      <c r="I195" s="54" t="s">
        <v>684</v>
      </c>
      <c r="J195" s="55" t="s">
        <v>113</v>
      </c>
      <c r="K195" s="56"/>
    </row>
    <row r="196" ht="12.75" customHeight="1">
      <c r="A196" s="49" t="s">
        <v>685</v>
      </c>
      <c r="B196" s="50">
        <v>45741.0</v>
      </c>
      <c r="C196" s="63"/>
      <c r="D196" s="64"/>
      <c r="E196" s="53" t="s">
        <v>686</v>
      </c>
      <c r="F196" s="54" t="s">
        <v>687</v>
      </c>
      <c r="G196" s="57"/>
      <c r="H196" s="54">
        <v>868.195</v>
      </c>
      <c r="I196" s="54" t="s">
        <v>688</v>
      </c>
      <c r="J196" s="55" t="s">
        <v>113</v>
      </c>
      <c r="K196" s="56"/>
    </row>
    <row r="197" ht="12.75" customHeight="1">
      <c r="A197" s="49" t="s">
        <v>689</v>
      </c>
      <c r="B197" s="50">
        <v>45741.0</v>
      </c>
      <c r="C197" s="63"/>
      <c r="D197" s="64"/>
      <c r="E197" s="53" t="s">
        <v>690</v>
      </c>
      <c r="F197" s="54" t="s">
        <v>256</v>
      </c>
      <c r="G197" s="57"/>
      <c r="H197" s="54">
        <v>823.634</v>
      </c>
      <c r="I197" s="54" t="s">
        <v>257</v>
      </c>
      <c r="J197" s="55" t="s">
        <v>113</v>
      </c>
      <c r="K197" s="56"/>
    </row>
    <row r="198" ht="12.75" customHeight="1">
      <c r="A198" s="49" t="s">
        <v>362</v>
      </c>
      <c r="B198" s="50">
        <v>45741.0</v>
      </c>
      <c r="C198" s="63"/>
      <c r="D198" s="64"/>
      <c r="E198" s="53" t="s">
        <v>363</v>
      </c>
      <c r="F198" s="54" t="s">
        <v>691</v>
      </c>
      <c r="G198" s="54" t="s">
        <v>692</v>
      </c>
      <c r="H198" s="54" t="s">
        <v>693</v>
      </c>
      <c r="I198" s="54" t="s">
        <v>694</v>
      </c>
      <c r="J198" s="55" t="s">
        <v>113</v>
      </c>
      <c r="K198" s="56"/>
    </row>
    <row r="199" ht="12.75" customHeight="1">
      <c r="A199" s="49" t="s">
        <v>364</v>
      </c>
      <c r="B199" s="50">
        <v>45741.0</v>
      </c>
      <c r="C199" s="63"/>
      <c r="D199" s="64"/>
      <c r="E199" s="53" t="s">
        <v>365</v>
      </c>
      <c r="F199" s="54" t="s">
        <v>471</v>
      </c>
      <c r="G199" s="54" t="s">
        <v>472</v>
      </c>
      <c r="H199" s="54" t="s">
        <v>473</v>
      </c>
      <c r="I199" s="54" t="s">
        <v>474</v>
      </c>
      <c r="J199" s="55" t="s">
        <v>113</v>
      </c>
      <c r="K199" s="56"/>
    </row>
    <row r="200" ht="12.75" customHeight="1">
      <c r="A200" s="49" t="s">
        <v>366</v>
      </c>
      <c r="B200" s="50">
        <v>45741.0</v>
      </c>
      <c r="C200" s="63"/>
      <c r="D200" s="64"/>
      <c r="E200" s="53" t="s">
        <v>367</v>
      </c>
      <c r="F200" s="54" t="s">
        <v>475</v>
      </c>
      <c r="G200" s="54" t="s">
        <v>476</v>
      </c>
      <c r="H200" s="54" t="s">
        <v>477</v>
      </c>
      <c r="I200" s="54" t="s">
        <v>478</v>
      </c>
      <c r="J200" s="55" t="s">
        <v>113</v>
      </c>
      <c r="K200" s="56"/>
    </row>
    <row r="201" ht="12.75" hidden="1" customHeight="1">
      <c r="A201" s="58" t="s">
        <v>695</v>
      </c>
      <c r="B201" s="59">
        <v>45821.0</v>
      </c>
      <c r="C201" s="60" t="s">
        <v>110</v>
      </c>
      <c r="D201" s="61"/>
      <c r="E201" s="58" t="s">
        <v>696</v>
      </c>
      <c r="F201" s="62">
        <v>2.3141933E7</v>
      </c>
      <c r="G201" s="62"/>
      <c r="H201" s="62"/>
      <c r="I201" s="62">
        <v>2.3141933E7</v>
      </c>
      <c r="J201" s="58" t="e">
        <v>#N/A</v>
      </c>
      <c r="K201" s="56"/>
    </row>
    <row r="202" ht="12.75" hidden="1" customHeight="1">
      <c r="A202" s="58" t="s">
        <v>697</v>
      </c>
      <c r="B202" s="59">
        <v>45821.0</v>
      </c>
      <c r="C202" s="60" t="s">
        <v>110</v>
      </c>
      <c r="D202" s="61"/>
      <c r="E202" s="58" t="s">
        <v>698</v>
      </c>
      <c r="F202" s="62">
        <v>1388516.0</v>
      </c>
      <c r="G202" s="62"/>
      <c r="H202" s="62">
        <v>152736.76</v>
      </c>
      <c r="I202" s="62">
        <v>1541252.76</v>
      </c>
      <c r="J202" s="58" t="s">
        <v>113</v>
      </c>
      <c r="K202" s="56"/>
    </row>
    <row r="203" ht="12.75" hidden="1" customHeight="1">
      <c r="A203" s="58" t="s">
        <v>699</v>
      </c>
      <c r="B203" s="59">
        <v>45821.0</v>
      </c>
      <c r="C203" s="60" t="s">
        <v>110</v>
      </c>
      <c r="D203" s="61"/>
      <c r="E203" s="58" t="s">
        <v>700</v>
      </c>
      <c r="F203" s="62">
        <v>6068839.0</v>
      </c>
      <c r="G203" s="62"/>
      <c r="H203" s="62">
        <v>667572.29</v>
      </c>
      <c r="I203" s="62">
        <v>6736411.29</v>
      </c>
      <c r="J203" s="58" t="s">
        <v>113</v>
      </c>
      <c r="K203" s="56"/>
    </row>
    <row r="204" ht="12.75" hidden="1" customHeight="1">
      <c r="A204" s="58" t="s">
        <v>701</v>
      </c>
      <c r="B204" s="59">
        <v>45821.0</v>
      </c>
      <c r="C204" s="60" t="s">
        <v>110</v>
      </c>
      <c r="D204" s="61"/>
      <c r="E204" s="58" t="s">
        <v>702</v>
      </c>
      <c r="F204" s="62">
        <v>364130.0</v>
      </c>
      <c r="G204" s="62"/>
      <c r="H204" s="62">
        <v>40054.3</v>
      </c>
      <c r="I204" s="62">
        <v>404184.3</v>
      </c>
      <c r="J204" s="58" t="s">
        <v>113</v>
      </c>
      <c r="K204" s="56"/>
    </row>
    <row r="205" ht="12.75" customHeight="1">
      <c r="A205" s="49" t="s">
        <v>368</v>
      </c>
      <c r="B205" s="50">
        <v>45755.0</v>
      </c>
      <c r="C205" s="63"/>
      <c r="D205" s="64"/>
      <c r="E205" s="65" t="s">
        <v>369</v>
      </c>
      <c r="F205" s="54" t="s">
        <v>703</v>
      </c>
      <c r="G205" s="54" t="s">
        <v>704</v>
      </c>
      <c r="H205" s="54" t="s">
        <v>705</v>
      </c>
      <c r="I205" s="54" t="s">
        <v>706</v>
      </c>
      <c r="J205" s="55" t="s">
        <v>113</v>
      </c>
      <c r="K205" s="56"/>
    </row>
    <row r="206" ht="12.75" hidden="1" customHeight="1">
      <c r="A206" s="58" t="s">
        <v>707</v>
      </c>
      <c r="B206" s="59">
        <v>45824.0</v>
      </c>
      <c r="C206" s="58" t="s">
        <v>708</v>
      </c>
      <c r="D206" s="61"/>
      <c r="E206" s="58" t="s">
        <v>709</v>
      </c>
      <c r="F206" s="62">
        <v>2.165E7</v>
      </c>
      <c r="G206" s="62"/>
      <c r="H206" s="62">
        <v>2381500.0</v>
      </c>
      <c r="I206" s="62">
        <v>2.40315E7</v>
      </c>
      <c r="J206" s="58" t="s">
        <v>113</v>
      </c>
      <c r="K206" s="56"/>
    </row>
    <row r="207" ht="12.75" customHeight="1">
      <c r="A207" s="49" t="s">
        <v>370</v>
      </c>
      <c r="B207" s="50">
        <v>45755.0</v>
      </c>
      <c r="C207" s="63"/>
      <c r="D207" s="64"/>
      <c r="E207" s="53" t="s">
        <v>371</v>
      </c>
      <c r="F207" s="54" t="s">
        <v>710</v>
      </c>
      <c r="G207" s="54" t="s">
        <v>711</v>
      </c>
      <c r="H207" s="54" t="s">
        <v>712</v>
      </c>
      <c r="I207" s="54" t="s">
        <v>713</v>
      </c>
      <c r="J207" s="55" t="s">
        <v>113</v>
      </c>
      <c r="K207" s="56"/>
    </row>
    <row r="208" ht="12.75" hidden="1" customHeight="1">
      <c r="A208" s="58" t="s">
        <v>714</v>
      </c>
      <c r="B208" s="59">
        <v>45832.0</v>
      </c>
      <c r="C208" s="58">
        <v>4.600004404E9</v>
      </c>
      <c r="D208" s="61"/>
      <c r="E208" s="58" t="s">
        <v>715</v>
      </c>
      <c r="F208" s="62">
        <v>1.19859039E8</v>
      </c>
      <c r="G208" s="62">
        <v>6352529.067</v>
      </c>
      <c r="H208" s="62">
        <v>1.3883272487370001E7</v>
      </c>
      <c r="I208" s="62">
        <v>1.4009484055437002E8</v>
      </c>
      <c r="J208" s="58" t="s">
        <v>113</v>
      </c>
      <c r="K208" s="56"/>
    </row>
    <row r="209" ht="12.75" hidden="1" customHeight="1">
      <c r="A209" s="58" t="s">
        <v>716</v>
      </c>
      <c r="B209" s="59">
        <v>45832.0</v>
      </c>
      <c r="C209" s="58">
        <v>4.600004404E9</v>
      </c>
      <c r="D209" s="61"/>
      <c r="E209" s="58" t="s">
        <v>717</v>
      </c>
      <c r="F209" s="62">
        <v>2.79655E7</v>
      </c>
      <c r="G209" s="62">
        <v>1482171.5</v>
      </c>
      <c r="H209" s="62">
        <v>3239243.865</v>
      </c>
      <c r="I209" s="62">
        <v>3.2686915365000002E7</v>
      </c>
      <c r="J209" s="58" t="s">
        <v>113</v>
      </c>
      <c r="K209" s="56"/>
    </row>
    <row r="210" ht="12.75" hidden="1" customHeight="1">
      <c r="A210" s="58" t="s">
        <v>718</v>
      </c>
      <c r="B210" s="59">
        <v>45832.0</v>
      </c>
      <c r="C210" s="58">
        <v>4.600004404E9</v>
      </c>
      <c r="D210" s="61"/>
      <c r="E210" s="58" t="s">
        <v>719</v>
      </c>
      <c r="F210" s="62">
        <v>3.36053617E8</v>
      </c>
      <c r="G210" s="62">
        <v>1.7810841701E7</v>
      </c>
      <c r="H210" s="62">
        <v>3.8925090457109995E7</v>
      </c>
      <c r="I210" s="62">
        <v>3.9278954915810996E8</v>
      </c>
      <c r="J210" s="58" t="s">
        <v>113</v>
      </c>
      <c r="K210" s="56"/>
    </row>
    <row r="211" ht="12.75" hidden="1" customHeight="1">
      <c r="A211" s="58" t="s">
        <v>720</v>
      </c>
      <c r="B211" s="59">
        <v>45839.0</v>
      </c>
      <c r="C211" s="60" t="s">
        <v>110</v>
      </c>
      <c r="D211" s="61"/>
      <c r="E211" s="58" t="s">
        <v>721</v>
      </c>
      <c r="F211" s="62">
        <v>8.19941583E8</v>
      </c>
      <c r="G211" s="62"/>
      <c r="H211" s="62">
        <v>9.019357413E7</v>
      </c>
      <c r="I211" s="62">
        <v>9.1013515713E8</v>
      </c>
      <c r="J211" s="58" t="s">
        <v>113</v>
      </c>
      <c r="K211" s="56"/>
    </row>
    <row r="212" ht="12.75" hidden="1" customHeight="1">
      <c r="A212" s="58" t="s">
        <v>722</v>
      </c>
      <c r="B212" s="59">
        <v>45839.0</v>
      </c>
      <c r="C212" s="58">
        <v>4.65001716E9</v>
      </c>
      <c r="D212" s="61"/>
      <c r="E212" s="58" t="s">
        <v>723</v>
      </c>
      <c r="F212" s="62">
        <v>6.7472559E8</v>
      </c>
      <c r="G212" s="62"/>
      <c r="H212" s="62">
        <v>0.0</v>
      </c>
      <c r="I212" s="62">
        <v>6.7472559E8</v>
      </c>
      <c r="J212" s="58" t="e">
        <v>#N/A</v>
      </c>
      <c r="K212" s="56"/>
    </row>
    <row r="213" ht="12.75" hidden="1" customHeight="1">
      <c r="A213" s="58" t="s">
        <v>724</v>
      </c>
      <c r="B213" s="59">
        <v>45839.0</v>
      </c>
      <c r="C213" s="58">
        <v>4.65001716E9</v>
      </c>
      <c r="D213" s="61"/>
      <c r="E213" s="58" t="s">
        <v>725</v>
      </c>
      <c r="F213" s="62">
        <v>3.7109907E7</v>
      </c>
      <c r="G213" s="62"/>
      <c r="H213" s="62">
        <v>4082089.77</v>
      </c>
      <c r="I213" s="62">
        <v>4.119199677E7</v>
      </c>
      <c r="J213" s="58" t="s">
        <v>113</v>
      </c>
      <c r="K213" s="56"/>
    </row>
    <row r="214" ht="12.75" hidden="1" customHeight="1">
      <c r="A214" s="58" t="s">
        <v>726</v>
      </c>
      <c r="B214" s="59">
        <v>45839.0</v>
      </c>
      <c r="C214" s="60" t="s">
        <v>110</v>
      </c>
      <c r="D214" s="61"/>
      <c r="E214" s="58" t="s">
        <v>727</v>
      </c>
      <c r="F214" s="62">
        <v>6.7830337E7</v>
      </c>
      <c r="G214" s="62">
        <v>4069820.2199999997</v>
      </c>
      <c r="H214" s="62">
        <v>7909017.2942</v>
      </c>
      <c r="I214" s="62">
        <v>7.98091745142E7</v>
      </c>
      <c r="J214" s="58" t="s">
        <v>113</v>
      </c>
      <c r="K214" s="56"/>
    </row>
    <row r="215" ht="12.75" hidden="1" customHeight="1">
      <c r="A215" s="58" t="s">
        <v>728</v>
      </c>
      <c r="B215" s="59">
        <v>45838.0</v>
      </c>
      <c r="C215" s="60" t="s">
        <v>110</v>
      </c>
      <c r="D215" s="61"/>
      <c r="E215" s="58" t="s">
        <v>729</v>
      </c>
      <c r="F215" s="62">
        <v>5.8946287E7</v>
      </c>
      <c r="G215" s="62">
        <v>3536777.2199999997</v>
      </c>
      <c r="H215" s="62">
        <v>6873137.0642</v>
      </c>
      <c r="I215" s="62">
        <v>6.93562012842E7</v>
      </c>
      <c r="J215" s="58" t="s">
        <v>113</v>
      </c>
      <c r="K215" s="56"/>
    </row>
    <row r="216" ht="12.75" hidden="1" customHeight="1">
      <c r="A216" s="58" t="s">
        <v>730</v>
      </c>
      <c r="B216" s="59">
        <v>45838.0</v>
      </c>
      <c r="C216" s="60" t="s">
        <v>110</v>
      </c>
      <c r="D216" s="61"/>
      <c r="E216" s="58" t="s">
        <v>731</v>
      </c>
      <c r="F216" s="62">
        <v>4.19909799E8</v>
      </c>
      <c r="G216" s="62">
        <v>2.5194587939999998E7</v>
      </c>
      <c r="H216" s="62">
        <v>4.89614825634E7</v>
      </c>
      <c r="I216" s="62">
        <v>4.9406586950339997E8</v>
      </c>
      <c r="J216" s="58" t="s">
        <v>113</v>
      </c>
      <c r="K216" s="56"/>
    </row>
    <row r="217" ht="12.75" hidden="1" customHeight="1">
      <c r="A217" s="58" t="s">
        <v>732</v>
      </c>
      <c r="B217" s="59">
        <v>45839.0</v>
      </c>
      <c r="C217" s="58">
        <v>3.900558866E9</v>
      </c>
      <c r="D217" s="61"/>
      <c r="E217" s="58" t="s">
        <v>733</v>
      </c>
      <c r="F217" s="62">
        <v>1.62385271E8</v>
      </c>
      <c r="G217" s="62">
        <v>8606419.363</v>
      </c>
      <c r="H217" s="62">
        <v>1.880908593993E7</v>
      </c>
      <c r="I217" s="62">
        <v>1.8980077630293E8</v>
      </c>
      <c r="J217" s="58" t="s">
        <v>113</v>
      </c>
      <c r="K217" s="56"/>
    </row>
    <row r="218" ht="12.75" hidden="1" customHeight="1">
      <c r="A218" s="58" t="s">
        <v>734</v>
      </c>
      <c r="B218" s="59">
        <v>45839.0</v>
      </c>
      <c r="C218" s="58">
        <v>3.900558866E9</v>
      </c>
      <c r="D218" s="61"/>
      <c r="E218" s="58" t="s">
        <v>735</v>
      </c>
      <c r="F218" s="62">
        <v>4.8368243E7</v>
      </c>
      <c r="G218" s="62">
        <v>2563516.8789999997</v>
      </c>
      <c r="H218" s="62">
        <v>5602493.58669</v>
      </c>
      <c r="I218" s="62">
        <v>5.653425346569E7</v>
      </c>
      <c r="J218" s="58" t="s">
        <v>113</v>
      </c>
      <c r="K218" s="56"/>
    </row>
    <row r="219" ht="12.75" hidden="1" customHeight="1">
      <c r="A219" s="58" t="s">
        <v>736</v>
      </c>
      <c r="B219" s="59">
        <v>45839.0</v>
      </c>
      <c r="C219" s="58">
        <v>3.900558866E9</v>
      </c>
      <c r="D219" s="61"/>
      <c r="E219" s="58" t="s">
        <v>737</v>
      </c>
      <c r="F219" s="62">
        <v>3.5356832E7</v>
      </c>
      <c r="G219" s="62">
        <v>1873912.096</v>
      </c>
      <c r="H219" s="62">
        <v>4095381.85056</v>
      </c>
      <c r="I219" s="62">
        <v>4.132612594656E7</v>
      </c>
      <c r="J219" s="58" t="s">
        <v>113</v>
      </c>
      <c r="K219" s="56"/>
    </row>
    <row r="220" ht="12.75" customHeight="1">
      <c r="A220" s="49" t="s">
        <v>372</v>
      </c>
      <c r="B220" s="50">
        <v>45755.0</v>
      </c>
      <c r="C220" s="63"/>
      <c r="D220" s="64"/>
      <c r="E220" s="53" t="s">
        <v>373</v>
      </c>
      <c r="F220" s="54" t="s">
        <v>738</v>
      </c>
      <c r="G220" s="54" t="s">
        <v>739</v>
      </c>
      <c r="H220" s="54" t="s">
        <v>740</v>
      </c>
      <c r="I220" s="54" t="s">
        <v>741</v>
      </c>
      <c r="J220" s="55" t="s">
        <v>113</v>
      </c>
      <c r="K220" s="56"/>
    </row>
    <row r="221" ht="12.75" customHeight="1">
      <c r="A221" s="49" t="s">
        <v>742</v>
      </c>
      <c r="B221" s="50">
        <v>45755.0</v>
      </c>
      <c r="C221" s="63"/>
      <c r="D221" s="64"/>
      <c r="E221" s="53" t="s">
        <v>743</v>
      </c>
      <c r="F221" s="54" t="s">
        <v>744</v>
      </c>
      <c r="G221" s="54" t="s">
        <v>745</v>
      </c>
      <c r="H221" s="54" t="s">
        <v>746</v>
      </c>
      <c r="I221" s="54" t="s">
        <v>747</v>
      </c>
      <c r="J221" s="55" t="s">
        <v>113</v>
      </c>
      <c r="K221" s="56"/>
    </row>
    <row r="222" ht="12.75" customHeight="1">
      <c r="A222" s="49" t="s">
        <v>748</v>
      </c>
      <c r="B222" s="50">
        <v>45755.0</v>
      </c>
      <c r="C222" s="63"/>
      <c r="D222" s="64"/>
      <c r="E222" s="53" t="s">
        <v>749</v>
      </c>
      <c r="F222" s="54" t="s">
        <v>750</v>
      </c>
      <c r="G222" s="54" t="s">
        <v>751</v>
      </c>
      <c r="H222" s="54" t="s">
        <v>752</v>
      </c>
      <c r="I222" s="54" t="s">
        <v>753</v>
      </c>
      <c r="J222" s="55" t="s">
        <v>113</v>
      </c>
      <c r="K222" s="56"/>
    </row>
    <row r="223" ht="12.75" customHeight="1">
      <c r="A223" s="49" t="s">
        <v>382</v>
      </c>
      <c r="B223" s="50">
        <v>45755.0</v>
      </c>
      <c r="C223" s="63"/>
      <c r="D223" s="64"/>
      <c r="E223" s="53" t="s">
        <v>383</v>
      </c>
      <c r="F223" s="54" t="s">
        <v>430</v>
      </c>
      <c r="G223" s="54" t="s">
        <v>431</v>
      </c>
      <c r="H223" s="54" t="s">
        <v>432</v>
      </c>
      <c r="I223" s="54" t="s">
        <v>433</v>
      </c>
      <c r="J223" s="55" t="s">
        <v>113</v>
      </c>
      <c r="K223" s="56"/>
    </row>
    <row r="224" ht="12.75" customHeight="1">
      <c r="A224" s="49" t="s">
        <v>754</v>
      </c>
      <c r="B224" s="50">
        <v>45756.0</v>
      </c>
      <c r="C224" s="63"/>
      <c r="D224" s="64"/>
      <c r="E224" s="53" t="s">
        <v>755</v>
      </c>
      <c r="F224" s="54" t="s">
        <v>297</v>
      </c>
      <c r="G224" s="57"/>
      <c r="H224" s="54" t="s">
        <v>298</v>
      </c>
      <c r="I224" s="54" t="s">
        <v>299</v>
      </c>
      <c r="J224" s="55" t="s">
        <v>113</v>
      </c>
      <c r="K224" s="56"/>
    </row>
    <row r="225" ht="12.75" customHeight="1">
      <c r="A225" s="49" t="s">
        <v>387</v>
      </c>
      <c r="B225" s="50">
        <v>45757.0</v>
      </c>
      <c r="C225" s="63"/>
      <c r="D225" s="64"/>
      <c r="E225" s="53" t="s">
        <v>388</v>
      </c>
      <c r="F225" s="54" t="s">
        <v>756</v>
      </c>
      <c r="G225" s="54" t="s">
        <v>757</v>
      </c>
      <c r="H225" s="54" t="s">
        <v>758</v>
      </c>
      <c r="I225" s="54" t="s">
        <v>759</v>
      </c>
      <c r="J225" s="55" t="s">
        <v>113</v>
      </c>
      <c r="K225" s="56"/>
    </row>
    <row r="226" ht="12.75" customHeight="1">
      <c r="A226" s="49" t="s">
        <v>389</v>
      </c>
      <c r="B226" s="50">
        <v>45757.0</v>
      </c>
      <c r="C226" s="63"/>
      <c r="D226" s="64"/>
      <c r="E226" s="53" t="s">
        <v>390</v>
      </c>
      <c r="F226" s="54" t="s">
        <v>760</v>
      </c>
      <c r="G226" s="54" t="s">
        <v>761</v>
      </c>
      <c r="H226" s="54" t="s">
        <v>762</v>
      </c>
      <c r="I226" s="54" t="s">
        <v>763</v>
      </c>
      <c r="J226" s="55" t="s">
        <v>113</v>
      </c>
      <c r="K226" s="56"/>
    </row>
    <row r="227" ht="12.75" customHeight="1">
      <c r="A227" s="49" t="s">
        <v>391</v>
      </c>
      <c r="B227" s="50">
        <v>45755.0</v>
      </c>
      <c r="C227" s="63"/>
      <c r="D227" s="64"/>
      <c r="E227" s="53" t="s">
        <v>392</v>
      </c>
      <c r="F227" s="54" t="s">
        <v>764</v>
      </c>
      <c r="G227" s="54" t="s">
        <v>765</v>
      </c>
      <c r="H227" s="54" t="s">
        <v>766</v>
      </c>
      <c r="I227" s="54" t="s">
        <v>767</v>
      </c>
      <c r="J227" s="55" t="s">
        <v>113</v>
      </c>
      <c r="K227" s="56"/>
    </row>
    <row r="228" ht="12.75" hidden="1" customHeight="1">
      <c r="A228" s="58" t="s">
        <v>768</v>
      </c>
      <c r="B228" s="59">
        <v>45840.0</v>
      </c>
      <c r="C228" s="60" t="s">
        <v>110</v>
      </c>
      <c r="D228" s="61"/>
      <c r="E228" s="58" t="s">
        <v>769</v>
      </c>
      <c r="F228" s="62">
        <v>4.9295913E7</v>
      </c>
      <c r="G228" s="62">
        <v>2957754.78</v>
      </c>
      <c r="H228" s="62">
        <v>5747903.455800001</v>
      </c>
      <c r="I228" s="62">
        <v>5.80015712358E7</v>
      </c>
      <c r="J228" s="58" t="s">
        <v>113</v>
      </c>
      <c r="K228" s="56"/>
    </row>
    <row r="229" ht="12.75" hidden="1" customHeight="1">
      <c r="A229" s="58" t="s">
        <v>770</v>
      </c>
      <c r="B229" s="59">
        <v>45840.0</v>
      </c>
      <c r="C229" s="60" t="s">
        <v>110</v>
      </c>
      <c r="D229" s="61"/>
      <c r="E229" s="58" t="s">
        <v>771</v>
      </c>
      <c r="F229" s="62">
        <v>3.6354562E7</v>
      </c>
      <c r="G229" s="62">
        <v>2181273.7199999997</v>
      </c>
      <c r="H229" s="62">
        <v>4238941.9292</v>
      </c>
      <c r="I229" s="62">
        <v>4.27747776492E7</v>
      </c>
      <c r="J229" s="58" t="s">
        <v>113</v>
      </c>
      <c r="K229" s="56"/>
    </row>
    <row r="230" ht="12.75" hidden="1" customHeight="1">
      <c r="A230" s="58" t="s">
        <v>772</v>
      </c>
      <c r="B230" s="59">
        <v>45840.0</v>
      </c>
      <c r="C230" s="60" t="s">
        <v>110</v>
      </c>
      <c r="D230" s="61"/>
      <c r="E230" s="58" t="s">
        <v>773</v>
      </c>
      <c r="F230" s="62">
        <v>1.34524101E8</v>
      </c>
      <c r="G230" s="62">
        <v>8071446.06</v>
      </c>
      <c r="H230" s="62">
        <v>1.56855101766E7</v>
      </c>
      <c r="I230" s="62">
        <v>1.582810572366E8</v>
      </c>
      <c r="J230" s="58" t="s">
        <v>113</v>
      </c>
      <c r="K230" s="56"/>
    </row>
    <row r="231" ht="12.75" hidden="1" customHeight="1">
      <c r="A231" s="58" t="s">
        <v>774</v>
      </c>
      <c r="B231" s="59">
        <v>45840.0</v>
      </c>
      <c r="C231" s="58">
        <v>3.900558866E9</v>
      </c>
      <c r="D231" s="61"/>
      <c r="E231" s="58" t="s">
        <v>775</v>
      </c>
      <c r="F231" s="62">
        <v>3.0775366E7</v>
      </c>
      <c r="G231" s="62">
        <v>1631094.398</v>
      </c>
      <c r="H231" s="62">
        <v>3564710.64378</v>
      </c>
      <c r="I231" s="62">
        <v>3.597117104178E7</v>
      </c>
      <c r="J231" s="58" t="s">
        <v>113</v>
      </c>
      <c r="K231" s="56"/>
    </row>
    <row r="232" ht="12.75" hidden="1" customHeight="1">
      <c r="A232" s="58" t="s">
        <v>776</v>
      </c>
      <c r="B232" s="59">
        <v>45842.0</v>
      </c>
      <c r="C232" s="58">
        <v>3.900540206E9</v>
      </c>
      <c r="D232" s="61" t="e">
        <v>#N/A</v>
      </c>
      <c r="E232" s="58" t="s">
        <v>777</v>
      </c>
      <c r="F232" s="62">
        <v>3.12388782E8</v>
      </c>
      <c r="G232" s="62">
        <v>1.9680493266E7</v>
      </c>
      <c r="H232" s="62">
        <v>3.6527620279259995E7</v>
      </c>
      <c r="I232" s="62">
        <v>3.6859689554525995E8</v>
      </c>
      <c r="J232" s="58" t="s">
        <v>113</v>
      </c>
      <c r="K232" s="56"/>
    </row>
    <row r="233" ht="12.75" hidden="1" customHeight="1">
      <c r="A233" s="58" t="s">
        <v>778</v>
      </c>
      <c r="B233" s="59">
        <v>45842.0</v>
      </c>
      <c r="C233" s="58" t="s">
        <v>72</v>
      </c>
      <c r="D233" s="61"/>
      <c r="E233" s="58" t="s">
        <v>779</v>
      </c>
      <c r="F233" s="62">
        <v>3.7001586E7</v>
      </c>
      <c r="G233" s="62">
        <v>4440190.32</v>
      </c>
      <c r="H233" s="62">
        <v>4558595.3952</v>
      </c>
      <c r="I233" s="62">
        <v>4.60003717152E7</v>
      </c>
      <c r="J233" s="58" t="e">
        <v>#N/A</v>
      </c>
      <c r="K233" s="56"/>
    </row>
    <row r="234" ht="12.75" customHeight="1">
      <c r="A234" s="49" t="s">
        <v>393</v>
      </c>
      <c r="B234" s="50">
        <v>45755.0</v>
      </c>
      <c r="C234" s="63"/>
      <c r="D234" s="64"/>
      <c r="E234" s="53" t="s">
        <v>121</v>
      </c>
      <c r="F234" s="54" t="s">
        <v>149</v>
      </c>
      <c r="G234" s="54" t="s">
        <v>150</v>
      </c>
      <c r="H234" s="54" t="s">
        <v>151</v>
      </c>
      <c r="I234" s="54" t="s">
        <v>152</v>
      </c>
      <c r="J234" s="55" t="s">
        <v>113</v>
      </c>
      <c r="K234" s="56"/>
    </row>
    <row r="235" ht="12.75" customHeight="1">
      <c r="A235" s="49" t="s">
        <v>394</v>
      </c>
      <c r="B235" s="50">
        <v>45755.0</v>
      </c>
      <c r="C235" s="63"/>
      <c r="D235" s="64"/>
      <c r="E235" s="53" t="s">
        <v>395</v>
      </c>
      <c r="F235" s="54" t="s">
        <v>780</v>
      </c>
      <c r="G235" s="54" t="s">
        <v>781</v>
      </c>
      <c r="H235" s="54" t="s">
        <v>782</v>
      </c>
      <c r="I235" s="54" t="s">
        <v>783</v>
      </c>
      <c r="J235" s="55" t="s">
        <v>113</v>
      </c>
      <c r="K235" s="56"/>
    </row>
    <row r="236" ht="12.75" customHeight="1">
      <c r="A236" s="49" t="s">
        <v>396</v>
      </c>
      <c r="B236" s="50">
        <v>45755.0</v>
      </c>
      <c r="C236" s="63"/>
      <c r="D236" s="64"/>
      <c r="E236" s="53" t="s">
        <v>123</v>
      </c>
      <c r="F236" s="54" t="s">
        <v>784</v>
      </c>
      <c r="G236" s="54" t="s">
        <v>785</v>
      </c>
      <c r="H236" s="54" t="s">
        <v>786</v>
      </c>
      <c r="I236" s="54" t="s">
        <v>787</v>
      </c>
      <c r="J236" s="55" t="s">
        <v>113</v>
      </c>
      <c r="K236" s="56"/>
    </row>
    <row r="237" ht="12.75" customHeight="1">
      <c r="A237" s="49" t="s">
        <v>397</v>
      </c>
      <c r="B237" s="50">
        <v>45755.0</v>
      </c>
      <c r="C237" s="63"/>
      <c r="D237" s="64"/>
      <c r="E237" s="53" t="s">
        <v>398</v>
      </c>
      <c r="F237" s="54" t="s">
        <v>788</v>
      </c>
      <c r="G237" s="54" t="s">
        <v>789</v>
      </c>
      <c r="H237" s="54" t="s">
        <v>790</v>
      </c>
      <c r="I237" s="54" t="s">
        <v>791</v>
      </c>
      <c r="J237" s="55" t="e">
        <v>#N/A</v>
      </c>
      <c r="K237" s="56"/>
    </row>
    <row r="238" ht="12.75" customHeight="1">
      <c r="A238" s="49" t="s">
        <v>792</v>
      </c>
      <c r="B238" s="50">
        <v>45764.0</v>
      </c>
      <c r="C238" s="63"/>
      <c r="D238" s="64"/>
      <c r="E238" s="53" t="s">
        <v>793</v>
      </c>
      <c r="F238" s="54" t="s">
        <v>794</v>
      </c>
      <c r="G238" s="54">
        <v>615.462</v>
      </c>
      <c r="H238" s="54">
        <v>970.379</v>
      </c>
      <c r="I238" s="54" t="s">
        <v>795</v>
      </c>
      <c r="J238" s="55" t="s">
        <v>113</v>
      </c>
      <c r="K238" s="56"/>
    </row>
    <row r="239" ht="12.75" hidden="1" customHeight="1">
      <c r="A239" s="58" t="s">
        <v>796</v>
      </c>
      <c r="B239" s="59">
        <v>45845.0</v>
      </c>
      <c r="C239" s="58" t="s">
        <v>238</v>
      </c>
      <c r="D239" s="61"/>
      <c r="E239" s="58" t="s">
        <v>797</v>
      </c>
      <c r="F239" s="62">
        <v>9.3531782E7</v>
      </c>
      <c r="G239" s="62">
        <v>9353178.200000001</v>
      </c>
      <c r="H239" s="62">
        <v>1.1317345622E7</v>
      </c>
      <c r="I239" s="62">
        <v>1.14202305822E8</v>
      </c>
      <c r="J239" s="58" t="e">
        <v>#N/A</v>
      </c>
      <c r="K239" s="56"/>
    </row>
    <row r="240" ht="12.75" hidden="1" customHeight="1">
      <c r="A240" s="58" t="s">
        <v>798</v>
      </c>
      <c r="B240" s="59">
        <v>45847.0</v>
      </c>
      <c r="C240" s="60" t="s">
        <v>110</v>
      </c>
      <c r="D240" s="61"/>
      <c r="E240" s="58" t="s">
        <v>799</v>
      </c>
      <c r="F240" s="62">
        <v>7.3256922E7</v>
      </c>
      <c r="G240" s="62"/>
      <c r="H240" s="62">
        <v>0.0</v>
      </c>
      <c r="I240" s="62">
        <v>7.3256922E7</v>
      </c>
      <c r="J240" s="58" t="s">
        <v>113</v>
      </c>
      <c r="K240" s="56"/>
    </row>
    <row r="241" ht="12.75" hidden="1" customHeight="1">
      <c r="A241" s="58" t="s">
        <v>800</v>
      </c>
      <c r="B241" s="59">
        <v>45847.0</v>
      </c>
      <c r="C241" s="60" t="s">
        <v>110</v>
      </c>
      <c r="D241" s="61"/>
      <c r="E241" s="58" t="s">
        <v>801</v>
      </c>
      <c r="F241" s="62">
        <v>4414058.0</v>
      </c>
      <c r="G241" s="62"/>
      <c r="H241" s="62">
        <v>485546.38</v>
      </c>
      <c r="I241" s="62">
        <v>4899604.38</v>
      </c>
      <c r="J241" s="58" t="s">
        <v>113</v>
      </c>
      <c r="K241" s="56"/>
    </row>
    <row r="242" ht="12.75" hidden="1" customHeight="1">
      <c r="A242" s="58" t="s">
        <v>802</v>
      </c>
      <c r="B242" s="59">
        <v>45847.0</v>
      </c>
      <c r="C242" s="60" t="s">
        <v>110</v>
      </c>
      <c r="D242" s="61"/>
      <c r="E242" s="58" t="s">
        <v>803</v>
      </c>
      <c r="F242" s="62">
        <v>4.7085966E7</v>
      </c>
      <c r="G242" s="62"/>
      <c r="H242" s="62">
        <v>0.0</v>
      </c>
      <c r="I242" s="62">
        <v>4.7085966E7</v>
      </c>
      <c r="J242" s="58" t="e">
        <v>#N/A</v>
      </c>
      <c r="K242" s="56"/>
    </row>
    <row r="243" ht="12.75" hidden="1" customHeight="1">
      <c r="A243" s="58" t="s">
        <v>804</v>
      </c>
      <c r="B243" s="59">
        <v>45847.0</v>
      </c>
      <c r="C243" s="60" t="s">
        <v>110</v>
      </c>
      <c r="D243" s="61"/>
      <c r="E243" s="58" t="s">
        <v>805</v>
      </c>
      <c r="F243" s="62">
        <v>2825158.0</v>
      </c>
      <c r="G243" s="62"/>
      <c r="H243" s="62">
        <v>0.0</v>
      </c>
      <c r="I243" s="62">
        <v>2825158.0</v>
      </c>
      <c r="J243" s="58" t="s">
        <v>113</v>
      </c>
      <c r="K243" s="56"/>
    </row>
    <row r="244" ht="12.75" hidden="1" customHeight="1">
      <c r="A244" s="58" t="s">
        <v>806</v>
      </c>
      <c r="B244" s="59">
        <v>45847.0</v>
      </c>
      <c r="C244" s="60" t="s">
        <v>110</v>
      </c>
      <c r="D244" s="61"/>
      <c r="E244" s="58" t="s">
        <v>807</v>
      </c>
      <c r="F244" s="62">
        <v>6.20749142E8</v>
      </c>
      <c r="G244" s="62"/>
      <c r="H244" s="62">
        <v>0.0</v>
      </c>
      <c r="I244" s="62">
        <v>6.20749142E8</v>
      </c>
      <c r="J244" s="58" t="e">
        <v>#N/A</v>
      </c>
      <c r="K244" s="56"/>
    </row>
    <row r="245" ht="12.75" hidden="1" customHeight="1">
      <c r="A245" s="58" t="s">
        <v>808</v>
      </c>
      <c r="B245" s="59">
        <v>45847.0</v>
      </c>
      <c r="C245" s="60" t="s">
        <v>110</v>
      </c>
      <c r="D245" s="61"/>
      <c r="E245" s="58" t="s">
        <v>809</v>
      </c>
      <c r="F245" s="62">
        <v>3.7244949E7</v>
      </c>
      <c r="G245" s="62"/>
      <c r="H245" s="62">
        <v>4096944.39</v>
      </c>
      <c r="I245" s="62">
        <v>4.134189339E7</v>
      </c>
      <c r="J245" s="58" t="s">
        <v>113</v>
      </c>
      <c r="K245" s="56"/>
    </row>
    <row r="246" ht="12.75" hidden="1" customHeight="1">
      <c r="A246" s="58" t="s">
        <v>810</v>
      </c>
      <c r="B246" s="59">
        <v>45852.0</v>
      </c>
      <c r="C246" s="60" t="s">
        <v>551</v>
      </c>
      <c r="D246" s="61"/>
      <c r="E246" s="58" t="s">
        <v>811</v>
      </c>
      <c r="F246" s="62">
        <v>7717878.0</v>
      </c>
      <c r="G246" s="62">
        <v>771787.8</v>
      </c>
      <c r="H246" s="62">
        <v>933863.2380000001</v>
      </c>
      <c r="I246" s="62">
        <v>9423529.038</v>
      </c>
      <c r="J246" s="58" t="s">
        <v>113</v>
      </c>
      <c r="K246" s="56"/>
    </row>
    <row r="247" ht="12.75" hidden="1" customHeight="1">
      <c r="A247" s="58" t="s">
        <v>812</v>
      </c>
      <c r="B247" s="59">
        <v>45852.0</v>
      </c>
      <c r="C247" s="58">
        <v>3.900540206E9</v>
      </c>
      <c r="D247" s="61"/>
      <c r="E247" s="58" t="s">
        <v>813</v>
      </c>
      <c r="F247" s="62">
        <v>2.0802961E7</v>
      </c>
      <c r="G247" s="62"/>
      <c r="H247" s="62">
        <v>2288325.71</v>
      </c>
      <c r="I247" s="62">
        <v>0.0</v>
      </c>
      <c r="J247" s="58" t="e">
        <v>#N/A</v>
      </c>
      <c r="K247" s="56"/>
    </row>
    <row r="248" ht="12.75" hidden="1" customHeight="1">
      <c r="A248" s="58" t="s">
        <v>814</v>
      </c>
      <c r="B248" s="59">
        <v>45852.0</v>
      </c>
      <c r="C248" s="58">
        <v>3.900540206E9</v>
      </c>
      <c r="D248" s="61"/>
      <c r="E248" s="58" t="s">
        <v>815</v>
      </c>
      <c r="F248" s="62">
        <v>1310587.0</v>
      </c>
      <c r="G248" s="62"/>
      <c r="H248" s="62">
        <v>144164.57</v>
      </c>
      <c r="I248" s="62">
        <v>1454751.57</v>
      </c>
      <c r="J248" s="58" t="e">
        <v>#N/A</v>
      </c>
      <c r="K248" s="56"/>
    </row>
    <row r="249" ht="12.75" hidden="1" customHeight="1">
      <c r="A249" s="58" t="s">
        <v>816</v>
      </c>
      <c r="B249" s="59">
        <v>45852.0</v>
      </c>
      <c r="C249" s="58">
        <v>3.900540206E9</v>
      </c>
      <c r="D249" s="61"/>
      <c r="E249" s="58" t="s">
        <v>817</v>
      </c>
      <c r="F249" s="62">
        <v>2.36325136E8</v>
      </c>
      <c r="G249" s="62"/>
      <c r="H249" s="62">
        <v>2.599576496E7</v>
      </c>
      <c r="I249" s="62">
        <v>0.0</v>
      </c>
      <c r="J249" s="58" t="e">
        <v>#N/A</v>
      </c>
      <c r="K249" s="56"/>
    </row>
    <row r="250" ht="12.75" hidden="1" customHeight="1">
      <c r="A250" s="58" t="s">
        <v>818</v>
      </c>
      <c r="B250" s="59">
        <v>45852.0</v>
      </c>
      <c r="C250" s="58">
        <v>3.900540206E9</v>
      </c>
      <c r="D250" s="61"/>
      <c r="E250" s="58" t="s">
        <v>819</v>
      </c>
      <c r="F250" s="62">
        <v>1.4888484E7</v>
      </c>
      <c r="G250" s="62"/>
      <c r="H250" s="62">
        <v>1637733.24</v>
      </c>
      <c r="I250" s="62">
        <v>1.652621724E7</v>
      </c>
      <c r="J250" s="58" t="e">
        <v>#N/A</v>
      </c>
      <c r="K250" s="56"/>
    </row>
    <row r="251" ht="12.75" hidden="1" customHeight="1">
      <c r="A251" s="58" t="s">
        <v>820</v>
      </c>
      <c r="B251" s="59">
        <v>45852.0</v>
      </c>
      <c r="C251" s="58">
        <v>3.900540206E9</v>
      </c>
      <c r="D251" s="61"/>
      <c r="E251" s="58" t="s">
        <v>821</v>
      </c>
      <c r="F251" s="62">
        <v>8373916.0</v>
      </c>
      <c r="G251" s="62">
        <v>527556.708</v>
      </c>
      <c r="H251" s="62">
        <v>979161.99788</v>
      </c>
      <c r="I251" s="62">
        <v>9880634.705880001</v>
      </c>
      <c r="J251" s="58" t="e">
        <v>#N/A</v>
      </c>
      <c r="K251" s="56"/>
    </row>
    <row r="252" ht="12.75" hidden="1" customHeight="1">
      <c r="A252" s="58" t="s">
        <v>822</v>
      </c>
      <c r="B252" s="59">
        <v>45852.0</v>
      </c>
      <c r="C252" s="58" t="s">
        <v>823</v>
      </c>
      <c r="D252" s="61"/>
      <c r="E252" s="58" t="s">
        <v>824</v>
      </c>
      <c r="F252" s="62">
        <v>3.88E7</v>
      </c>
      <c r="G252" s="62">
        <v>4656000.0</v>
      </c>
      <c r="H252" s="62">
        <v>4780160.0</v>
      </c>
      <c r="I252" s="62">
        <v>4.823616E7</v>
      </c>
      <c r="J252" s="58" t="e">
        <v>#N/A</v>
      </c>
      <c r="K252" s="56"/>
    </row>
    <row r="253" ht="12.75" hidden="1" customHeight="1">
      <c r="A253" s="58" t="s">
        <v>825</v>
      </c>
      <c r="B253" s="59">
        <v>45853.0</v>
      </c>
      <c r="C253" s="58">
        <v>3.900540206E9</v>
      </c>
      <c r="D253" s="61"/>
      <c r="E253" s="58" t="s">
        <v>826</v>
      </c>
      <c r="F253" s="62">
        <v>6677200.0</v>
      </c>
      <c r="G253" s="62">
        <v>420663.6</v>
      </c>
      <c r="H253" s="62">
        <v>780764.9959999999</v>
      </c>
      <c r="I253" s="62">
        <v>7878628.596</v>
      </c>
      <c r="J253" s="58" t="e">
        <v>#N/A</v>
      </c>
      <c r="K253" s="56"/>
    </row>
    <row r="254" ht="12.75" hidden="1" customHeight="1">
      <c r="A254" s="58" t="s">
        <v>827</v>
      </c>
      <c r="B254" s="59">
        <v>45853.0</v>
      </c>
      <c r="C254" s="58">
        <v>3.900540206E9</v>
      </c>
      <c r="D254" s="61"/>
      <c r="E254" s="58" t="s">
        <v>828</v>
      </c>
      <c r="F254" s="62">
        <v>1.672937E7</v>
      </c>
      <c r="G254" s="62">
        <v>1053950.31</v>
      </c>
      <c r="H254" s="62">
        <v>1956165.2340999998</v>
      </c>
      <c r="I254" s="62">
        <v>1.9739485544099998E7</v>
      </c>
      <c r="J254" s="58" t="s">
        <v>113</v>
      </c>
      <c r="K254" s="56"/>
    </row>
    <row r="255" ht="12.75" hidden="1" customHeight="1">
      <c r="A255" s="58" t="s">
        <v>829</v>
      </c>
      <c r="B255" s="59">
        <v>45853.0</v>
      </c>
      <c r="C255" s="58" t="s">
        <v>33</v>
      </c>
      <c r="D255" s="61"/>
      <c r="E255" s="58" t="s">
        <v>830</v>
      </c>
      <c r="F255" s="62">
        <v>1.90878E8</v>
      </c>
      <c r="G255" s="62"/>
      <c r="H255" s="62">
        <v>2.099658E7</v>
      </c>
      <c r="I255" s="62">
        <v>2.1187458E8</v>
      </c>
      <c r="J255" s="58" t="e">
        <v>#N/A</v>
      </c>
      <c r="K255" s="56"/>
    </row>
    <row r="256" ht="12.75" hidden="1" customHeight="1">
      <c r="A256" s="58" t="s">
        <v>831</v>
      </c>
      <c r="B256" s="59">
        <v>45853.0</v>
      </c>
      <c r="C256" s="58">
        <v>3.900540206E9</v>
      </c>
      <c r="D256" s="61"/>
      <c r="E256" s="58" t="s">
        <v>832</v>
      </c>
      <c r="F256" s="62">
        <v>1.21603317E8</v>
      </c>
      <c r="G256" s="62"/>
      <c r="H256" s="62">
        <v>1.337636487E7</v>
      </c>
      <c r="I256" s="62">
        <v>1.3497968187E8</v>
      </c>
      <c r="J256" s="58" t="s">
        <v>113</v>
      </c>
      <c r="K256" s="56"/>
    </row>
    <row r="257" ht="12.75" hidden="1" customHeight="1">
      <c r="A257" s="58" t="s">
        <v>833</v>
      </c>
      <c r="B257" s="59">
        <v>45854.0</v>
      </c>
      <c r="C257" s="58">
        <v>3.900540206E9</v>
      </c>
      <c r="D257" s="61"/>
      <c r="E257" s="58" t="s">
        <v>834</v>
      </c>
      <c r="F257" s="62">
        <v>4.815587E7</v>
      </c>
      <c r="G257" s="62">
        <v>3033819.81</v>
      </c>
      <c r="H257" s="62">
        <v>5630865.8791000005</v>
      </c>
      <c r="I257" s="62">
        <v>5.6820555689100005E7</v>
      </c>
      <c r="J257" s="58" t="s">
        <v>113</v>
      </c>
      <c r="K257" s="56"/>
    </row>
    <row r="258" ht="12.75" hidden="1" customHeight="1">
      <c r="A258" s="58" t="s">
        <v>835</v>
      </c>
      <c r="B258" s="59">
        <v>45861.0</v>
      </c>
      <c r="C258" s="58">
        <v>4.600004404E9</v>
      </c>
      <c r="D258" s="61"/>
      <c r="E258" s="58" t="s">
        <v>836</v>
      </c>
      <c r="F258" s="62">
        <v>1.27736539E8</v>
      </c>
      <c r="G258" s="62">
        <v>6770036.567</v>
      </c>
      <c r="H258" s="62">
        <v>1.479572331237E7</v>
      </c>
      <c r="I258" s="62">
        <v>1.4930229887937E8</v>
      </c>
      <c r="J258" s="58" t="s">
        <v>113</v>
      </c>
      <c r="K258" s="56"/>
    </row>
    <row r="259" ht="12.75" hidden="1" customHeight="1">
      <c r="A259" s="58" t="s">
        <v>837</v>
      </c>
      <c r="B259" s="59">
        <v>45861.0</v>
      </c>
      <c r="C259" s="58">
        <v>4.600004404E9</v>
      </c>
      <c r="D259" s="61"/>
      <c r="E259" s="58" t="s">
        <v>838</v>
      </c>
      <c r="F259" s="62">
        <v>8.5270156E7</v>
      </c>
      <c r="G259" s="62">
        <v>4519318.268</v>
      </c>
      <c r="H259" s="62">
        <v>9876842.169480002</v>
      </c>
      <c r="I259" s="62">
        <v>9.966631643748E7</v>
      </c>
      <c r="J259" s="58" t="s">
        <v>113</v>
      </c>
      <c r="K259" s="56"/>
    </row>
    <row r="260" ht="12.75" hidden="1" customHeight="1">
      <c r="A260" s="58" t="s">
        <v>839</v>
      </c>
      <c r="B260" s="59">
        <v>45861.0</v>
      </c>
      <c r="C260" s="58">
        <v>4.600004404E9</v>
      </c>
      <c r="D260" s="61"/>
      <c r="E260" s="58" t="s">
        <v>840</v>
      </c>
      <c r="F260" s="62">
        <v>3.55334001E8</v>
      </c>
      <c r="G260" s="62">
        <v>1.8832702053E7</v>
      </c>
      <c r="H260" s="62">
        <v>4.1158337335829996E7</v>
      </c>
      <c r="I260" s="62">
        <v>4.1532504038882995E8</v>
      </c>
      <c r="J260" s="58" t="s">
        <v>113</v>
      </c>
      <c r="K260" s="56"/>
    </row>
    <row r="261" ht="12.75" hidden="1" customHeight="1">
      <c r="A261" s="58" t="s">
        <v>841</v>
      </c>
      <c r="B261" s="59">
        <v>45862.0</v>
      </c>
      <c r="C261" s="58" t="s">
        <v>238</v>
      </c>
      <c r="D261" s="61"/>
      <c r="E261" s="58" t="s">
        <v>842</v>
      </c>
      <c r="F261" s="62">
        <v>9.6655488E7</v>
      </c>
      <c r="G261" s="62">
        <v>9665548.8</v>
      </c>
      <c r="H261" s="62">
        <v>1.1695314048E7</v>
      </c>
      <c r="I261" s="62">
        <v>1.1801635084799999E8</v>
      </c>
      <c r="J261" s="58" t="e">
        <v>#N/A</v>
      </c>
      <c r="K261" s="56"/>
    </row>
    <row r="262" ht="12.75" customHeight="1">
      <c r="A262" s="49" t="s">
        <v>843</v>
      </c>
      <c r="B262" s="50">
        <v>45764.0</v>
      </c>
      <c r="C262" s="63"/>
      <c r="D262" s="64"/>
      <c r="E262" s="53" t="s">
        <v>844</v>
      </c>
      <c r="F262" s="54" t="s">
        <v>845</v>
      </c>
      <c r="G262" s="54" t="s">
        <v>846</v>
      </c>
      <c r="H262" s="54" t="s">
        <v>847</v>
      </c>
      <c r="I262" s="54" t="s">
        <v>848</v>
      </c>
      <c r="J262" s="55" t="s">
        <v>113</v>
      </c>
      <c r="K262" s="56"/>
    </row>
    <row r="263" ht="12.75" customHeight="1">
      <c r="A263" s="49" t="s">
        <v>849</v>
      </c>
      <c r="B263" s="50">
        <v>45764.0</v>
      </c>
      <c r="C263" s="63"/>
      <c r="D263" s="64"/>
      <c r="E263" s="53" t="s">
        <v>850</v>
      </c>
      <c r="F263" s="54" t="s">
        <v>851</v>
      </c>
      <c r="G263" s="54">
        <v>612.488</v>
      </c>
      <c r="H263" s="54">
        <v>965.689</v>
      </c>
      <c r="I263" s="54" t="s">
        <v>852</v>
      </c>
      <c r="J263" s="55" t="s">
        <v>113</v>
      </c>
      <c r="K263" s="56"/>
    </row>
    <row r="264" ht="12.75" customHeight="1">
      <c r="A264" s="49" t="s">
        <v>853</v>
      </c>
      <c r="B264" s="50">
        <v>45764.0</v>
      </c>
      <c r="C264" s="63"/>
      <c r="D264" s="64"/>
      <c r="E264" s="53" t="s">
        <v>854</v>
      </c>
      <c r="F264" s="54" t="s">
        <v>794</v>
      </c>
      <c r="G264" s="54">
        <v>615.462</v>
      </c>
      <c r="H264" s="54">
        <v>970.379</v>
      </c>
      <c r="I264" s="54" t="s">
        <v>795</v>
      </c>
      <c r="J264" s="55" t="s">
        <v>113</v>
      </c>
      <c r="K264" s="56"/>
    </row>
    <row r="265" ht="12.75" customHeight="1">
      <c r="A265" s="49" t="s">
        <v>855</v>
      </c>
      <c r="B265" s="50">
        <v>45764.0</v>
      </c>
      <c r="C265" s="63"/>
      <c r="D265" s="64"/>
      <c r="E265" s="53" t="s">
        <v>856</v>
      </c>
      <c r="F265" s="54" t="s">
        <v>794</v>
      </c>
      <c r="G265" s="54">
        <v>615.462</v>
      </c>
      <c r="H265" s="54">
        <v>970.379</v>
      </c>
      <c r="I265" s="54" t="s">
        <v>795</v>
      </c>
      <c r="J265" s="55" t="s">
        <v>113</v>
      </c>
      <c r="K265" s="56"/>
    </row>
    <row r="266" ht="12.75" hidden="1" customHeight="1">
      <c r="A266" s="58" t="s">
        <v>857</v>
      </c>
      <c r="B266" s="59">
        <v>45866.0</v>
      </c>
      <c r="C266" s="58">
        <v>3.900558866E9</v>
      </c>
      <c r="D266" s="61"/>
      <c r="E266" s="58" t="s">
        <v>858</v>
      </c>
      <c r="F266" s="62">
        <v>4.11568E7</v>
      </c>
      <c r="G266" s="62">
        <v>2181310.4</v>
      </c>
      <c r="H266" s="62">
        <v>4767192.144</v>
      </c>
      <c r="I266" s="62">
        <v>4.8105302544E7</v>
      </c>
      <c r="J266" s="58" t="s">
        <v>113</v>
      </c>
      <c r="K266" s="56"/>
    </row>
    <row r="267" ht="12.75" hidden="1" customHeight="1">
      <c r="A267" s="58" t="s">
        <v>859</v>
      </c>
      <c r="B267" s="59">
        <v>45866.0</v>
      </c>
      <c r="C267" s="58">
        <v>3.900558866E9</v>
      </c>
      <c r="D267" s="61"/>
      <c r="E267" s="58" t="s">
        <v>860</v>
      </c>
      <c r="F267" s="62">
        <v>2574800.0</v>
      </c>
      <c r="G267" s="62">
        <v>136464.4</v>
      </c>
      <c r="H267" s="62">
        <v>298239.084</v>
      </c>
      <c r="I267" s="62">
        <v>3009503.4839999997</v>
      </c>
      <c r="J267" s="58" t="s">
        <v>113</v>
      </c>
      <c r="K267" s="56"/>
    </row>
    <row r="268" ht="12.75" hidden="1" customHeight="1">
      <c r="A268" s="58" t="s">
        <v>861</v>
      </c>
      <c r="B268" s="59">
        <v>45866.0</v>
      </c>
      <c r="C268" s="58">
        <v>3.900558866E9</v>
      </c>
      <c r="D268" s="61"/>
      <c r="E268" s="58" t="s">
        <v>862</v>
      </c>
      <c r="F268" s="62">
        <v>6702600.0</v>
      </c>
      <c r="G268" s="62">
        <v>355237.8</v>
      </c>
      <c r="H268" s="62">
        <v>776362.1579999999</v>
      </c>
      <c r="I268" s="62">
        <v>7834199.958</v>
      </c>
      <c r="J268" s="58" t="s">
        <v>113</v>
      </c>
      <c r="K268" s="56"/>
    </row>
    <row r="269" ht="12.75" hidden="1" customHeight="1">
      <c r="A269" s="58" t="s">
        <v>863</v>
      </c>
      <c r="B269" s="59">
        <v>45869.0</v>
      </c>
      <c r="C269" s="60" t="s">
        <v>110</v>
      </c>
      <c r="D269" s="61"/>
      <c r="E269" s="58" t="s">
        <v>864</v>
      </c>
      <c r="F269" s="62">
        <v>8.19941583E8</v>
      </c>
      <c r="G269" s="62">
        <v>4.5096787065E7</v>
      </c>
      <c r="H269" s="62">
        <v>9.515422070715001E7</v>
      </c>
      <c r="I269" s="62">
        <v>9.6019259077215E8</v>
      </c>
      <c r="J269" s="58" t="s">
        <v>113</v>
      </c>
      <c r="K269" s="56"/>
    </row>
    <row r="270" ht="12.75" customHeight="1">
      <c r="A270" s="49" t="s">
        <v>865</v>
      </c>
      <c r="B270" s="50">
        <v>45764.0</v>
      </c>
      <c r="C270" s="63"/>
      <c r="D270" s="64"/>
      <c r="E270" s="53" t="s">
        <v>866</v>
      </c>
      <c r="F270" s="54" t="s">
        <v>845</v>
      </c>
      <c r="G270" s="54" t="s">
        <v>846</v>
      </c>
      <c r="H270" s="54" t="s">
        <v>847</v>
      </c>
      <c r="I270" s="54" t="s">
        <v>848</v>
      </c>
      <c r="J270" s="55" t="s">
        <v>113</v>
      </c>
      <c r="K270" s="56"/>
    </row>
    <row r="271" ht="12.75" hidden="1" customHeight="1">
      <c r="A271" s="58" t="s">
        <v>867</v>
      </c>
      <c r="B271" s="59">
        <v>45869.0</v>
      </c>
      <c r="C271" s="60" t="s">
        <v>110</v>
      </c>
      <c r="D271" s="61"/>
      <c r="E271" s="58" t="s">
        <v>868</v>
      </c>
      <c r="F271" s="62">
        <v>7.718715E7</v>
      </c>
      <c r="G271" s="62">
        <v>4631229.0</v>
      </c>
      <c r="H271" s="62">
        <v>9000021.69</v>
      </c>
      <c r="I271" s="62">
        <v>9.081840069E7</v>
      </c>
      <c r="J271" s="58" t="s">
        <v>113</v>
      </c>
      <c r="K271" s="56"/>
    </row>
    <row r="272" ht="12.75" hidden="1" customHeight="1">
      <c r="A272" s="58" t="s">
        <v>869</v>
      </c>
      <c r="B272" s="59">
        <v>45869.0</v>
      </c>
      <c r="C272" s="60" t="s">
        <v>110</v>
      </c>
      <c r="D272" s="61"/>
      <c r="E272" s="58" t="s">
        <v>870</v>
      </c>
      <c r="F272" s="62">
        <v>5.9182907E7</v>
      </c>
      <c r="G272" s="62">
        <v>3550974.42</v>
      </c>
      <c r="H272" s="62">
        <v>6900726.9562</v>
      </c>
      <c r="I272" s="62">
        <v>6.96346083762E7</v>
      </c>
      <c r="J272" s="58" t="s">
        <v>113</v>
      </c>
      <c r="K272" s="56"/>
    </row>
    <row r="273" ht="12.75" hidden="1" customHeight="1">
      <c r="A273" s="58" t="s">
        <v>871</v>
      </c>
      <c r="B273" s="59">
        <v>45869.0</v>
      </c>
      <c r="C273" s="60" t="s">
        <v>110</v>
      </c>
      <c r="D273" s="61"/>
      <c r="E273" s="58" t="s">
        <v>872</v>
      </c>
      <c r="F273" s="62">
        <v>4.22952691E8</v>
      </c>
      <c r="G273" s="62">
        <v>2.537716146E7</v>
      </c>
      <c r="H273" s="62">
        <v>4.93162837706E7</v>
      </c>
      <c r="I273" s="62">
        <v>4.976461362306E8</v>
      </c>
      <c r="J273" s="58" t="s">
        <v>113</v>
      </c>
      <c r="K273" s="56"/>
    </row>
    <row r="274" ht="12.75" hidden="1" customHeight="1">
      <c r="A274" s="58" t="s">
        <v>873</v>
      </c>
      <c r="B274" s="59">
        <v>45870.0</v>
      </c>
      <c r="C274" s="58">
        <v>3.900556018E9</v>
      </c>
      <c r="D274" s="61"/>
      <c r="E274" s="58" t="s">
        <v>874</v>
      </c>
      <c r="F274" s="62">
        <v>2.1171884E7</v>
      </c>
      <c r="G274" s="62">
        <v>2117188.4</v>
      </c>
      <c r="H274" s="62">
        <v>2561797.9639999997</v>
      </c>
      <c r="I274" s="62">
        <v>2.5850870364E7</v>
      </c>
      <c r="J274" s="58" t="s">
        <v>113</v>
      </c>
      <c r="K274" s="56"/>
    </row>
    <row r="275" ht="12.75" hidden="1" customHeight="1">
      <c r="A275" s="58" t="s">
        <v>875</v>
      </c>
      <c r="B275" s="59">
        <v>45870.0</v>
      </c>
      <c r="C275" s="58">
        <v>3.900558866E9</v>
      </c>
      <c r="D275" s="61"/>
      <c r="E275" s="58" t="s">
        <v>876</v>
      </c>
      <c r="F275" s="62">
        <v>1.63682483E8</v>
      </c>
      <c r="G275" s="62">
        <v>8675171.599</v>
      </c>
      <c r="H275" s="62">
        <v>1.895934200589E7</v>
      </c>
      <c r="I275" s="62">
        <v>1.9131699660489002E8</v>
      </c>
      <c r="J275" s="58" t="s">
        <v>113</v>
      </c>
      <c r="K275" s="56"/>
    </row>
    <row r="276" ht="12.75" hidden="1" customHeight="1">
      <c r="A276" s="58" t="s">
        <v>877</v>
      </c>
      <c r="B276" s="59">
        <v>45870.0</v>
      </c>
      <c r="C276" s="58">
        <v>3.900558866E9</v>
      </c>
      <c r="D276" s="61"/>
      <c r="E276" s="58" t="s">
        <v>878</v>
      </c>
      <c r="F276" s="62">
        <v>4.8368243E7</v>
      </c>
      <c r="G276" s="62">
        <v>2563516.8789999997</v>
      </c>
      <c r="H276" s="62">
        <v>5602493.58669</v>
      </c>
      <c r="I276" s="62">
        <v>5.653425346569E7</v>
      </c>
      <c r="J276" s="58" t="s">
        <v>113</v>
      </c>
      <c r="K276" s="56"/>
    </row>
    <row r="277" ht="12.75" hidden="1" customHeight="1">
      <c r="A277" s="58" t="s">
        <v>879</v>
      </c>
      <c r="B277" s="59">
        <v>45870.0</v>
      </c>
      <c r="C277" s="58">
        <v>3.900558866E9</v>
      </c>
      <c r="D277" s="61"/>
      <c r="E277" s="58" t="s">
        <v>880</v>
      </c>
      <c r="F277" s="62">
        <v>3.5500832E7</v>
      </c>
      <c r="G277" s="62">
        <v>1881544.096</v>
      </c>
      <c r="H277" s="62">
        <v>4112061.37056</v>
      </c>
      <c r="I277" s="62">
        <v>4.149443746656E7</v>
      </c>
      <c r="J277" s="58" t="s">
        <v>113</v>
      </c>
      <c r="K277" s="56"/>
    </row>
    <row r="278" ht="12.75" hidden="1" customHeight="1">
      <c r="A278" s="58" t="s">
        <v>881</v>
      </c>
      <c r="B278" s="59">
        <v>45870.0</v>
      </c>
      <c r="C278" s="58">
        <v>3.900558866E9</v>
      </c>
      <c r="D278" s="61"/>
      <c r="E278" s="58" t="s">
        <v>882</v>
      </c>
      <c r="F278" s="62">
        <v>3.9038929E7</v>
      </c>
      <c r="G278" s="62">
        <v>2069063.237</v>
      </c>
      <c r="H278" s="62">
        <v>4521879.146070001</v>
      </c>
      <c r="I278" s="62">
        <v>4.562987138307001E7</v>
      </c>
      <c r="J278" s="58" t="s">
        <v>113</v>
      </c>
      <c r="K278" s="56"/>
    </row>
    <row r="279" ht="12.75" customHeight="1">
      <c r="A279" s="49" t="s">
        <v>883</v>
      </c>
      <c r="B279" s="50">
        <v>45764.0</v>
      </c>
      <c r="C279" s="63"/>
      <c r="D279" s="64"/>
      <c r="E279" s="53" t="s">
        <v>884</v>
      </c>
      <c r="F279" s="54" t="s">
        <v>794</v>
      </c>
      <c r="G279" s="54">
        <v>615.462</v>
      </c>
      <c r="H279" s="54">
        <v>970.379</v>
      </c>
      <c r="I279" s="54" t="s">
        <v>795</v>
      </c>
      <c r="J279" s="55" t="s">
        <v>113</v>
      </c>
      <c r="K279" s="56"/>
    </row>
    <row r="280" ht="12.75" customHeight="1">
      <c r="A280" s="49" t="s">
        <v>885</v>
      </c>
      <c r="B280" s="50">
        <v>45764.0</v>
      </c>
      <c r="C280" s="63"/>
      <c r="D280" s="64"/>
      <c r="E280" s="53" t="s">
        <v>886</v>
      </c>
      <c r="F280" s="54" t="s">
        <v>887</v>
      </c>
      <c r="G280" s="54">
        <v>300.61</v>
      </c>
      <c r="H280" s="54">
        <v>473.962</v>
      </c>
      <c r="I280" s="54" t="s">
        <v>888</v>
      </c>
      <c r="J280" s="55" t="s">
        <v>113</v>
      </c>
      <c r="K280" s="56"/>
    </row>
    <row r="281" ht="12.75" hidden="1" customHeight="1">
      <c r="A281" s="58" t="s">
        <v>889</v>
      </c>
      <c r="B281" s="59">
        <v>45873.0</v>
      </c>
      <c r="C281" s="60" t="s">
        <v>110</v>
      </c>
      <c r="D281" s="61"/>
      <c r="E281" s="58" t="s">
        <v>890</v>
      </c>
      <c r="F281" s="62">
        <v>7.4981581E7</v>
      </c>
      <c r="G281" s="62">
        <v>4498894.859999999</v>
      </c>
      <c r="H281" s="62">
        <v>8742852.3446</v>
      </c>
      <c r="I281" s="62">
        <v>8.82233282046E7</v>
      </c>
      <c r="J281" s="58" t="s">
        <v>113</v>
      </c>
      <c r="K281" s="56"/>
    </row>
    <row r="282" ht="12.75" hidden="1" customHeight="1">
      <c r="A282" s="58" t="s">
        <v>891</v>
      </c>
      <c r="B282" s="59">
        <v>45873.0</v>
      </c>
      <c r="C282" s="60" t="s">
        <v>110</v>
      </c>
      <c r="D282" s="61"/>
      <c r="E282" s="58" t="s">
        <v>892</v>
      </c>
      <c r="F282" s="62">
        <v>4.2665703E7</v>
      </c>
      <c r="G282" s="62">
        <v>2559942.1799999997</v>
      </c>
      <c r="H282" s="62">
        <v>4974820.9698</v>
      </c>
      <c r="I282" s="62">
        <v>5.02004661498E7</v>
      </c>
      <c r="J282" s="58" t="s">
        <v>113</v>
      </c>
      <c r="K282" s="56"/>
    </row>
    <row r="283" ht="12.75" hidden="1" customHeight="1">
      <c r="A283" s="58" t="s">
        <v>893</v>
      </c>
      <c r="B283" s="59">
        <v>45873.0</v>
      </c>
      <c r="C283" s="60" t="s">
        <v>110</v>
      </c>
      <c r="D283" s="61"/>
      <c r="E283" s="58" t="s">
        <v>894</v>
      </c>
      <c r="F283" s="62">
        <v>7.8327039E7</v>
      </c>
      <c r="G283" s="62">
        <v>4699622.34</v>
      </c>
      <c r="H283" s="62">
        <v>9132932.7474</v>
      </c>
      <c r="I283" s="62">
        <v>9.21595940874E7</v>
      </c>
      <c r="J283" s="58" t="s">
        <v>113</v>
      </c>
      <c r="K283" s="56"/>
    </row>
    <row r="284" ht="12.75" hidden="1" customHeight="1">
      <c r="A284" s="58" t="s">
        <v>895</v>
      </c>
      <c r="B284" s="59">
        <v>45874.0</v>
      </c>
      <c r="C284" s="60" t="s">
        <v>110</v>
      </c>
      <c r="D284" s="61"/>
      <c r="E284" s="58" t="s">
        <v>896</v>
      </c>
      <c r="F284" s="62">
        <v>1.7233819E7</v>
      </c>
      <c r="G284" s="62">
        <v>1292536.425</v>
      </c>
      <c r="H284" s="62">
        <v>2037899.09675</v>
      </c>
      <c r="I284" s="62">
        <v>2.056425452175E7</v>
      </c>
      <c r="J284" s="58" t="s">
        <v>113</v>
      </c>
      <c r="K284" s="56"/>
    </row>
    <row r="285" ht="12.75" hidden="1" customHeight="1">
      <c r="A285" s="58" t="s">
        <v>897</v>
      </c>
      <c r="B285" s="59">
        <v>45874.0</v>
      </c>
      <c r="C285" s="60" t="s">
        <v>110</v>
      </c>
      <c r="D285" s="61"/>
      <c r="E285" s="58" t="s">
        <v>898</v>
      </c>
      <c r="F285" s="62">
        <v>8616910.0</v>
      </c>
      <c r="G285" s="62">
        <v>646268.25</v>
      </c>
      <c r="H285" s="62">
        <v>1018949.6075</v>
      </c>
      <c r="I285" s="62">
        <v>1.02821278575E7</v>
      </c>
      <c r="J285" s="58" t="s">
        <v>113</v>
      </c>
      <c r="K285" s="56"/>
    </row>
    <row r="286" ht="12.75" hidden="1" customHeight="1">
      <c r="A286" s="58" t="s">
        <v>899</v>
      </c>
      <c r="B286" s="59">
        <v>45874.0</v>
      </c>
      <c r="C286" s="60" t="s">
        <v>110</v>
      </c>
      <c r="D286" s="61"/>
      <c r="E286" s="58" t="s">
        <v>900</v>
      </c>
      <c r="F286" s="62">
        <v>1.7233642E7</v>
      </c>
      <c r="G286" s="62">
        <v>1292523.15</v>
      </c>
      <c r="H286" s="62">
        <v>2037878.1664999998</v>
      </c>
      <c r="I286" s="62">
        <v>2.0564043316499997E7</v>
      </c>
      <c r="J286" s="58" t="s">
        <v>113</v>
      </c>
      <c r="K286" s="56"/>
    </row>
    <row r="287" ht="12.75" hidden="1" customHeight="1">
      <c r="A287" s="58" t="s">
        <v>901</v>
      </c>
      <c r="B287" s="59">
        <v>45874.0</v>
      </c>
      <c r="C287" s="60" t="s">
        <v>110</v>
      </c>
      <c r="D287" s="61"/>
      <c r="E287" s="58" t="s">
        <v>902</v>
      </c>
      <c r="F287" s="62">
        <v>8616910.0</v>
      </c>
      <c r="G287" s="62">
        <v>646268.25</v>
      </c>
      <c r="H287" s="62">
        <v>1018949.6075</v>
      </c>
      <c r="I287" s="62">
        <v>1.02821278575E7</v>
      </c>
      <c r="J287" s="58" t="s">
        <v>113</v>
      </c>
      <c r="K287" s="56"/>
    </row>
    <row r="288" ht="12.75" hidden="1" customHeight="1">
      <c r="A288" s="58" t="s">
        <v>903</v>
      </c>
      <c r="B288" s="59">
        <v>45874.0</v>
      </c>
      <c r="C288" s="60" t="s">
        <v>110</v>
      </c>
      <c r="D288" s="61"/>
      <c r="E288" s="58" t="s">
        <v>904</v>
      </c>
      <c r="F288" s="62">
        <v>8575265.0</v>
      </c>
      <c r="G288" s="62">
        <v>643144.875</v>
      </c>
      <c r="H288" s="62">
        <v>1014025.08625</v>
      </c>
      <c r="I288" s="62">
        <v>1.023243496125E7</v>
      </c>
      <c r="J288" s="58" t="s">
        <v>113</v>
      </c>
      <c r="K288" s="56"/>
    </row>
    <row r="289" ht="12.75" hidden="1" customHeight="1">
      <c r="A289" s="58" t="s">
        <v>905</v>
      </c>
      <c r="B289" s="59">
        <v>45875.0</v>
      </c>
      <c r="C289" s="58">
        <v>4.65001716E9</v>
      </c>
      <c r="D289" s="61"/>
      <c r="E289" s="58" t="s">
        <v>906</v>
      </c>
      <c r="F289" s="62">
        <v>5857200.0</v>
      </c>
      <c r="G289" s="62">
        <v>322146.0</v>
      </c>
      <c r="H289" s="62">
        <v>679728.06</v>
      </c>
      <c r="I289" s="62">
        <v>6859074.0600000005</v>
      </c>
      <c r="J289" s="58" t="s">
        <v>113</v>
      </c>
      <c r="K289" s="56"/>
    </row>
    <row r="290" ht="12.75" hidden="1" customHeight="1">
      <c r="A290" s="58" t="s">
        <v>907</v>
      </c>
      <c r="B290" s="59">
        <v>45875.0</v>
      </c>
      <c r="C290" s="58">
        <v>4.65001716E9</v>
      </c>
      <c r="D290" s="61"/>
      <c r="E290" s="58" t="s">
        <v>908</v>
      </c>
      <c r="F290" s="62">
        <v>1.57211385E8</v>
      </c>
      <c r="G290" s="62">
        <v>8646626.175</v>
      </c>
      <c r="H290" s="62">
        <v>1.8244381229250003E7</v>
      </c>
      <c r="I290" s="62">
        <v>1.8410239240425003E8</v>
      </c>
      <c r="J290" s="58" t="e">
        <v>#N/A</v>
      </c>
      <c r="K290" s="56"/>
    </row>
    <row r="291" ht="12.75" hidden="1" customHeight="1">
      <c r="A291" s="58" t="s">
        <v>909</v>
      </c>
      <c r="B291" s="59">
        <v>45875.0</v>
      </c>
      <c r="C291" s="58">
        <v>4.65001716E9</v>
      </c>
      <c r="D291" s="61"/>
      <c r="E291" s="58" t="s">
        <v>910</v>
      </c>
      <c r="F291" s="62">
        <v>7.1494744E7</v>
      </c>
      <c r="G291" s="62">
        <v>3932210.92</v>
      </c>
      <c r="H291" s="62">
        <v>8296965.0412</v>
      </c>
      <c r="I291" s="62">
        <v>8.37239199612E7</v>
      </c>
      <c r="J291" s="58" t="e">
        <v>#N/A</v>
      </c>
      <c r="K291" s="56"/>
    </row>
    <row r="292" ht="12.75" hidden="1" customHeight="1">
      <c r="A292" s="58" t="s">
        <v>911</v>
      </c>
      <c r="B292" s="59">
        <v>45876.0</v>
      </c>
      <c r="C292" s="58">
        <v>3.900540206E9</v>
      </c>
      <c r="D292" s="61"/>
      <c r="E292" s="58" t="s">
        <v>912</v>
      </c>
      <c r="F292" s="62">
        <v>2.91634251E8</v>
      </c>
      <c r="G292" s="62">
        <v>1.8372957813E7</v>
      </c>
      <c r="H292" s="62">
        <v>3.410079296943E7</v>
      </c>
      <c r="I292" s="62">
        <v>3.4410800178243005E8</v>
      </c>
      <c r="J292" s="58" t="s">
        <v>113</v>
      </c>
      <c r="K292" s="56"/>
    </row>
    <row r="293" ht="12.75" hidden="1" customHeight="1">
      <c r="A293" s="58" t="s">
        <v>913</v>
      </c>
      <c r="B293" s="59">
        <v>45877.0</v>
      </c>
      <c r="C293" s="58">
        <v>3.900558866E9</v>
      </c>
      <c r="D293" s="61"/>
      <c r="E293" s="58" t="s">
        <v>914</v>
      </c>
      <c r="F293" s="62">
        <v>2.27998934E8</v>
      </c>
      <c r="G293" s="62"/>
      <c r="H293" s="62">
        <v>0.0</v>
      </c>
      <c r="I293" s="62">
        <v>2.27998934E8</v>
      </c>
      <c r="J293" s="58" t="e">
        <v>#N/A</v>
      </c>
      <c r="K293" s="56"/>
    </row>
    <row r="294" ht="12.75" hidden="1" customHeight="1">
      <c r="A294" s="58" t="s">
        <v>915</v>
      </c>
      <c r="B294" s="59">
        <v>45877.0</v>
      </c>
      <c r="C294" s="58">
        <v>3.900558866E9</v>
      </c>
      <c r="D294" s="61"/>
      <c r="E294" s="58" t="s">
        <v>916</v>
      </c>
      <c r="F294" s="62">
        <v>6.2360046E7</v>
      </c>
      <c r="G294" s="62">
        <v>3305082.438</v>
      </c>
      <c r="H294" s="62">
        <v>0.0</v>
      </c>
      <c r="I294" s="62">
        <v>6.5665128438E7</v>
      </c>
      <c r="J294" s="58" t="e">
        <v>#N/A</v>
      </c>
      <c r="K294" s="56"/>
    </row>
    <row r="295" ht="12.75" hidden="1" customHeight="1">
      <c r="A295" s="58" t="s">
        <v>917</v>
      </c>
      <c r="B295" s="59">
        <v>45877.0</v>
      </c>
      <c r="C295" s="58">
        <v>3.900558866E9</v>
      </c>
      <c r="D295" s="61"/>
      <c r="E295" s="58" t="s">
        <v>918</v>
      </c>
      <c r="F295" s="62">
        <v>4.6481711E7</v>
      </c>
      <c r="G295" s="62"/>
      <c r="H295" s="62">
        <v>0.0</v>
      </c>
      <c r="I295" s="62">
        <v>4.6481711E7</v>
      </c>
      <c r="J295" s="58" t="e">
        <v>#N/A</v>
      </c>
      <c r="K295" s="56"/>
    </row>
    <row r="296" ht="12.75" hidden="1" customHeight="1">
      <c r="A296" s="58" t="s">
        <v>919</v>
      </c>
      <c r="B296" s="59">
        <v>45877.0</v>
      </c>
      <c r="C296" s="58">
        <v>3.900558866E9</v>
      </c>
      <c r="D296" s="61"/>
      <c r="E296" s="58" t="s">
        <v>920</v>
      </c>
      <c r="F296" s="62">
        <v>1.147573E7</v>
      </c>
      <c r="G296" s="62"/>
      <c r="H296" s="62">
        <v>1262330.3</v>
      </c>
      <c r="I296" s="62">
        <v>1.27380603E7</v>
      </c>
      <c r="J296" s="58" t="e">
        <v>#N/A</v>
      </c>
      <c r="K296" s="56"/>
    </row>
    <row r="297" ht="12.75" hidden="1" customHeight="1">
      <c r="A297" s="58" t="s">
        <v>921</v>
      </c>
      <c r="B297" s="59">
        <v>45877.0</v>
      </c>
      <c r="C297" s="58">
        <v>3.900558866E9</v>
      </c>
      <c r="D297" s="61"/>
      <c r="E297" s="58" t="s">
        <v>922</v>
      </c>
      <c r="F297" s="62">
        <v>3305082.0</v>
      </c>
      <c r="G297" s="62"/>
      <c r="H297" s="62"/>
      <c r="I297" s="62">
        <v>3305082.0</v>
      </c>
      <c r="J297" s="58" t="e">
        <v>#N/A</v>
      </c>
      <c r="K297" s="56"/>
    </row>
    <row r="298" ht="12.75" hidden="1" customHeight="1">
      <c r="A298" s="58" t="s">
        <v>923</v>
      </c>
      <c r="B298" s="59">
        <v>45877.0</v>
      </c>
      <c r="C298" s="58">
        <v>3.900558866E9</v>
      </c>
      <c r="D298" s="61"/>
      <c r="E298" s="58" t="s">
        <v>924</v>
      </c>
      <c r="F298" s="62">
        <v>2463531.0</v>
      </c>
      <c r="G298" s="62"/>
      <c r="H298" s="62">
        <v>270988.41</v>
      </c>
      <c r="I298" s="62">
        <v>2734519.41</v>
      </c>
      <c r="J298" s="58" t="e">
        <v>#N/A</v>
      </c>
      <c r="K298" s="56"/>
    </row>
    <row r="299" ht="12.75" customHeight="1">
      <c r="A299" s="49" t="s">
        <v>925</v>
      </c>
      <c r="B299" s="50">
        <v>45764.0</v>
      </c>
      <c r="C299" s="63"/>
      <c r="D299" s="64"/>
      <c r="E299" s="53" t="s">
        <v>926</v>
      </c>
      <c r="F299" s="54" t="s">
        <v>851</v>
      </c>
      <c r="G299" s="54">
        <v>612.488</v>
      </c>
      <c r="H299" s="54">
        <v>965.689</v>
      </c>
      <c r="I299" s="54" t="s">
        <v>852</v>
      </c>
      <c r="J299" s="55" t="s">
        <v>113</v>
      </c>
      <c r="K299" s="56"/>
    </row>
    <row r="300" ht="12.75" customHeight="1">
      <c r="A300" s="49" t="s">
        <v>434</v>
      </c>
      <c r="B300" s="50">
        <v>45764.0</v>
      </c>
      <c r="C300" s="63"/>
      <c r="D300" s="64"/>
      <c r="E300" s="53" t="s">
        <v>435</v>
      </c>
      <c r="F300" s="54" t="s">
        <v>927</v>
      </c>
      <c r="G300" s="54" t="s">
        <v>928</v>
      </c>
      <c r="H300" s="54">
        <v>423.918</v>
      </c>
      <c r="I300" s="54" t="s">
        <v>929</v>
      </c>
      <c r="J300" s="55" t="s">
        <v>113</v>
      </c>
      <c r="K300" s="56"/>
    </row>
    <row r="301" ht="12.75" hidden="1" customHeight="1">
      <c r="A301" s="58" t="s">
        <v>930</v>
      </c>
      <c r="B301" s="59">
        <v>45870.0</v>
      </c>
      <c r="C301" s="60" t="s">
        <v>247</v>
      </c>
      <c r="D301" s="61"/>
      <c r="E301" s="58" t="s">
        <v>931</v>
      </c>
      <c r="F301" s="62">
        <v>4917000.0</v>
      </c>
      <c r="G301" s="62">
        <v>260601.0</v>
      </c>
      <c r="H301" s="62">
        <v>569536.11</v>
      </c>
      <c r="I301" s="62">
        <v>5747137.11</v>
      </c>
      <c r="J301" s="58" t="s">
        <v>113</v>
      </c>
      <c r="K301" s="56"/>
    </row>
    <row r="302" ht="12.75" hidden="1" customHeight="1">
      <c r="A302" s="58" t="s">
        <v>932</v>
      </c>
      <c r="B302" s="59">
        <v>45882.0</v>
      </c>
      <c r="C302" s="58">
        <v>3.900558866E9</v>
      </c>
      <c r="D302" s="61"/>
      <c r="E302" s="58" t="s">
        <v>933</v>
      </c>
      <c r="F302" s="62">
        <v>3318666.0</v>
      </c>
      <c r="G302" s="62">
        <v>175889.29799999998</v>
      </c>
      <c r="H302" s="62">
        <v>384401.08278</v>
      </c>
      <c r="I302" s="62">
        <v>3878956.38078</v>
      </c>
      <c r="J302" s="58" t="s">
        <v>113</v>
      </c>
      <c r="K302" s="56"/>
    </row>
    <row r="303" ht="12.75" customHeight="1">
      <c r="A303" s="49" t="s">
        <v>436</v>
      </c>
      <c r="B303" s="50">
        <v>45764.0</v>
      </c>
      <c r="C303" s="63"/>
      <c r="D303" s="64"/>
      <c r="E303" s="53" t="s">
        <v>437</v>
      </c>
      <c r="F303" s="54" t="s">
        <v>934</v>
      </c>
      <c r="G303" s="54" t="s">
        <v>935</v>
      </c>
      <c r="H303" s="54">
        <v>254.067</v>
      </c>
      <c r="I303" s="54" t="s">
        <v>936</v>
      </c>
      <c r="J303" s="55" t="s">
        <v>113</v>
      </c>
      <c r="K303" s="56"/>
    </row>
    <row r="304" ht="12.75" customHeight="1">
      <c r="A304" s="49" t="s">
        <v>438</v>
      </c>
      <c r="B304" s="50">
        <v>45764.0</v>
      </c>
      <c r="C304" s="63"/>
      <c r="D304" s="64"/>
      <c r="E304" s="53" t="s">
        <v>439</v>
      </c>
      <c r="F304" s="54" t="s">
        <v>937</v>
      </c>
      <c r="G304" s="54" t="s">
        <v>938</v>
      </c>
      <c r="H304" s="54" t="s">
        <v>939</v>
      </c>
      <c r="I304" s="54" t="s">
        <v>940</v>
      </c>
      <c r="J304" s="55" t="s">
        <v>113</v>
      </c>
      <c r="K304" s="56"/>
    </row>
    <row r="305" ht="12.75" hidden="1" customHeight="1">
      <c r="A305" s="58" t="s">
        <v>941</v>
      </c>
      <c r="B305" s="59">
        <v>45884.0</v>
      </c>
      <c r="C305" s="58" t="s">
        <v>80</v>
      </c>
      <c r="D305" s="61"/>
      <c r="E305" s="58" t="s">
        <v>942</v>
      </c>
      <c r="F305" s="62">
        <v>2.0E8</v>
      </c>
      <c r="G305" s="62">
        <v>2.4E7</v>
      </c>
      <c r="H305" s="62">
        <v>2.464E7</v>
      </c>
      <c r="I305" s="62">
        <v>2.4864E8</v>
      </c>
      <c r="J305" s="58" t="e">
        <v>#N/A</v>
      </c>
      <c r="K305" s="56"/>
    </row>
    <row r="306" ht="12.75" hidden="1" customHeight="1">
      <c r="A306" s="58" t="s">
        <v>943</v>
      </c>
      <c r="B306" s="59">
        <v>45891.0</v>
      </c>
      <c r="C306" s="58">
        <v>4.600004404E9</v>
      </c>
      <c r="D306" s="61"/>
      <c r="E306" s="58" t="s">
        <v>944</v>
      </c>
      <c r="F306" s="62">
        <v>3.465998E7</v>
      </c>
      <c r="G306" s="62">
        <v>1836978.94</v>
      </c>
      <c r="H306" s="62">
        <v>4014665.4834</v>
      </c>
      <c r="I306" s="62">
        <v>4.05116244234E7</v>
      </c>
      <c r="J306" s="58" t="s">
        <v>113</v>
      </c>
      <c r="K306" s="56"/>
    </row>
    <row r="307" ht="12.75" hidden="1" customHeight="1">
      <c r="A307" s="58" t="s">
        <v>945</v>
      </c>
      <c r="B307" s="59">
        <v>45891.0</v>
      </c>
      <c r="C307" s="58">
        <v>4.600004404E9</v>
      </c>
      <c r="D307" s="61"/>
      <c r="E307" s="58" t="s">
        <v>946</v>
      </c>
      <c r="F307" s="62">
        <v>1.28399484E8</v>
      </c>
      <c r="G307" s="62">
        <v>6805172.652</v>
      </c>
      <c r="H307" s="62">
        <v>1.487251223172E7</v>
      </c>
      <c r="I307" s="62">
        <v>1.5007716888372E8</v>
      </c>
      <c r="J307" s="58" t="s">
        <v>113</v>
      </c>
      <c r="K307" s="56"/>
    </row>
    <row r="308" ht="12.75" hidden="1" customHeight="1">
      <c r="A308" s="58" t="s">
        <v>947</v>
      </c>
      <c r="B308" s="59">
        <v>45894.0</v>
      </c>
      <c r="C308" s="58">
        <v>4.600004404E9</v>
      </c>
      <c r="D308" s="61"/>
      <c r="E308" s="58" t="s">
        <v>948</v>
      </c>
      <c r="F308" s="62">
        <v>3.49144848E8</v>
      </c>
      <c r="G308" s="62">
        <v>1.8504676944E7</v>
      </c>
      <c r="H308" s="62">
        <v>4.044144774384E7</v>
      </c>
      <c r="I308" s="62">
        <v>4.0809097268784E8</v>
      </c>
      <c r="J308" s="58" t="s">
        <v>113</v>
      </c>
      <c r="K308" s="56"/>
    </row>
    <row r="309" ht="12.75" hidden="1" customHeight="1">
      <c r="A309" s="58" t="s">
        <v>949</v>
      </c>
      <c r="B309" s="59">
        <v>45894.0</v>
      </c>
      <c r="C309" s="58">
        <v>4.650017194E9</v>
      </c>
      <c r="D309" s="61"/>
      <c r="E309" s="58" t="s">
        <v>950</v>
      </c>
      <c r="F309" s="62">
        <v>3.14022863E8</v>
      </c>
      <c r="G309" s="62">
        <v>1.6957234602E7</v>
      </c>
      <c r="H309" s="62">
        <v>3.640781073622E7</v>
      </c>
      <c r="I309" s="62">
        <v>3.6738790833822E8</v>
      </c>
      <c r="J309" s="58" t="s">
        <v>113</v>
      </c>
      <c r="K309" s="56"/>
    </row>
    <row r="310" ht="12.75" hidden="1" customHeight="1">
      <c r="A310" s="58" t="s">
        <v>951</v>
      </c>
      <c r="B310" s="59">
        <v>45895.0</v>
      </c>
      <c r="C310" s="58" t="s">
        <v>67</v>
      </c>
      <c r="D310" s="61"/>
      <c r="E310" s="58" t="s">
        <v>952</v>
      </c>
      <c r="F310" s="62">
        <v>6.2687904E8</v>
      </c>
      <c r="G310" s="62">
        <v>5.3284718400000006E7</v>
      </c>
      <c r="H310" s="62">
        <v>7.4818013424E7</v>
      </c>
      <c r="I310" s="62">
        <v>7.54981771824E8</v>
      </c>
      <c r="J310" s="58" t="s">
        <v>113</v>
      </c>
      <c r="K310" s="56"/>
    </row>
    <row r="311" ht="12.75" customHeight="1">
      <c r="A311" s="49" t="s">
        <v>440</v>
      </c>
      <c r="B311" s="50">
        <v>45768.0</v>
      </c>
      <c r="C311" s="51" t="s">
        <v>24</v>
      </c>
      <c r="D311" s="64"/>
      <c r="E311" s="53" t="s">
        <v>441</v>
      </c>
      <c r="F311" s="54" t="s">
        <v>953</v>
      </c>
      <c r="G311" s="54" t="s">
        <v>954</v>
      </c>
      <c r="H311" s="54" t="s">
        <v>955</v>
      </c>
      <c r="I311" s="54" t="s">
        <v>956</v>
      </c>
      <c r="J311" s="55" t="s">
        <v>113</v>
      </c>
      <c r="K311" s="56"/>
    </row>
    <row r="312" ht="12.75" customHeight="1">
      <c r="A312" s="49" t="s">
        <v>442</v>
      </c>
      <c r="B312" s="50">
        <v>45771.0</v>
      </c>
      <c r="C312" s="63"/>
      <c r="D312" s="64"/>
      <c r="E312" s="53" t="s">
        <v>443</v>
      </c>
      <c r="F312" s="54" t="s">
        <v>957</v>
      </c>
      <c r="G312" s="54" t="s">
        <v>958</v>
      </c>
      <c r="H312" s="54" t="s">
        <v>959</v>
      </c>
      <c r="I312" s="54" t="s">
        <v>960</v>
      </c>
      <c r="J312" s="55" t="s">
        <v>113</v>
      </c>
      <c r="K312" s="56"/>
    </row>
    <row r="313" ht="12.75" customHeight="1">
      <c r="A313" s="49" t="s">
        <v>444</v>
      </c>
      <c r="B313" s="50">
        <v>45771.0</v>
      </c>
      <c r="C313" s="63"/>
      <c r="D313" s="64"/>
      <c r="E313" s="53" t="s">
        <v>445</v>
      </c>
      <c r="F313" s="54" t="s">
        <v>961</v>
      </c>
      <c r="G313" s="54" t="s">
        <v>962</v>
      </c>
      <c r="H313" s="54" t="s">
        <v>963</v>
      </c>
      <c r="I313" s="54" t="s">
        <v>964</v>
      </c>
      <c r="J313" s="55" t="s">
        <v>113</v>
      </c>
      <c r="K313" s="56"/>
    </row>
    <row r="314" ht="12.75" customHeight="1">
      <c r="A314" s="49" t="s">
        <v>446</v>
      </c>
      <c r="B314" s="50">
        <v>45771.0</v>
      </c>
      <c r="C314" s="63"/>
      <c r="D314" s="64"/>
      <c r="E314" s="53" t="s">
        <v>447</v>
      </c>
      <c r="F314" s="54" t="s">
        <v>965</v>
      </c>
      <c r="G314" s="54" t="s">
        <v>966</v>
      </c>
      <c r="H314" s="54" t="s">
        <v>967</v>
      </c>
      <c r="I314" s="54" t="s">
        <v>968</v>
      </c>
      <c r="J314" s="55" t="s">
        <v>113</v>
      </c>
      <c r="K314" s="56"/>
    </row>
    <row r="315" ht="12.75" hidden="1" customHeight="1">
      <c r="A315" s="58" t="s">
        <v>969</v>
      </c>
      <c r="B315" s="59">
        <v>45898.0</v>
      </c>
      <c r="C315" s="60" t="s">
        <v>110</v>
      </c>
      <c r="D315" s="61"/>
      <c r="E315" s="58" t="s">
        <v>970</v>
      </c>
      <c r="F315" s="62">
        <v>8.10444741E8</v>
      </c>
      <c r="G315" s="62">
        <v>4.4574460755E7</v>
      </c>
      <c r="H315" s="62">
        <v>9.405211219305E7</v>
      </c>
      <c r="I315" s="62">
        <v>9.4907131394805E8</v>
      </c>
      <c r="J315" s="58" t="s">
        <v>113</v>
      </c>
      <c r="K315" s="56"/>
    </row>
    <row r="316" ht="12.75" hidden="1" customHeight="1">
      <c r="A316" s="58" t="s">
        <v>971</v>
      </c>
      <c r="B316" s="59">
        <v>45898.0</v>
      </c>
      <c r="C316" s="58" t="s">
        <v>238</v>
      </c>
      <c r="D316" s="61"/>
      <c r="E316" s="58" t="s">
        <v>972</v>
      </c>
      <c r="F316" s="62">
        <v>9.5928829E7</v>
      </c>
      <c r="G316" s="62">
        <v>9592882.9</v>
      </c>
      <c r="H316" s="62">
        <v>1055217.0</v>
      </c>
      <c r="I316" s="62">
        <v>1.065769289E8</v>
      </c>
      <c r="J316" s="58" t="e">
        <v>#N/A</v>
      </c>
      <c r="K316" s="56"/>
    </row>
    <row r="317" ht="12.75" hidden="1" customHeight="1">
      <c r="A317" s="58" t="s">
        <v>973</v>
      </c>
      <c r="B317" s="59">
        <v>45901.0</v>
      </c>
      <c r="C317" s="60" t="s">
        <v>110</v>
      </c>
      <c r="D317" s="61"/>
      <c r="E317" s="58" t="s">
        <v>974</v>
      </c>
      <c r="F317" s="62">
        <v>7.2687915E7</v>
      </c>
      <c r="G317" s="62">
        <v>4361274.899999999</v>
      </c>
      <c r="H317" s="62">
        <v>8475410.889</v>
      </c>
      <c r="I317" s="62">
        <v>8.5524600789E7</v>
      </c>
      <c r="J317" s="58" t="s">
        <v>113</v>
      </c>
      <c r="K317" s="56"/>
    </row>
    <row r="318" ht="12.75" hidden="1" customHeight="1">
      <c r="A318" s="58" t="s">
        <v>975</v>
      </c>
      <c r="B318" s="59">
        <v>45901.0</v>
      </c>
      <c r="C318" s="60" t="s">
        <v>110</v>
      </c>
      <c r="D318" s="61"/>
      <c r="E318" s="58" t="s">
        <v>976</v>
      </c>
      <c r="F318" s="62">
        <v>5.9182907E7</v>
      </c>
      <c r="G318" s="62">
        <v>3550974.42</v>
      </c>
      <c r="H318" s="62">
        <v>6900726.9562</v>
      </c>
      <c r="I318" s="62">
        <v>6.96346083762E7</v>
      </c>
      <c r="J318" s="58" t="s">
        <v>113</v>
      </c>
      <c r="K318" s="56"/>
    </row>
    <row r="319" ht="12.75" hidden="1" customHeight="1">
      <c r="A319" s="58" t="s">
        <v>977</v>
      </c>
      <c r="B319" s="59">
        <v>45901.0</v>
      </c>
      <c r="C319" s="60" t="s">
        <v>110</v>
      </c>
      <c r="D319" s="61"/>
      <c r="E319" s="58" t="s">
        <v>978</v>
      </c>
      <c r="F319" s="62">
        <v>4.13781024E8</v>
      </c>
      <c r="G319" s="62">
        <v>2.4826861439999998E7</v>
      </c>
      <c r="H319" s="62">
        <v>4.82468673984E7</v>
      </c>
      <c r="I319" s="62">
        <v>4.868547528384E8</v>
      </c>
      <c r="J319" s="58" t="s">
        <v>113</v>
      </c>
      <c r="K319" s="56"/>
    </row>
    <row r="320" ht="12.75" customHeight="1">
      <c r="A320" s="49" t="s">
        <v>448</v>
      </c>
      <c r="B320" s="50">
        <v>45771.0</v>
      </c>
      <c r="C320" s="63"/>
      <c r="D320" s="64"/>
      <c r="E320" s="53" t="s">
        <v>449</v>
      </c>
      <c r="F320" s="54" t="s">
        <v>979</v>
      </c>
      <c r="G320" s="54" t="s">
        <v>980</v>
      </c>
      <c r="H320" s="54" t="s">
        <v>981</v>
      </c>
      <c r="I320" s="54" t="s">
        <v>982</v>
      </c>
      <c r="J320" s="55" t="s">
        <v>113</v>
      </c>
      <c r="K320" s="56"/>
    </row>
    <row r="321" ht="12.75" customHeight="1">
      <c r="A321" s="49" t="s">
        <v>450</v>
      </c>
      <c r="B321" s="50">
        <v>45771.0</v>
      </c>
      <c r="C321" s="63"/>
      <c r="D321" s="64"/>
      <c r="E321" s="53" t="s">
        <v>451</v>
      </c>
      <c r="F321" s="54" t="s">
        <v>399</v>
      </c>
      <c r="G321" s="54" t="s">
        <v>400</v>
      </c>
      <c r="H321" s="54" t="s">
        <v>401</v>
      </c>
      <c r="I321" s="54" t="s">
        <v>402</v>
      </c>
      <c r="J321" s="55" t="s">
        <v>113</v>
      </c>
      <c r="K321" s="56"/>
    </row>
    <row r="322" ht="12.75" customHeight="1">
      <c r="A322" s="49" t="s">
        <v>983</v>
      </c>
      <c r="B322" s="50">
        <v>45775.0</v>
      </c>
      <c r="C322" s="63"/>
      <c r="D322" s="64"/>
      <c r="E322" s="53" t="s">
        <v>984</v>
      </c>
      <c r="F322" s="54" t="s">
        <v>985</v>
      </c>
      <c r="G322" s="54" t="s">
        <v>986</v>
      </c>
      <c r="H322" s="54" t="s">
        <v>987</v>
      </c>
      <c r="I322" s="54" t="s">
        <v>988</v>
      </c>
      <c r="J322" s="55" t="s">
        <v>113</v>
      </c>
      <c r="K322" s="56"/>
    </row>
    <row r="323" ht="12.75" hidden="1" customHeight="1">
      <c r="A323" s="58" t="s">
        <v>989</v>
      </c>
      <c r="B323" s="59">
        <v>45903.0</v>
      </c>
      <c r="C323" s="60" t="s">
        <v>110</v>
      </c>
      <c r="D323" s="61"/>
      <c r="E323" s="58" t="s">
        <v>990</v>
      </c>
      <c r="F323" s="62">
        <v>3.1469281E7</v>
      </c>
      <c r="G323" s="62">
        <v>1888156.8599999999</v>
      </c>
      <c r="H323" s="62">
        <v>3669318.1646</v>
      </c>
      <c r="I323" s="62">
        <v>3.70267560246E7</v>
      </c>
      <c r="J323" s="58" t="s">
        <v>113</v>
      </c>
      <c r="K323" s="56"/>
    </row>
    <row r="324" ht="12.75" hidden="1" customHeight="1">
      <c r="A324" s="58" t="s">
        <v>991</v>
      </c>
      <c r="B324" s="59">
        <v>45903.0</v>
      </c>
      <c r="C324" s="60" t="s">
        <v>110</v>
      </c>
      <c r="D324" s="61"/>
      <c r="E324" s="58" t="s">
        <v>992</v>
      </c>
      <c r="F324" s="62">
        <v>5.6703267E7</v>
      </c>
      <c r="G324" s="62">
        <v>3402196.02</v>
      </c>
      <c r="H324" s="62">
        <v>6611600.932200001</v>
      </c>
      <c r="I324" s="62">
        <v>6.67170639522E7</v>
      </c>
      <c r="J324" s="58" t="s">
        <v>113</v>
      </c>
      <c r="K324" s="56"/>
    </row>
    <row r="325" ht="12.75" hidden="1" customHeight="1">
      <c r="A325" s="58" t="s">
        <v>993</v>
      </c>
      <c r="B325" s="59">
        <v>45903.0</v>
      </c>
      <c r="C325" s="60" t="s">
        <v>110</v>
      </c>
      <c r="D325" s="61"/>
      <c r="E325" s="58" t="s">
        <v>994</v>
      </c>
      <c r="F325" s="62">
        <v>7.7659129E7</v>
      </c>
      <c r="G325" s="62">
        <v>4659547.74</v>
      </c>
      <c r="H325" s="62">
        <v>9055054.441399999</v>
      </c>
      <c r="I325" s="62">
        <v>9.13737311814E7</v>
      </c>
      <c r="J325" s="58" t="s">
        <v>113</v>
      </c>
      <c r="K325" s="56"/>
    </row>
    <row r="326" ht="12.75" hidden="1" customHeight="1">
      <c r="A326" s="58" t="s">
        <v>995</v>
      </c>
      <c r="B326" s="59">
        <v>45904.0</v>
      </c>
      <c r="C326" s="58">
        <v>4.65001716E9</v>
      </c>
      <c r="D326" s="61"/>
      <c r="E326" s="58" t="s">
        <v>996</v>
      </c>
      <c r="F326" s="62">
        <v>2.3277675E7</v>
      </c>
      <c r="G326" s="62">
        <v>1280272.125</v>
      </c>
      <c r="H326" s="62">
        <v>2701374.18375</v>
      </c>
      <c r="I326" s="62">
        <v>2.725932130875E7</v>
      </c>
      <c r="J326" s="58" t="e">
        <v>#N/A</v>
      </c>
      <c r="K326" s="56"/>
    </row>
    <row r="327" ht="12.75" hidden="1" customHeight="1">
      <c r="A327" s="58" t="s">
        <v>997</v>
      </c>
      <c r="B327" s="59">
        <v>45904.0</v>
      </c>
      <c r="C327" s="58">
        <v>3.900558866E9</v>
      </c>
      <c r="D327" s="61"/>
      <c r="E327" s="58" t="s">
        <v>998</v>
      </c>
      <c r="F327" s="62">
        <v>1.62913493E8</v>
      </c>
      <c r="G327" s="62">
        <v>8634415.129</v>
      </c>
      <c r="H327" s="62">
        <v>1.8870269894190002E7</v>
      </c>
      <c r="I327" s="62">
        <v>1.9041817802319002E8</v>
      </c>
      <c r="J327" s="58" t="s">
        <v>113</v>
      </c>
      <c r="K327" s="56"/>
    </row>
    <row r="328" ht="12.75" hidden="1" customHeight="1">
      <c r="A328" s="58" t="s">
        <v>999</v>
      </c>
      <c r="B328" s="59">
        <v>45904.0</v>
      </c>
      <c r="C328" s="58">
        <v>3.900558866E9</v>
      </c>
      <c r="D328" s="61"/>
      <c r="E328" s="58" t="s">
        <v>1000</v>
      </c>
      <c r="F328" s="62">
        <v>4.8368243E7</v>
      </c>
      <c r="G328" s="62">
        <v>2563516.8789999997</v>
      </c>
      <c r="H328" s="62">
        <v>5602493.58669</v>
      </c>
      <c r="I328" s="62">
        <v>5.653425346569E7</v>
      </c>
      <c r="J328" s="58" t="s">
        <v>113</v>
      </c>
      <c r="K328" s="56"/>
    </row>
    <row r="329" ht="12.75" hidden="1" customHeight="1">
      <c r="A329" s="58" t="s">
        <v>1001</v>
      </c>
      <c r="B329" s="59">
        <v>45904.0</v>
      </c>
      <c r="C329" s="58">
        <v>3.900558866E9</v>
      </c>
      <c r="D329" s="61"/>
      <c r="E329" s="58" t="s">
        <v>1002</v>
      </c>
      <c r="F329" s="62">
        <v>3.5404832E7</v>
      </c>
      <c r="G329" s="62">
        <v>1876456.096</v>
      </c>
      <c r="H329" s="62">
        <v>4100941.69056</v>
      </c>
      <c r="I329" s="62">
        <v>4.138222978656E7</v>
      </c>
      <c r="J329" s="58" t="s">
        <v>113</v>
      </c>
      <c r="K329" s="56"/>
    </row>
    <row r="330" ht="12.75" hidden="1" customHeight="1">
      <c r="A330" s="58" t="s">
        <v>1003</v>
      </c>
      <c r="B330" s="59">
        <v>45904.0</v>
      </c>
      <c r="C330" s="58">
        <v>3.900540206E9</v>
      </c>
      <c r="D330" s="61"/>
      <c r="E330" s="58" t="s">
        <v>1004</v>
      </c>
      <c r="F330" s="62">
        <v>2.48770328E8</v>
      </c>
      <c r="G330" s="62">
        <v>1.5672530664E7</v>
      </c>
      <c r="H330" s="62">
        <v>2.908871445304E7</v>
      </c>
      <c r="I330" s="62">
        <v>2.9353157311704E8</v>
      </c>
      <c r="J330" s="58" t="s">
        <v>113</v>
      </c>
      <c r="K330" s="56"/>
    </row>
    <row r="331" ht="12.75" hidden="1" customHeight="1">
      <c r="A331" s="58" t="s">
        <v>1005</v>
      </c>
      <c r="B331" s="59">
        <v>45904.0</v>
      </c>
      <c r="C331" s="58" t="s">
        <v>48</v>
      </c>
      <c r="D331" s="61"/>
      <c r="E331" s="58" t="s">
        <v>1006</v>
      </c>
      <c r="F331" s="62">
        <v>1.0E9</v>
      </c>
      <c r="G331" s="62">
        <v>6.0E7</v>
      </c>
      <c r="H331" s="62">
        <v>1.166E8</v>
      </c>
      <c r="I331" s="62">
        <v>1.1766E9</v>
      </c>
      <c r="J331" s="58" t="e">
        <v>#N/A</v>
      </c>
      <c r="K331" s="56"/>
    </row>
    <row r="332" ht="12.75" hidden="1" customHeight="1">
      <c r="A332" s="58" t="s">
        <v>1007</v>
      </c>
      <c r="B332" s="59">
        <v>45910.0</v>
      </c>
      <c r="C332" s="58">
        <v>3.900556018E9</v>
      </c>
      <c r="D332" s="61"/>
      <c r="E332" s="58" t="s">
        <v>1008</v>
      </c>
      <c r="F332" s="62">
        <v>1.7061768E7</v>
      </c>
      <c r="G332" s="62">
        <v>1706176.8</v>
      </c>
      <c r="H332" s="62">
        <v>2064473.928</v>
      </c>
      <c r="I332" s="62">
        <v>2.0832418728E7</v>
      </c>
      <c r="J332" s="58" t="s">
        <v>113</v>
      </c>
      <c r="K332" s="56"/>
    </row>
    <row r="333" ht="12.75" customHeight="1">
      <c r="A333" s="49" t="s">
        <v>1009</v>
      </c>
      <c r="B333" s="50">
        <v>45775.0</v>
      </c>
      <c r="C333" s="63"/>
      <c r="D333" s="64"/>
      <c r="E333" s="53" t="s">
        <v>1010</v>
      </c>
      <c r="F333" s="54" t="s">
        <v>1011</v>
      </c>
      <c r="G333" s="54">
        <v>987.153</v>
      </c>
      <c r="H333" s="54" t="s">
        <v>1012</v>
      </c>
      <c r="I333" s="54" t="s">
        <v>1013</v>
      </c>
      <c r="J333" s="55" t="s">
        <v>113</v>
      </c>
      <c r="K333" s="56"/>
    </row>
    <row r="334" ht="12.75" customHeight="1">
      <c r="A334" s="49" t="s">
        <v>1014</v>
      </c>
      <c r="B334" s="50">
        <v>45775.0</v>
      </c>
      <c r="C334" s="63"/>
      <c r="D334" s="64"/>
      <c r="E334" s="53" t="s">
        <v>1015</v>
      </c>
      <c r="F334" s="54" t="s">
        <v>1016</v>
      </c>
      <c r="G334" s="54" t="s">
        <v>1017</v>
      </c>
      <c r="H334" s="54" t="s">
        <v>298</v>
      </c>
      <c r="I334" s="54" t="s">
        <v>299</v>
      </c>
      <c r="J334" s="55" t="s">
        <v>113</v>
      </c>
      <c r="K334" s="56"/>
    </row>
    <row r="335" ht="12.75" customHeight="1">
      <c r="A335" s="49" t="s">
        <v>1018</v>
      </c>
      <c r="B335" s="50">
        <v>45775.0</v>
      </c>
      <c r="C335" s="63"/>
      <c r="D335" s="64"/>
      <c r="E335" s="53" t="s">
        <v>1019</v>
      </c>
      <c r="F335" s="54" t="s">
        <v>1020</v>
      </c>
      <c r="G335" s="54" t="s">
        <v>1021</v>
      </c>
      <c r="H335" s="54" t="s">
        <v>1022</v>
      </c>
      <c r="I335" s="54" t="s">
        <v>1023</v>
      </c>
      <c r="J335" s="55" t="s">
        <v>113</v>
      </c>
      <c r="K335" s="56"/>
    </row>
    <row r="336" ht="12.75" customHeight="1">
      <c r="A336" s="49" t="s">
        <v>1024</v>
      </c>
      <c r="B336" s="50">
        <v>45775.0</v>
      </c>
      <c r="C336" s="63"/>
      <c r="D336" s="64"/>
      <c r="E336" s="53" t="s">
        <v>1025</v>
      </c>
      <c r="F336" s="54" t="s">
        <v>380</v>
      </c>
      <c r="G336" s="54">
        <v>410.472</v>
      </c>
      <c r="H336" s="54">
        <v>823.634</v>
      </c>
      <c r="I336" s="54" t="s">
        <v>381</v>
      </c>
      <c r="J336" s="55" t="s">
        <v>113</v>
      </c>
      <c r="K336" s="56"/>
    </row>
    <row r="337" ht="12.75" customHeight="1">
      <c r="A337" s="49" t="s">
        <v>1026</v>
      </c>
      <c r="B337" s="50">
        <v>45775.0</v>
      </c>
      <c r="C337" s="63"/>
      <c r="D337" s="64"/>
      <c r="E337" s="53" t="s">
        <v>1027</v>
      </c>
      <c r="F337" s="54" t="s">
        <v>1028</v>
      </c>
      <c r="G337" s="54" t="s">
        <v>1029</v>
      </c>
      <c r="H337" s="54" t="s">
        <v>1030</v>
      </c>
      <c r="I337" s="54" t="s">
        <v>1031</v>
      </c>
      <c r="J337" s="55" t="s">
        <v>113</v>
      </c>
      <c r="K337" s="56"/>
    </row>
    <row r="338" ht="12.75" customHeight="1">
      <c r="A338" s="49" t="s">
        <v>1032</v>
      </c>
      <c r="B338" s="50">
        <v>45775.0</v>
      </c>
      <c r="C338" s="63"/>
      <c r="D338" s="64"/>
      <c r="E338" s="53" t="s">
        <v>1033</v>
      </c>
      <c r="F338" s="54" t="s">
        <v>1034</v>
      </c>
      <c r="G338" s="54" t="s">
        <v>1035</v>
      </c>
      <c r="H338" s="54" t="s">
        <v>1036</v>
      </c>
      <c r="I338" s="54" t="s">
        <v>1037</v>
      </c>
      <c r="J338" s="55" t="s">
        <v>113</v>
      </c>
      <c r="K338" s="56"/>
    </row>
    <row r="339" ht="12.75" hidden="1" customHeight="1">
      <c r="A339" s="58" t="s">
        <v>1038</v>
      </c>
      <c r="B339" s="59">
        <v>45911.0</v>
      </c>
      <c r="C339" s="58">
        <v>3.900558866E9</v>
      </c>
      <c r="D339" s="61"/>
      <c r="E339" s="58" t="s">
        <v>1039</v>
      </c>
      <c r="F339" s="62">
        <v>1.2343965E7</v>
      </c>
      <c r="G339" s="62">
        <v>654230.145</v>
      </c>
      <c r="H339" s="62">
        <v>1429801.4659499999</v>
      </c>
      <c r="I339" s="62">
        <v>1.4427996610949999E7</v>
      </c>
      <c r="J339" s="58" t="s">
        <v>113</v>
      </c>
      <c r="K339" s="56"/>
    </row>
    <row r="340" ht="12.75" hidden="1" customHeight="1">
      <c r="A340" s="58" t="s">
        <v>1040</v>
      </c>
      <c r="B340" s="59">
        <v>45911.0</v>
      </c>
      <c r="C340" s="58">
        <v>3.900558866E9</v>
      </c>
      <c r="D340" s="61"/>
      <c r="E340" s="58" t="s">
        <v>1041</v>
      </c>
      <c r="F340" s="62">
        <v>1.1815108E7</v>
      </c>
      <c r="G340" s="62">
        <v>626200.7239999999</v>
      </c>
      <c r="H340" s="62">
        <v>1368543.95964</v>
      </c>
      <c r="I340" s="62">
        <v>1.380985268364E7</v>
      </c>
      <c r="J340" s="58" t="s">
        <v>113</v>
      </c>
      <c r="K340" s="56"/>
    </row>
    <row r="341" ht="12.75" hidden="1" customHeight="1">
      <c r="A341" s="58" t="s">
        <v>1042</v>
      </c>
      <c r="B341" s="59">
        <v>45911.0</v>
      </c>
      <c r="C341" s="58">
        <v>3.900558866E9</v>
      </c>
      <c r="D341" s="61"/>
      <c r="E341" s="58" t="s">
        <v>1043</v>
      </c>
      <c r="F341" s="62">
        <v>3.83915E7</v>
      </c>
      <c r="G341" s="62">
        <v>2034749.5</v>
      </c>
      <c r="H341" s="62">
        <v>4446887.445</v>
      </c>
      <c r="I341" s="62">
        <v>4.4873136945E7</v>
      </c>
      <c r="J341" s="58" t="e">
        <v>#N/A</v>
      </c>
      <c r="K341" s="56"/>
    </row>
    <row r="342" ht="12.75" hidden="1" customHeight="1">
      <c r="A342" s="58" t="s">
        <v>1044</v>
      </c>
      <c r="B342" s="59">
        <v>45911.0</v>
      </c>
      <c r="C342" s="58">
        <v>3.900558866E9</v>
      </c>
      <c r="D342" s="61"/>
      <c r="E342" s="58" t="s">
        <v>1045</v>
      </c>
      <c r="F342" s="62">
        <v>9492000.0</v>
      </c>
      <c r="G342" s="62">
        <v>503076.0</v>
      </c>
      <c r="H342" s="62">
        <v>1099458.36</v>
      </c>
      <c r="I342" s="62">
        <v>1.109453436E7</v>
      </c>
      <c r="J342" s="58" t="e">
        <v>#N/A</v>
      </c>
      <c r="K342" s="56"/>
    </row>
    <row r="343" ht="12.75" hidden="1" customHeight="1">
      <c r="A343" s="58" t="s">
        <v>1046</v>
      </c>
      <c r="B343" s="59">
        <v>45911.0</v>
      </c>
      <c r="C343" s="58">
        <v>4.600004404E9</v>
      </c>
      <c r="D343" s="61"/>
      <c r="E343" s="58" t="s">
        <v>1047</v>
      </c>
      <c r="F343" s="62">
        <v>1.59355E7</v>
      </c>
      <c r="G343" s="62">
        <v>844581.5</v>
      </c>
      <c r="H343" s="62">
        <v>1845808.965</v>
      </c>
      <c r="I343" s="62">
        <v>1.8625890465E7</v>
      </c>
      <c r="J343" s="58" t="e">
        <v>#N/A</v>
      </c>
      <c r="K343" s="56"/>
    </row>
    <row r="344" ht="12.75" customHeight="1">
      <c r="A344" s="49" t="s">
        <v>1048</v>
      </c>
      <c r="B344" s="50">
        <v>45775.0</v>
      </c>
      <c r="C344" s="63"/>
      <c r="D344" s="64"/>
      <c r="E344" s="53" t="s">
        <v>1049</v>
      </c>
      <c r="F344" s="54" t="s">
        <v>1050</v>
      </c>
      <c r="G344" s="54">
        <v>551.0</v>
      </c>
      <c r="H344" s="54" t="s">
        <v>1051</v>
      </c>
      <c r="I344" s="54" t="s">
        <v>1052</v>
      </c>
      <c r="J344" s="55" t="s">
        <v>113</v>
      </c>
      <c r="K344" s="56"/>
    </row>
    <row r="345" ht="12.75" hidden="1" customHeight="1">
      <c r="A345" s="58" t="s">
        <v>1053</v>
      </c>
      <c r="B345" s="59">
        <v>0.0</v>
      </c>
      <c r="C345" s="58">
        <v>4.600004404E9</v>
      </c>
      <c r="D345" s="61"/>
      <c r="E345" s="58" t="s">
        <v>1054</v>
      </c>
      <c r="F345" s="62">
        <v>6.3132939E7</v>
      </c>
      <c r="G345" s="62">
        <v>3346045.767</v>
      </c>
      <c r="H345" s="62">
        <v>7312688.32437</v>
      </c>
      <c r="I345" s="62">
        <v>7.379167309137E7</v>
      </c>
      <c r="J345" s="58" t="s">
        <v>113</v>
      </c>
      <c r="K345" s="56"/>
    </row>
    <row r="346" ht="12.75" hidden="1" customHeight="1">
      <c r="A346" s="58" t="s">
        <v>1055</v>
      </c>
      <c r="B346" s="59">
        <v>45915.0</v>
      </c>
      <c r="C346" s="58">
        <v>4.600003749E9</v>
      </c>
      <c r="D346" s="61"/>
      <c r="E346" s="58" t="s">
        <v>1056</v>
      </c>
      <c r="F346" s="62">
        <v>4.743239E7</v>
      </c>
      <c r="G346" s="62">
        <v>2608781.45</v>
      </c>
      <c r="H346" s="62">
        <v>5504528.8595</v>
      </c>
      <c r="I346" s="62">
        <v>5.55457003095E7</v>
      </c>
      <c r="J346" s="58" t="s">
        <v>113</v>
      </c>
      <c r="K346" s="56"/>
    </row>
    <row r="347" ht="12.75" hidden="1" customHeight="1">
      <c r="A347" s="58" t="s">
        <v>1057</v>
      </c>
      <c r="B347" s="59">
        <v>45923.0</v>
      </c>
      <c r="C347" s="58" t="s">
        <v>238</v>
      </c>
      <c r="D347" s="61"/>
      <c r="E347" s="58" t="s">
        <v>1058</v>
      </c>
      <c r="F347" s="62">
        <v>9.4953117E7</v>
      </c>
      <c r="G347" s="62">
        <v>9495311.700000001</v>
      </c>
      <c r="H347" s="62">
        <v>1044484.2870000001</v>
      </c>
      <c r="I347" s="62">
        <v>1.05492912987E8</v>
      </c>
      <c r="J347" s="58" t="e">
        <v>#N/A</v>
      </c>
      <c r="K347" s="56"/>
    </row>
    <row r="348" ht="12.75" customHeight="1">
      <c r="A348" s="49" t="s">
        <v>485</v>
      </c>
      <c r="B348" s="50">
        <v>45775.0</v>
      </c>
      <c r="C348" s="63"/>
      <c r="D348" s="64"/>
      <c r="E348" s="53" t="s">
        <v>486</v>
      </c>
      <c r="F348" s="54" t="s">
        <v>430</v>
      </c>
      <c r="G348" s="54" t="s">
        <v>431</v>
      </c>
      <c r="H348" s="54" t="s">
        <v>432</v>
      </c>
      <c r="I348" s="54" t="s">
        <v>433</v>
      </c>
      <c r="J348" s="55" t="s">
        <v>113</v>
      </c>
      <c r="K348" s="56"/>
    </row>
    <row r="349" ht="12.75" customHeight="1">
      <c r="A349" s="49" t="s">
        <v>487</v>
      </c>
      <c r="B349" s="50">
        <v>45775.0</v>
      </c>
      <c r="C349" s="63"/>
      <c r="D349" s="64"/>
      <c r="E349" s="53" t="s">
        <v>488</v>
      </c>
      <c r="F349" s="54" t="s">
        <v>1059</v>
      </c>
      <c r="G349" s="54" t="s">
        <v>1060</v>
      </c>
      <c r="H349" s="54" t="s">
        <v>1061</v>
      </c>
      <c r="I349" s="54" t="s">
        <v>1062</v>
      </c>
      <c r="J349" s="55" t="s">
        <v>113</v>
      </c>
      <c r="K349" s="56"/>
    </row>
    <row r="350" ht="12.75" customHeight="1">
      <c r="A350" s="49" t="s">
        <v>489</v>
      </c>
      <c r="B350" s="50">
        <v>45775.0</v>
      </c>
      <c r="C350" s="63"/>
      <c r="D350" s="64"/>
      <c r="E350" s="53" t="s">
        <v>490</v>
      </c>
      <c r="F350" s="54" t="s">
        <v>471</v>
      </c>
      <c r="G350" s="54" t="s">
        <v>472</v>
      </c>
      <c r="H350" s="54" t="s">
        <v>473</v>
      </c>
      <c r="I350" s="54" t="s">
        <v>474</v>
      </c>
      <c r="J350" s="55" t="s">
        <v>113</v>
      </c>
      <c r="K350" s="56"/>
    </row>
    <row r="351" ht="12.75" customHeight="1">
      <c r="A351" s="49" t="s">
        <v>491</v>
      </c>
      <c r="B351" s="50">
        <v>45775.0</v>
      </c>
      <c r="C351" s="63"/>
      <c r="D351" s="64"/>
      <c r="E351" s="53" t="s">
        <v>492</v>
      </c>
      <c r="F351" s="54" t="s">
        <v>1063</v>
      </c>
      <c r="G351" s="54" t="s">
        <v>1064</v>
      </c>
      <c r="H351" s="54" t="s">
        <v>1065</v>
      </c>
      <c r="I351" s="54" t="s">
        <v>1066</v>
      </c>
      <c r="J351" s="55" t="s">
        <v>113</v>
      </c>
      <c r="K351" s="56"/>
    </row>
    <row r="352" ht="12.75" customHeight="1">
      <c r="A352" s="49" t="s">
        <v>493</v>
      </c>
      <c r="B352" s="50">
        <v>45775.0</v>
      </c>
      <c r="C352" s="63"/>
      <c r="D352" s="64"/>
      <c r="E352" s="53" t="s">
        <v>398</v>
      </c>
      <c r="F352" s="54" t="s">
        <v>788</v>
      </c>
      <c r="G352" s="54" t="s">
        <v>789</v>
      </c>
      <c r="H352" s="54" t="s">
        <v>790</v>
      </c>
      <c r="I352" s="54" t="s">
        <v>791</v>
      </c>
      <c r="J352" s="55" t="s">
        <v>113</v>
      </c>
      <c r="K352" s="56"/>
    </row>
    <row r="353" ht="12.75" customHeight="1">
      <c r="A353" s="49" t="s">
        <v>494</v>
      </c>
      <c r="B353" s="50">
        <v>45777.0</v>
      </c>
      <c r="C353" s="63"/>
      <c r="D353" s="52" t="e">
        <v>#N/A</v>
      </c>
      <c r="E353" s="53" t="s">
        <v>495</v>
      </c>
      <c r="F353" s="54" t="s">
        <v>1067</v>
      </c>
      <c r="G353" s="54" t="s">
        <v>1068</v>
      </c>
      <c r="H353" s="54" t="s">
        <v>1069</v>
      </c>
      <c r="I353" s="54" t="s">
        <v>1070</v>
      </c>
      <c r="J353" s="55" t="s">
        <v>113</v>
      </c>
      <c r="K353" s="56"/>
    </row>
    <row r="354" ht="12.75" hidden="1" customHeight="1">
      <c r="A354" s="58" t="s">
        <v>1071</v>
      </c>
      <c r="B354" s="59">
        <v>45925.0</v>
      </c>
      <c r="C354" s="60" t="s">
        <v>110</v>
      </c>
      <c r="D354" s="61"/>
      <c r="E354" s="58" t="s">
        <v>1072</v>
      </c>
      <c r="F354" s="62">
        <v>7.99360903E8</v>
      </c>
      <c r="G354" s="62">
        <v>4.3964849665E7</v>
      </c>
      <c r="H354" s="62">
        <v>9.276583279315E7</v>
      </c>
      <c r="I354" s="62">
        <v>9.360915854581499E8</v>
      </c>
      <c r="J354" s="58" t="e">
        <v>#N/A</v>
      </c>
      <c r="K354" s="56"/>
    </row>
    <row r="355" ht="12.75" customHeight="1">
      <c r="A355" s="49" t="s">
        <v>496</v>
      </c>
      <c r="B355" s="50">
        <v>45777.0</v>
      </c>
      <c r="C355" s="63"/>
      <c r="D355" s="52" t="e">
        <v>#N/A</v>
      </c>
      <c r="E355" s="53" t="s">
        <v>497</v>
      </c>
      <c r="F355" s="54" t="s">
        <v>710</v>
      </c>
      <c r="G355" s="54" t="s">
        <v>711</v>
      </c>
      <c r="H355" s="54" t="s">
        <v>712</v>
      </c>
      <c r="I355" s="54" t="s">
        <v>713</v>
      </c>
      <c r="J355" s="55" t="s">
        <v>113</v>
      </c>
      <c r="K355" s="56"/>
    </row>
    <row r="356" ht="12.75" hidden="1" customHeight="1">
      <c r="A356" s="58" t="s">
        <v>1073</v>
      </c>
      <c r="B356" s="59">
        <v>45930.0</v>
      </c>
      <c r="C356" s="60" t="s">
        <v>110</v>
      </c>
      <c r="D356" s="61"/>
      <c r="E356" s="58" t="s">
        <v>1074</v>
      </c>
      <c r="F356" s="62">
        <v>6.7830337E7</v>
      </c>
      <c r="G356" s="62">
        <v>4069820.2199999997</v>
      </c>
      <c r="H356" s="62">
        <v>447680.2242</v>
      </c>
      <c r="I356" s="62">
        <v>7.23478374442E7</v>
      </c>
      <c r="J356" s="58" t="s">
        <v>113</v>
      </c>
      <c r="K356" s="56"/>
    </row>
    <row r="357" ht="12.75" hidden="1" customHeight="1">
      <c r="A357" s="58" t="s">
        <v>1075</v>
      </c>
      <c r="B357" s="59">
        <v>45930.0</v>
      </c>
      <c r="C357" s="60" t="s">
        <v>110</v>
      </c>
      <c r="D357" s="61"/>
      <c r="E357" s="58" t="s">
        <v>1076</v>
      </c>
      <c r="F357" s="62">
        <v>5.9241796E7</v>
      </c>
      <c r="G357" s="62">
        <v>3554507.76</v>
      </c>
      <c r="H357" s="62">
        <v>390995.8536</v>
      </c>
      <c r="I357" s="62">
        <v>6.31872996136E7</v>
      </c>
      <c r="J357" s="58" t="s">
        <v>113</v>
      </c>
      <c r="K357" s="56"/>
    </row>
    <row r="358" ht="12.75" hidden="1" customHeight="1">
      <c r="A358" s="58" t="s">
        <v>1077</v>
      </c>
      <c r="B358" s="59">
        <v>45930.0</v>
      </c>
      <c r="C358" s="60" t="s">
        <v>110</v>
      </c>
      <c r="D358" s="61"/>
      <c r="E358" s="58" t="s">
        <v>1078</v>
      </c>
      <c r="F358" s="62">
        <v>4.13990011E8</v>
      </c>
      <c r="G358" s="62">
        <v>2.483940066E7</v>
      </c>
      <c r="H358" s="62">
        <v>2732334.0726</v>
      </c>
      <c r="I358" s="62">
        <v>4.4156174573260003E8</v>
      </c>
      <c r="J358" s="58" t="s">
        <v>113</v>
      </c>
      <c r="K358" s="56"/>
    </row>
    <row r="359" ht="12.75" customHeight="1">
      <c r="A359" s="49" t="s">
        <v>498</v>
      </c>
      <c r="B359" s="50">
        <v>45777.0</v>
      </c>
      <c r="C359" s="63"/>
      <c r="D359" s="52" t="e">
        <v>#N/A</v>
      </c>
      <c r="E359" s="53" t="s">
        <v>499</v>
      </c>
      <c r="F359" s="54" t="s">
        <v>1079</v>
      </c>
      <c r="G359" s="54" t="s">
        <v>1080</v>
      </c>
      <c r="H359" s="54" t="s">
        <v>1081</v>
      </c>
      <c r="I359" s="54" t="s">
        <v>1082</v>
      </c>
      <c r="J359" s="55" t="s">
        <v>113</v>
      </c>
      <c r="K359" s="56"/>
    </row>
    <row r="360" ht="12.75" hidden="1" customHeight="1">
      <c r="A360" s="58" t="s">
        <v>1083</v>
      </c>
      <c r="B360" s="59">
        <v>45931.0</v>
      </c>
      <c r="C360" s="58">
        <v>3.900558866E9</v>
      </c>
      <c r="D360" s="61"/>
      <c r="E360" s="58" t="s">
        <v>1084</v>
      </c>
      <c r="F360" s="62">
        <v>1.63201613E8</v>
      </c>
      <c r="G360" s="62">
        <v>8649685.489</v>
      </c>
      <c r="H360" s="62">
        <v>1.890364283379E7</v>
      </c>
      <c r="I360" s="62">
        <v>1.9075494132279E8</v>
      </c>
      <c r="J360" s="58" t="s">
        <v>113</v>
      </c>
      <c r="K360" s="56"/>
    </row>
    <row r="361" ht="12.75" hidden="1" customHeight="1">
      <c r="A361" s="58" t="s">
        <v>1085</v>
      </c>
      <c r="B361" s="59">
        <v>45931.0</v>
      </c>
      <c r="C361" s="58">
        <v>3.900558866E9</v>
      </c>
      <c r="D361" s="61"/>
      <c r="E361" s="58" t="s">
        <v>1086</v>
      </c>
      <c r="F361" s="62">
        <v>4.8368243E7</v>
      </c>
      <c r="G361" s="62">
        <v>2563516.8789999997</v>
      </c>
      <c r="H361" s="62">
        <v>5602493.58669</v>
      </c>
      <c r="I361" s="62">
        <v>5.653425346569E7</v>
      </c>
      <c r="J361" s="58" t="s">
        <v>113</v>
      </c>
      <c r="K361" s="56"/>
    </row>
    <row r="362" ht="12.75" hidden="1" customHeight="1">
      <c r="A362" s="58" t="s">
        <v>1087</v>
      </c>
      <c r="B362" s="59">
        <v>45931.0</v>
      </c>
      <c r="C362" s="58">
        <v>3.900558866E9</v>
      </c>
      <c r="D362" s="61"/>
      <c r="E362" s="58" t="s">
        <v>1088</v>
      </c>
      <c r="F362" s="62">
        <v>3.5452832E7</v>
      </c>
      <c r="G362" s="62">
        <v>1879000.096</v>
      </c>
      <c r="H362" s="62">
        <v>4106501.5305600003</v>
      </c>
      <c r="I362" s="62">
        <v>4.143833362656E7</v>
      </c>
      <c r="J362" s="58" t="s">
        <v>113</v>
      </c>
      <c r="K362" s="56"/>
    </row>
    <row r="363" ht="12.75" hidden="1" customHeight="1">
      <c r="A363" s="58" t="s">
        <v>1089</v>
      </c>
      <c r="B363" s="59">
        <v>45931.0</v>
      </c>
      <c r="C363" s="58">
        <v>3.900558866E9</v>
      </c>
      <c r="D363" s="61"/>
      <c r="E363" s="58" t="s">
        <v>1090</v>
      </c>
      <c r="F363" s="62">
        <v>3.6650023E7</v>
      </c>
      <c r="G363" s="62">
        <v>1942451.219</v>
      </c>
      <c r="H363" s="62">
        <v>4245172.16409</v>
      </c>
      <c r="I363" s="62">
        <v>4.283764638309E7</v>
      </c>
      <c r="J363" s="58" t="s">
        <v>113</v>
      </c>
      <c r="K363" s="56"/>
    </row>
    <row r="364" ht="12.75" customHeight="1">
      <c r="A364" s="49" t="s">
        <v>1091</v>
      </c>
      <c r="B364" s="50">
        <v>45779.0</v>
      </c>
      <c r="C364" s="63"/>
      <c r="D364" s="64"/>
      <c r="E364" s="53" t="s">
        <v>1092</v>
      </c>
      <c r="F364" s="54" t="s">
        <v>1093</v>
      </c>
      <c r="G364" s="54" t="s">
        <v>1094</v>
      </c>
      <c r="H364" s="54" t="s">
        <v>1095</v>
      </c>
      <c r="I364" s="54" t="s">
        <v>1096</v>
      </c>
      <c r="J364" s="55" t="s">
        <v>113</v>
      </c>
      <c r="K364" s="56"/>
    </row>
    <row r="365" ht="12.75" hidden="1" customHeight="1">
      <c r="A365" s="58" t="s">
        <v>1097</v>
      </c>
      <c r="B365" s="59">
        <v>45931.0</v>
      </c>
      <c r="C365" s="58">
        <v>3.900540206E9</v>
      </c>
      <c r="D365" s="61"/>
      <c r="E365" s="58" t="s">
        <v>1098</v>
      </c>
      <c r="F365" s="62">
        <v>2.21736926E8</v>
      </c>
      <c r="G365" s="62">
        <v>1.3969426338E7</v>
      </c>
      <c r="H365" s="62">
        <v>2.592769875718E7</v>
      </c>
      <c r="I365" s="62">
        <v>2.6163405109518E8</v>
      </c>
      <c r="J365" s="58" t="s">
        <v>113</v>
      </c>
      <c r="K365" s="56"/>
    </row>
    <row r="366" ht="12.75" hidden="1" customHeight="1">
      <c r="A366" s="58" t="s">
        <v>1099</v>
      </c>
      <c r="B366" s="59">
        <v>45903.0</v>
      </c>
      <c r="C366" s="58">
        <v>4.600004404E9</v>
      </c>
      <c r="D366" s="61"/>
      <c r="E366" s="58" t="s">
        <v>1100</v>
      </c>
      <c r="F366" s="62">
        <v>3.41417389E8</v>
      </c>
      <c r="G366" s="62">
        <v>1.8095121617E7</v>
      </c>
      <c r="H366" s="62">
        <v>3.954637616787E7</v>
      </c>
      <c r="I366" s="62">
        <v>3.9905888678486997E8</v>
      </c>
      <c r="J366" s="58" t="s">
        <v>113</v>
      </c>
      <c r="K366" s="56"/>
    </row>
    <row r="367" ht="12.75" hidden="1" customHeight="1">
      <c r="A367" s="58" t="s">
        <v>1101</v>
      </c>
      <c r="B367" s="59">
        <v>45933.0</v>
      </c>
      <c r="C367" s="60" t="s">
        <v>110</v>
      </c>
      <c r="D367" s="61"/>
      <c r="E367" s="58" t="s">
        <v>1102</v>
      </c>
      <c r="F367" s="62">
        <v>2.3449708E7</v>
      </c>
      <c r="G367" s="62">
        <v>1242834.524</v>
      </c>
      <c r="H367" s="62">
        <v>2716179.67764</v>
      </c>
      <c r="I367" s="62">
        <v>2.740872220164E7</v>
      </c>
      <c r="J367" s="58" t="e">
        <v>#N/A</v>
      </c>
      <c r="K367" s="56"/>
    </row>
    <row r="368" ht="12.75" hidden="1" customHeight="1">
      <c r="A368" s="58" t="s">
        <v>1103</v>
      </c>
      <c r="B368" s="59">
        <v>45936.0</v>
      </c>
      <c r="C368" s="58" t="s">
        <v>238</v>
      </c>
      <c r="D368" s="61"/>
      <c r="E368" s="58" t="s">
        <v>1058</v>
      </c>
      <c r="F368" s="62">
        <v>9.4953117E7</v>
      </c>
      <c r="G368" s="62">
        <v>9495311.700000001</v>
      </c>
      <c r="H368" s="62">
        <v>1044484.2870000001</v>
      </c>
      <c r="I368" s="62">
        <v>1.05492912987E8</v>
      </c>
      <c r="J368" s="58" t="e">
        <v>#N/A</v>
      </c>
      <c r="K368" s="56"/>
    </row>
    <row r="369" ht="12.75" hidden="1" customHeight="1">
      <c r="A369" s="58" t="s">
        <v>1104</v>
      </c>
      <c r="B369" s="59">
        <v>45936.0</v>
      </c>
      <c r="C369" s="60" t="s">
        <v>110</v>
      </c>
      <c r="D369" s="61"/>
      <c r="E369" s="58" t="s">
        <v>1105</v>
      </c>
      <c r="F369" s="62">
        <v>1.2015103E8</v>
      </c>
      <c r="G369" s="62">
        <v>7209061.8</v>
      </c>
      <c r="H369" s="62">
        <v>1.4009610098E7</v>
      </c>
      <c r="I369" s="62">
        <v>1.41369701898E8</v>
      </c>
      <c r="J369" s="58" t="s">
        <v>113</v>
      </c>
      <c r="K369" s="56"/>
    </row>
    <row r="370" ht="12.75" hidden="1" customHeight="1">
      <c r="A370" s="58" t="s">
        <v>1106</v>
      </c>
      <c r="B370" s="59">
        <v>45936.0</v>
      </c>
      <c r="C370" s="60" t="s">
        <v>110</v>
      </c>
      <c r="D370" s="61"/>
      <c r="E370" s="58" t="s">
        <v>1107</v>
      </c>
      <c r="F370" s="62">
        <v>5.2795904E7</v>
      </c>
      <c r="G370" s="62">
        <v>3167754.2399999998</v>
      </c>
      <c r="H370" s="62">
        <v>6156002.406400001</v>
      </c>
      <c r="I370" s="62">
        <v>6.2119660646400005E7</v>
      </c>
      <c r="J370" s="58" t="s">
        <v>113</v>
      </c>
      <c r="K370" s="56"/>
    </row>
    <row r="371" ht="12.75" hidden="1" customHeight="1">
      <c r="A371" s="58" t="s">
        <v>1108</v>
      </c>
      <c r="B371" s="59">
        <v>45936.0</v>
      </c>
      <c r="C371" s="60" t="s">
        <v>110</v>
      </c>
      <c r="D371" s="61"/>
      <c r="E371" s="58" t="s">
        <v>1109</v>
      </c>
      <c r="F371" s="62">
        <v>4.0516321E7</v>
      </c>
      <c r="G371" s="62">
        <v>2430979.26</v>
      </c>
      <c r="H371" s="62">
        <v>4724203.0286</v>
      </c>
      <c r="I371" s="62">
        <v>4.76715032886E7</v>
      </c>
      <c r="J371" s="58" t="s">
        <v>113</v>
      </c>
      <c r="K371" s="56"/>
    </row>
    <row r="372" ht="12.75" hidden="1" customHeight="1">
      <c r="A372" s="58" t="s">
        <v>1110</v>
      </c>
      <c r="B372" s="59">
        <v>45936.0</v>
      </c>
      <c r="C372" s="58">
        <v>3.900556018E9</v>
      </c>
      <c r="D372" s="61"/>
      <c r="E372" s="58" t="s">
        <v>1111</v>
      </c>
      <c r="F372" s="62">
        <v>1.5780006E7</v>
      </c>
      <c r="G372" s="62">
        <v>1578000.6</v>
      </c>
      <c r="H372" s="62">
        <v>1909380.7260000003</v>
      </c>
      <c r="I372" s="62">
        <v>1.9267387326E7</v>
      </c>
      <c r="J372" s="58" t="e">
        <v>#N/A</v>
      </c>
      <c r="K372" s="56"/>
    </row>
    <row r="373" ht="12.75" customHeight="1">
      <c r="A373" s="49" t="s">
        <v>1112</v>
      </c>
      <c r="B373" s="50">
        <v>45779.0</v>
      </c>
      <c r="C373" s="63"/>
      <c r="D373" s="52" t="e">
        <v>#N/A</v>
      </c>
      <c r="E373" s="53" t="s">
        <v>1113</v>
      </c>
      <c r="F373" s="54" t="s">
        <v>1114</v>
      </c>
      <c r="G373" s="54" t="s">
        <v>1115</v>
      </c>
      <c r="H373" s="54" t="s">
        <v>1116</v>
      </c>
      <c r="I373" s="54" t="s">
        <v>1117</v>
      </c>
      <c r="J373" s="55" t="s">
        <v>113</v>
      </c>
      <c r="K373" s="56"/>
    </row>
    <row r="374" ht="12.75" customHeight="1">
      <c r="A374" s="49" t="s">
        <v>510</v>
      </c>
      <c r="B374" s="11" t="s">
        <v>1118</v>
      </c>
      <c r="C374" s="63"/>
      <c r="D374" s="64"/>
      <c r="E374" s="53" t="s">
        <v>511</v>
      </c>
      <c r="F374" s="54" t="s">
        <v>1119</v>
      </c>
      <c r="G374" s="54">
        <v>215.124</v>
      </c>
      <c r="H374" s="54">
        <v>418.058</v>
      </c>
      <c r="I374" s="54" t="s">
        <v>1120</v>
      </c>
      <c r="J374" s="55" t="s">
        <v>113</v>
      </c>
      <c r="K374" s="56"/>
    </row>
    <row r="375" ht="12.75" customHeight="1">
      <c r="A375" s="49" t="s">
        <v>512</v>
      </c>
      <c r="B375" s="11" t="s">
        <v>1118</v>
      </c>
      <c r="C375" s="63"/>
      <c r="D375" s="64"/>
      <c r="E375" s="53" t="s">
        <v>513</v>
      </c>
      <c r="F375" s="54" t="s">
        <v>1121</v>
      </c>
      <c r="G375" s="54">
        <v>576.832</v>
      </c>
      <c r="H375" s="54" t="s">
        <v>1122</v>
      </c>
      <c r="I375" s="54" t="s">
        <v>1123</v>
      </c>
      <c r="J375" s="55" t="s">
        <v>113</v>
      </c>
      <c r="K375" s="56"/>
    </row>
    <row r="376" ht="12.75" customHeight="1">
      <c r="A376" s="49" t="s">
        <v>514</v>
      </c>
      <c r="B376" s="11" t="s">
        <v>1118</v>
      </c>
      <c r="C376" s="63"/>
      <c r="D376" s="64"/>
      <c r="E376" s="53" t="s">
        <v>515</v>
      </c>
      <c r="F376" s="54" t="s">
        <v>1124</v>
      </c>
      <c r="G376" s="54" t="s">
        <v>1125</v>
      </c>
      <c r="H376" s="54" t="s">
        <v>1126</v>
      </c>
      <c r="I376" s="54" t="s">
        <v>1127</v>
      </c>
      <c r="J376" s="55" t="s">
        <v>113</v>
      </c>
      <c r="K376" s="56"/>
    </row>
    <row r="377" ht="12.75" customHeight="1">
      <c r="A377" s="49" t="s">
        <v>1128</v>
      </c>
      <c r="B377" s="50">
        <v>45783.0</v>
      </c>
      <c r="C377" s="63"/>
      <c r="D377" s="64"/>
      <c r="E377" s="53" t="s">
        <v>1129</v>
      </c>
      <c r="F377" s="54" t="s">
        <v>1130</v>
      </c>
      <c r="G377" s="54" t="s">
        <v>1131</v>
      </c>
      <c r="H377" s="54" t="s">
        <v>1132</v>
      </c>
      <c r="I377" s="54" t="s">
        <v>1133</v>
      </c>
      <c r="J377" s="55" t="s">
        <v>113</v>
      </c>
      <c r="K377" s="56"/>
    </row>
    <row r="378" ht="12.75" hidden="1" customHeight="1">
      <c r="A378" s="58" t="s">
        <v>1134</v>
      </c>
      <c r="B378" s="59">
        <v>45939.0</v>
      </c>
      <c r="C378" s="58">
        <v>4.65001716E9</v>
      </c>
      <c r="D378" s="61"/>
      <c r="E378" s="58" t="s">
        <v>1135</v>
      </c>
      <c r="F378" s="62">
        <v>5.7723425E7</v>
      </c>
      <c r="G378" s="62">
        <v>3174788.375</v>
      </c>
      <c r="H378" s="62">
        <v>349227.0</v>
      </c>
      <c r="I378" s="62">
        <v>6.1247440375E7</v>
      </c>
      <c r="J378" s="58" t="e">
        <v>#N/A</v>
      </c>
      <c r="K378" s="56"/>
    </row>
    <row r="379" ht="12.75" hidden="1" customHeight="1">
      <c r="A379" s="58" t="s">
        <v>1136</v>
      </c>
      <c r="B379" s="59">
        <v>45946.0</v>
      </c>
      <c r="C379" s="58">
        <v>4.650017814E9</v>
      </c>
      <c r="D379" s="61"/>
      <c r="E379" s="58" t="s">
        <v>1137</v>
      </c>
      <c r="F379" s="62">
        <v>2.02656E7</v>
      </c>
      <c r="G379" s="62">
        <v>1215936.0</v>
      </c>
      <c r="H379" s="62">
        <v>2362968.96</v>
      </c>
      <c r="I379" s="62">
        <v>2.384450496E7</v>
      </c>
      <c r="J379" s="58" t="e">
        <v>#N/A</v>
      </c>
      <c r="K379" s="56"/>
    </row>
    <row r="380" ht="12.75" hidden="1" customHeight="1">
      <c r="A380" s="58" t="s">
        <v>1138</v>
      </c>
      <c r="B380" s="59">
        <v>45946.0</v>
      </c>
      <c r="C380" s="58">
        <v>4.650017814E9</v>
      </c>
      <c r="D380" s="61"/>
      <c r="E380" s="58" t="s">
        <v>1139</v>
      </c>
      <c r="F380" s="62">
        <v>3.067E7</v>
      </c>
      <c r="G380" s="62">
        <v>1840200.0</v>
      </c>
      <c r="H380" s="62">
        <v>3576122.0</v>
      </c>
      <c r="I380" s="62">
        <v>3.6086322E7</v>
      </c>
      <c r="J380" s="58" t="e">
        <v>#N/A</v>
      </c>
      <c r="K380" s="56"/>
    </row>
    <row r="381" ht="12.75" hidden="1" customHeight="1">
      <c r="A381" s="58" t="s">
        <v>1140</v>
      </c>
      <c r="B381" s="59">
        <v>45946.0</v>
      </c>
      <c r="C381" s="58">
        <v>4.650017814E9</v>
      </c>
      <c r="D381" s="61"/>
      <c r="E381" s="58" t="s">
        <v>1141</v>
      </c>
      <c r="F381" s="62">
        <v>2080000.0</v>
      </c>
      <c r="G381" s="62">
        <v>124800.0</v>
      </c>
      <c r="H381" s="62">
        <v>242528.0</v>
      </c>
      <c r="I381" s="62">
        <v>2447328.0</v>
      </c>
      <c r="J381" s="58" t="e">
        <v>#N/A</v>
      </c>
      <c r="K381" s="56"/>
    </row>
    <row r="382" ht="12.75" hidden="1" customHeight="1">
      <c r="A382" s="58" t="s">
        <v>1142</v>
      </c>
      <c r="B382" s="59">
        <v>45954.0</v>
      </c>
      <c r="C382" s="58">
        <v>4.600004404E9</v>
      </c>
      <c r="D382" s="61"/>
      <c r="E382" s="58" t="s">
        <v>1143</v>
      </c>
      <c r="F382" s="62">
        <v>3.45609637E8</v>
      </c>
      <c r="G382" s="62">
        <v>1.8317310761E7</v>
      </c>
      <c r="H382" s="62">
        <v>4.0031964253709994E7</v>
      </c>
      <c r="I382" s="62">
        <v>4.0395891201470995E8</v>
      </c>
      <c r="J382" s="58" t="e">
        <v>#N/A</v>
      </c>
      <c r="K382" s="56"/>
    </row>
    <row r="383" ht="12.75" hidden="1" customHeight="1">
      <c r="A383" s="58" t="s">
        <v>1144</v>
      </c>
      <c r="B383" s="59">
        <v>45954.0</v>
      </c>
      <c r="C383" s="58">
        <v>4.600004404E9</v>
      </c>
      <c r="D383" s="61"/>
      <c r="E383" s="58" t="s">
        <v>1143</v>
      </c>
      <c r="F383" s="62">
        <v>1.23355577E8</v>
      </c>
      <c r="G383" s="62">
        <v>6537845.581</v>
      </c>
      <c r="H383" s="62">
        <v>1.428827648391E7</v>
      </c>
      <c r="I383" s="62">
        <v>1.4418169906491E8</v>
      </c>
      <c r="J383" s="58" t="e">
        <v>#N/A</v>
      </c>
      <c r="K383" s="56"/>
    </row>
    <row r="384" ht="12.75" hidden="1" customHeight="1">
      <c r="A384" s="58" t="s">
        <v>1145</v>
      </c>
      <c r="B384" s="59">
        <v>45954.0</v>
      </c>
      <c r="C384" s="58">
        <v>4.600004404E9</v>
      </c>
      <c r="D384" s="61"/>
      <c r="E384" s="58" t="s">
        <v>1143</v>
      </c>
      <c r="F384" s="62">
        <v>3.8158606E7</v>
      </c>
      <c r="G384" s="62">
        <v>2022406.118</v>
      </c>
      <c r="H384" s="62">
        <v>4419911.33298</v>
      </c>
      <c r="I384" s="62">
        <v>4.460092345098E7</v>
      </c>
      <c r="J384" s="58" t="s">
        <v>113</v>
      </c>
      <c r="K384" s="56"/>
    </row>
    <row r="385" ht="12.75" customHeight="1">
      <c r="A385" s="49" t="s">
        <v>1146</v>
      </c>
      <c r="B385" s="50">
        <v>45783.0</v>
      </c>
      <c r="C385" s="63"/>
      <c r="D385" s="64"/>
      <c r="E385" s="53" t="s">
        <v>1147</v>
      </c>
      <c r="F385" s="54" t="s">
        <v>1148</v>
      </c>
      <c r="G385" s="54">
        <v>646.268</v>
      </c>
      <c r="H385" s="54" t="s">
        <v>1149</v>
      </c>
      <c r="I385" s="54" t="s">
        <v>1150</v>
      </c>
      <c r="J385" s="55" t="s">
        <v>113</v>
      </c>
      <c r="K385" s="56"/>
    </row>
    <row r="386" ht="12.75" customHeight="1">
      <c r="A386" s="49" t="s">
        <v>1151</v>
      </c>
      <c r="B386" s="66"/>
      <c r="C386" s="63"/>
      <c r="D386" s="52" t="e">
        <v>#N/A</v>
      </c>
      <c r="E386" s="67"/>
      <c r="F386" s="57"/>
      <c r="G386" s="57"/>
      <c r="H386" s="57"/>
      <c r="I386" s="57"/>
      <c r="J386" s="55" t="s">
        <v>113</v>
      </c>
      <c r="K386" s="56"/>
    </row>
    <row r="387" ht="12.75" customHeight="1">
      <c r="A387" s="49" t="s">
        <v>1152</v>
      </c>
      <c r="B387" s="50">
        <v>45783.0</v>
      </c>
      <c r="C387" s="63"/>
      <c r="D387" s="64"/>
      <c r="E387" s="53" t="s">
        <v>1153</v>
      </c>
      <c r="F387" s="54" t="s">
        <v>1148</v>
      </c>
      <c r="G387" s="54">
        <v>646.268</v>
      </c>
      <c r="H387" s="54" t="s">
        <v>1149</v>
      </c>
      <c r="I387" s="54" t="s">
        <v>1150</v>
      </c>
      <c r="J387" s="55" t="s">
        <v>113</v>
      </c>
      <c r="K387" s="56"/>
    </row>
    <row r="388" ht="12.75" customHeight="1">
      <c r="A388" s="49" t="s">
        <v>1154</v>
      </c>
      <c r="B388" s="50">
        <v>45783.0</v>
      </c>
      <c r="C388" s="63"/>
      <c r="D388" s="64"/>
      <c r="E388" s="53" t="s">
        <v>1155</v>
      </c>
      <c r="F388" s="54" t="s">
        <v>1156</v>
      </c>
      <c r="G388" s="54">
        <v>612.781</v>
      </c>
      <c r="H388" s="54">
        <v>966.152</v>
      </c>
      <c r="I388" s="54" t="s">
        <v>1157</v>
      </c>
      <c r="J388" s="55" t="s">
        <v>113</v>
      </c>
      <c r="K388" s="56"/>
    </row>
    <row r="389" ht="12.75" hidden="1" customHeight="1">
      <c r="A389" s="58" t="s">
        <v>1158</v>
      </c>
      <c r="B389" s="59">
        <v>45958.0</v>
      </c>
      <c r="C389" s="58">
        <v>3.900558866E9</v>
      </c>
      <c r="D389" s="61"/>
      <c r="E389" s="58" t="s">
        <v>1159</v>
      </c>
      <c r="F389" s="62">
        <v>1.63650457E8</v>
      </c>
      <c r="G389" s="62">
        <v>8673474.220999999</v>
      </c>
      <c r="H389" s="62">
        <v>1.895563243431E7</v>
      </c>
      <c r="I389" s="62">
        <v>1.9127956365530998E8</v>
      </c>
      <c r="J389" s="58" t="e">
        <v>#N/A</v>
      </c>
      <c r="K389" s="56"/>
    </row>
    <row r="390" ht="12.75" hidden="1" customHeight="1">
      <c r="A390" s="58" t="s">
        <v>1160</v>
      </c>
      <c r="B390" s="59">
        <v>45958.0</v>
      </c>
      <c r="C390" s="58">
        <v>3.900558866E9</v>
      </c>
      <c r="D390" s="61"/>
      <c r="E390" s="58" t="s">
        <v>1161</v>
      </c>
      <c r="F390" s="62">
        <v>4.8368243E7</v>
      </c>
      <c r="G390" s="62">
        <v>2563516.8789999997</v>
      </c>
      <c r="H390" s="62">
        <v>5602493.58669</v>
      </c>
      <c r="I390" s="62">
        <v>5.653425346569E7</v>
      </c>
      <c r="J390" s="58" t="e">
        <v>#N/A</v>
      </c>
      <c r="K390" s="56"/>
    </row>
    <row r="391" ht="12.75" hidden="1" customHeight="1">
      <c r="A391" s="58" t="s">
        <v>1162</v>
      </c>
      <c r="B391" s="59">
        <v>45958.0</v>
      </c>
      <c r="C391" s="58">
        <v>3.900558866E9</v>
      </c>
      <c r="D391" s="61"/>
      <c r="E391" s="58" t="s">
        <v>1163</v>
      </c>
      <c r="F391" s="62">
        <v>3.5500832E7</v>
      </c>
      <c r="G391" s="62">
        <v>1881544.096</v>
      </c>
      <c r="H391" s="62">
        <v>4112061.37056</v>
      </c>
      <c r="I391" s="62">
        <v>4.149443746656E7</v>
      </c>
      <c r="J391" s="58" t="e">
        <v>#N/A</v>
      </c>
      <c r="K391" s="56"/>
    </row>
    <row r="392" ht="12.75" customHeight="1">
      <c r="A392" s="49" t="s">
        <v>1164</v>
      </c>
      <c r="B392" s="50">
        <v>45783.0</v>
      </c>
      <c r="C392" s="63"/>
      <c r="D392" s="64"/>
      <c r="E392" s="53" t="s">
        <v>1165</v>
      </c>
      <c r="F392" s="54" t="s">
        <v>1166</v>
      </c>
      <c r="G392" s="54" t="s">
        <v>1167</v>
      </c>
      <c r="H392" s="54" t="s">
        <v>1168</v>
      </c>
      <c r="I392" s="54" t="s">
        <v>1169</v>
      </c>
      <c r="J392" s="55" t="s">
        <v>113</v>
      </c>
      <c r="K392" s="56"/>
    </row>
    <row r="393" ht="12.75" hidden="1" customHeight="1">
      <c r="A393" s="58" t="s">
        <v>1170</v>
      </c>
      <c r="B393" s="59">
        <v>45961.0</v>
      </c>
      <c r="C393" s="60" t="s">
        <v>110</v>
      </c>
      <c r="D393" s="61"/>
      <c r="E393" s="58" t="s">
        <v>1072</v>
      </c>
      <c r="F393" s="62">
        <v>8.34405339E8</v>
      </c>
      <c r="G393" s="62">
        <v>4.5892293645E7</v>
      </c>
      <c r="H393" s="62">
        <v>9.683273959095E7</v>
      </c>
      <c r="I393" s="62">
        <v>9.7713037223595E8</v>
      </c>
      <c r="J393" s="58" t="e">
        <v>#N/A</v>
      </c>
      <c r="K393" s="56"/>
    </row>
    <row r="394" ht="12.75" hidden="1" customHeight="1">
      <c r="A394" s="58" t="s">
        <v>1171</v>
      </c>
      <c r="B394" s="59">
        <v>45961.0</v>
      </c>
      <c r="C394" s="60" t="s">
        <v>110</v>
      </c>
      <c r="D394" s="61"/>
      <c r="E394" s="58" t="s">
        <v>1172</v>
      </c>
      <c r="F394" s="62">
        <v>6.7830337E7</v>
      </c>
      <c r="G394" s="62">
        <v>4069820.2199999997</v>
      </c>
      <c r="H394" s="62">
        <v>7909017.2942</v>
      </c>
      <c r="I394" s="62">
        <v>7.98091745142E7</v>
      </c>
      <c r="J394" s="58" t="e">
        <v>#N/A</v>
      </c>
      <c r="K394" s="56"/>
    </row>
    <row r="395" ht="12.75" hidden="1" customHeight="1">
      <c r="A395" s="58" t="s">
        <v>1173</v>
      </c>
      <c r="B395" s="59">
        <v>45961.0</v>
      </c>
      <c r="C395" s="60" t="s">
        <v>110</v>
      </c>
      <c r="D395" s="61"/>
      <c r="E395" s="58" t="s">
        <v>1174</v>
      </c>
      <c r="F395" s="62">
        <v>5.513583E7</v>
      </c>
      <c r="G395" s="62">
        <v>3308149.8</v>
      </c>
      <c r="H395" s="62">
        <v>6428837.778</v>
      </c>
      <c r="I395" s="62">
        <v>6.4872817577999994E7</v>
      </c>
      <c r="J395" s="68"/>
      <c r="K395" s="56"/>
    </row>
    <row r="396" ht="12.75" hidden="1" customHeight="1">
      <c r="A396" s="58" t="s">
        <v>1175</v>
      </c>
      <c r="B396" s="59">
        <v>45961.0</v>
      </c>
      <c r="C396" s="60" t="s">
        <v>110</v>
      </c>
      <c r="D396" s="61"/>
      <c r="E396" s="58" t="s">
        <v>1176</v>
      </c>
      <c r="F396" s="62">
        <v>4.20671883E8</v>
      </c>
      <c r="G396" s="62">
        <v>2.524031298E7</v>
      </c>
      <c r="H396" s="62">
        <v>4.90503415578E7</v>
      </c>
      <c r="I396" s="62">
        <v>4.949625375378E8</v>
      </c>
      <c r="J396" s="68"/>
      <c r="K396" s="56"/>
    </row>
    <row r="397" ht="12.75" hidden="1" customHeight="1">
      <c r="A397" s="58" t="s">
        <v>1177</v>
      </c>
      <c r="B397" s="59"/>
      <c r="C397" s="68"/>
      <c r="D397" s="61"/>
      <c r="E397" s="68"/>
      <c r="F397" s="68"/>
      <c r="G397" s="62"/>
      <c r="H397" s="62"/>
      <c r="I397" s="62"/>
      <c r="J397" s="68"/>
      <c r="K397" s="56"/>
    </row>
    <row r="398" ht="12.75" hidden="1" customHeight="1">
      <c r="A398" s="58" t="s">
        <v>1178</v>
      </c>
      <c r="B398" s="59"/>
      <c r="C398" s="68"/>
      <c r="D398" s="61"/>
      <c r="E398" s="68"/>
      <c r="F398" s="68"/>
      <c r="G398" s="62"/>
      <c r="H398" s="62"/>
      <c r="I398" s="62"/>
      <c r="J398" s="68"/>
      <c r="K398" s="56"/>
    </row>
    <row r="399" ht="12.75" hidden="1" customHeight="1">
      <c r="A399" s="58" t="s">
        <v>1179</v>
      </c>
      <c r="B399" s="59"/>
      <c r="C399" s="68"/>
      <c r="D399" s="61"/>
      <c r="E399" s="68"/>
      <c r="F399" s="68"/>
      <c r="G399" s="62"/>
      <c r="H399" s="62"/>
      <c r="I399" s="62"/>
      <c r="J399" s="68"/>
      <c r="K399" s="56"/>
    </row>
    <row r="400" ht="12.75" hidden="1" customHeight="1">
      <c r="A400" s="58" t="s">
        <v>1180</v>
      </c>
      <c r="B400" s="59"/>
      <c r="C400" s="68"/>
      <c r="D400" s="61"/>
      <c r="E400" s="68"/>
      <c r="F400" s="68"/>
      <c r="G400" s="62"/>
      <c r="H400" s="62"/>
      <c r="I400" s="62"/>
      <c r="J400" s="68"/>
      <c r="K400" s="56"/>
    </row>
    <row r="401" ht="12.75" hidden="1" customHeight="1">
      <c r="A401" s="58" t="s">
        <v>1181</v>
      </c>
      <c r="B401" s="59"/>
      <c r="C401" s="68"/>
      <c r="D401" s="61"/>
      <c r="E401" s="68"/>
      <c r="F401" s="68"/>
      <c r="G401" s="62"/>
      <c r="H401" s="62"/>
      <c r="I401" s="62"/>
      <c r="J401" s="68"/>
      <c r="K401" s="56"/>
    </row>
    <row r="402" ht="12.75" hidden="1" customHeight="1">
      <c r="A402" s="58" t="s">
        <v>1182</v>
      </c>
      <c r="B402" s="59"/>
      <c r="C402" s="68"/>
      <c r="D402" s="61"/>
      <c r="E402" s="68"/>
      <c r="F402" s="68"/>
      <c r="G402" s="62"/>
      <c r="H402" s="62"/>
      <c r="I402" s="62"/>
      <c r="J402" s="68"/>
      <c r="K402" s="56"/>
    </row>
    <row r="403" ht="12.75" hidden="1" customHeight="1">
      <c r="A403" s="58" t="s">
        <v>1183</v>
      </c>
      <c r="B403" s="59"/>
      <c r="C403" s="68"/>
      <c r="D403" s="61"/>
      <c r="E403" s="68"/>
      <c r="F403" s="68"/>
      <c r="G403" s="62"/>
      <c r="H403" s="62"/>
      <c r="I403" s="62"/>
      <c r="J403" s="68"/>
      <c r="K403" s="56"/>
    </row>
    <row r="404" ht="12.75" hidden="1" customHeight="1">
      <c r="A404" s="58" t="s">
        <v>1184</v>
      </c>
      <c r="B404" s="59"/>
      <c r="C404" s="68"/>
      <c r="D404" s="61"/>
      <c r="E404" s="68"/>
      <c r="F404" s="68"/>
      <c r="G404" s="62"/>
      <c r="H404" s="62"/>
      <c r="I404" s="62"/>
      <c r="J404" s="68"/>
      <c r="K404" s="56"/>
    </row>
    <row r="405" ht="12.75" hidden="1" customHeight="1">
      <c r="A405" s="58" t="s">
        <v>1185</v>
      </c>
      <c r="B405" s="59"/>
      <c r="C405" s="68"/>
      <c r="D405" s="61"/>
      <c r="E405" s="68"/>
      <c r="F405" s="68"/>
      <c r="G405" s="62"/>
      <c r="H405" s="62"/>
      <c r="I405" s="62"/>
      <c r="J405" s="68"/>
      <c r="K405" s="56"/>
    </row>
    <row r="406" ht="12.75" customHeight="1">
      <c r="A406" s="69" t="s">
        <v>546</v>
      </c>
      <c r="B406" s="50">
        <v>45793.0</v>
      </c>
      <c r="C406" s="70"/>
      <c r="D406" s="64"/>
      <c r="E406" s="65" t="s">
        <v>547</v>
      </c>
      <c r="F406" s="71" t="s">
        <v>1186</v>
      </c>
      <c r="G406" s="54">
        <v>945.388</v>
      </c>
      <c r="H406" s="54" t="s">
        <v>1187</v>
      </c>
      <c r="I406" s="54" t="s">
        <v>1188</v>
      </c>
      <c r="J406" s="71" t="s">
        <v>113</v>
      </c>
      <c r="K406" s="56"/>
    </row>
    <row r="407" ht="12.75" customHeight="1">
      <c r="A407" s="69" t="s">
        <v>548</v>
      </c>
      <c r="B407" s="50">
        <v>45793.0</v>
      </c>
      <c r="C407" s="70"/>
      <c r="D407" s="64"/>
      <c r="E407" s="65" t="s">
        <v>549</v>
      </c>
      <c r="F407" s="71" t="s">
        <v>1189</v>
      </c>
      <c r="G407" s="54">
        <v>915.291</v>
      </c>
      <c r="H407" s="54" t="s">
        <v>1190</v>
      </c>
      <c r="I407" s="54" t="s">
        <v>1191</v>
      </c>
      <c r="J407" s="71" t="s">
        <v>113</v>
      </c>
      <c r="K407" s="56"/>
    </row>
    <row r="408" ht="12.75" customHeight="1">
      <c r="A408" s="69" t="s">
        <v>550</v>
      </c>
      <c r="B408" s="50">
        <v>45793.0</v>
      </c>
      <c r="C408" s="70"/>
      <c r="D408" s="64"/>
      <c r="E408" s="65" t="s">
        <v>552</v>
      </c>
      <c r="F408" s="71" t="s">
        <v>1192</v>
      </c>
      <c r="G408" s="54">
        <v>932.713</v>
      </c>
      <c r="H408" s="54" t="s">
        <v>1193</v>
      </c>
      <c r="I408" s="54" t="s">
        <v>1194</v>
      </c>
      <c r="J408" s="71" t="s">
        <v>113</v>
      </c>
      <c r="K408" s="56"/>
    </row>
    <row r="409" ht="12.75" customHeight="1">
      <c r="A409" s="69" t="s">
        <v>553</v>
      </c>
      <c r="B409" s="50">
        <v>45793.0</v>
      </c>
      <c r="C409" s="70"/>
      <c r="D409" s="64"/>
      <c r="E409" s="65" t="s">
        <v>554</v>
      </c>
      <c r="F409" s="71" t="s">
        <v>1195</v>
      </c>
      <c r="G409" s="54">
        <v>771.788</v>
      </c>
      <c r="H409" s="54">
        <v>0.0</v>
      </c>
      <c r="I409" s="54" t="s">
        <v>1196</v>
      </c>
      <c r="J409" s="71" t="s">
        <v>113</v>
      </c>
      <c r="K409" s="56"/>
    </row>
    <row r="410" ht="12.75" customHeight="1">
      <c r="A410" s="69" t="s">
        <v>555</v>
      </c>
      <c r="B410" s="50">
        <v>45793.0</v>
      </c>
      <c r="C410" s="70"/>
      <c r="D410" s="64"/>
      <c r="E410" s="65" t="s">
        <v>556</v>
      </c>
      <c r="F410" s="71" t="s">
        <v>1197</v>
      </c>
      <c r="G410" s="54" t="s">
        <v>1198</v>
      </c>
      <c r="H410" s="54">
        <v>0.0</v>
      </c>
      <c r="I410" s="54" t="s">
        <v>1199</v>
      </c>
      <c r="J410" s="71" t="s">
        <v>113</v>
      </c>
      <c r="K410" s="56"/>
    </row>
    <row r="411" ht="12.75" customHeight="1">
      <c r="A411" s="69" t="s">
        <v>557</v>
      </c>
      <c r="B411" s="50">
        <v>45793.0</v>
      </c>
      <c r="C411" s="70"/>
      <c r="D411" s="64"/>
      <c r="E411" s="65" t="s">
        <v>558</v>
      </c>
      <c r="F411" s="71" t="s">
        <v>1200</v>
      </c>
      <c r="G411" s="54" t="s">
        <v>1201</v>
      </c>
      <c r="H411" s="54">
        <v>0.0</v>
      </c>
      <c r="I411" s="54" t="s">
        <v>1202</v>
      </c>
      <c r="J411" s="71" t="s">
        <v>113</v>
      </c>
      <c r="K411" s="56"/>
    </row>
    <row r="412" ht="12.75" customHeight="1">
      <c r="A412" s="69" t="s">
        <v>559</v>
      </c>
      <c r="B412" s="50">
        <v>45796.0</v>
      </c>
      <c r="C412" s="70"/>
      <c r="D412" s="64"/>
      <c r="E412" s="65" t="s">
        <v>560</v>
      </c>
      <c r="F412" s="71" t="s">
        <v>1203</v>
      </c>
      <c r="G412" s="54">
        <v>873.981</v>
      </c>
      <c r="H412" s="54" t="s">
        <v>1204</v>
      </c>
      <c r="I412" s="54" t="s">
        <v>1205</v>
      </c>
      <c r="J412" s="71" t="s">
        <v>113</v>
      </c>
      <c r="K412" s="56"/>
    </row>
    <row r="413" ht="12.75" customHeight="1">
      <c r="A413" s="69" t="s">
        <v>561</v>
      </c>
      <c r="B413" s="50">
        <v>45796.0</v>
      </c>
      <c r="C413" s="70"/>
      <c r="D413" s="64"/>
      <c r="E413" s="65" t="s">
        <v>562</v>
      </c>
      <c r="F413" s="71" t="s">
        <v>1206</v>
      </c>
      <c r="G413" s="54">
        <v>546.342</v>
      </c>
      <c r="H413" s="54" t="s">
        <v>1207</v>
      </c>
      <c r="I413" s="54" t="s">
        <v>1208</v>
      </c>
      <c r="J413" s="71" t="e">
        <v>#N/A</v>
      </c>
      <c r="K413" s="56"/>
    </row>
    <row r="414" ht="12.75" customHeight="1">
      <c r="A414" s="69" t="s">
        <v>563</v>
      </c>
      <c r="B414" s="50">
        <v>45796.0</v>
      </c>
      <c r="C414" s="70"/>
      <c r="D414" s="64"/>
      <c r="E414" s="65" t="s">
        <v>564</v>
      </c>
      <c r="F414" s="71" t="s">
        <v>1209</v>
      </c>
      <c r="G414" s="54">
        <v>242.74</v>
      </c>
      <c r="H414" s="54">
        <v>0.0</v>
      </c>
      <c r="I414" s="54" t="s">
        <v>1210</v>
      </c>
      <c r="J414" s="71" t="e">
        <v>#N/A</v>
      </c>
      <c r="K414" s="56"/>
    </row>
    <row r="415" ht="12.75" customHeight="1">
      <c r="A415" s="69" t="s">
        <v>565</v>
      </c>
      <c r="B415" s="50">
        <v>45796.0</v>
      </c>
      <c r="C415" s="70"/>
      <c r="D415" s="64"/>
      <c r="E415" s="65" t="s">
        <v>566</v>
      </c>
      <c r="F415" s="71" t="s">
        <v>1211</v>
      </c>
      <c r="G415" s="54">
        <v>369.39</v>
      </c>
      <c r="H415" s="54">
        <v>807.292</v>
      </c>
      <c r="I415" s="54" t="s">
        <v>1212</v>
      </c>
      <c r="J415" s="71" t="e">
        <v>#N/A</v>
      </c>
      <c r="K415" s="56"/>
    </row>
    <row r="416" ht="12.75" customHeight="1">
      <c r="A416" s="69" t="s">
        <v>567</v>
      </c>
      <c r="B416" s="50">
        <v>45796.0</v>
      </c>
      <c r="C416" s="70"/>
      <c r="D416" s="64"/>
      <c r="E416" s="65" t="s">
        <v>568</v>
      </c>
      <c r="F416" s="71" t="s">
        <v>1213</v>
      </c>
      <c r="G416" s="54">
        <v>537.401</v>
      </c>
      <c r="H416" s="54">
        <v>59.114</v>
      </c>
      <c r="I416" s="54" t="s">
        <v>1214</v>
      </c>
      <c r="J416" s="71" t="e">
        <v>#N/A</v>
      </c>
      <c r="K416" s="56"/>
    </row>
    <row r="417" ht="12.75" customHeight="1">
      <c r="A417" s="69" t="s">
        <v>569</v>
      </c>
      <c r="B417" s="50">
        <v>45796.0</v>
      </c>
      <c r="C417" s="70"/>
      <c r="D417" s="64"/>
      <c r="E417" s="65" t="s">
        <v>571</v>
      </c>
      <c r="F417" s="71" t="s">
        <v>1215</v>
      </c>
      <c r="G417" s="57"/>
      <c r="H417" s="54" t="s">
        <v>1216</v>
      </c>
      <c r="I417" s="54" t="s">
        <v>1217</v>
      </c>
      <c r="J417" s="71" t="s">
        <v>113</v>
      </c>
      <c r="K417" s="56"/>
    </row>
    <row r="418" ht="12.75" customHeight="1">
      <c r="A418" s="69" t="s">
        <v>572</v>
      </c>
      <c r="B418" s="50">
        <v>45800.0</v>
      </c>
      <c r="C418" s="70"/>
      <c r="D418" s="64"/>
      <c r="E418" s="65" t="s">
        <v>573</v>
      </c>
      <c r="F418" s="71" t="s">
        <v>1218</v>
      </c>
      <c r="G418" s="54" t="s">
        <v>1219</v>
      </c>
      <c r="H418" s="54" t="s">
        <v>1220</v>
      </c>
      <c r="I418" s="54" t="s">
        <v>1221</v>
      </c>
      <c r="J418" s="71" t="s">
        <v>113</v>
      </c>
      <c r="K418" s="56"/>
    </row>
    <row r="419" ht="12.75" customHeight="1">
      <c r="A419" s="69" t="s">
        <v>574</v>
      </c>
      <c r="B419" s="50">
        <v>45800.0</v>
      </c>
      <c r="C419" s="70"/>
      <c r="D419" s="64"/>
      <c r="E419" s="65" t="s">
        <v>575</v>
      </c>
      <c r="F419" s="71" t="s">
        <v>1222</v>
      </c>
      <c r="G419" s="54" t="s">
        <v>1223</v>
      </c>
      <c r="H419" s="54" t="s">
        <v>1224</v>
      </c>
      <c r="I419" s="54" t="s">
        <v>1225</v>
      </c>
      <c r="J419" s="71" t="s">
        <v>113</v>
      </c>
      <c r="K419" s="56"/>
    </row>
    <row r="420" ht="12.75" customHeight="1">
      <c r="A420" s="69" t="s">
        <v>576</v>
      </c>
      <c r="B420" s="50">
        <v>45800.0</v>
      </c>
      <c r="C420" s="70"/>
      <c r="D420" s="64"/>
      <c r="E420" s="65" t="s">
        <v>577</v>
      </c>
      <c r="F420" s="71" t="s">
        <v>1226</v>
      </c>
      <c r="G420" s="54" t="s">
        <v>1227</v>
      </c>
      <c r="H420" s="54" t="s">
        <v>1228</v>
      </c>
      <c r="I420" s="54" t="s">
        <v>1229</v>
      </c>
      <c r="J420" s="71" t="s">
        <v>113</v>
      </c>
      <c r="K420" s="56"/>
    </row>
    <row r="421" ht="12.75" customHeight="1">
      <c r="A421" s="69" t="s">
        <v>578</v>
      </c>
      <c r="B421" s="50">
        <v>45800.0</v>
      </c>
      <c r="C421" s="70"/>
      <c r="D421" s="64"/>
      <c r="E421" s="65" t="s">
        <v>579</v>
      </c>
      <c r="F421" s="71" t="s">
        <v>1230</v>
      </c>
      <c r="G421" s="54" t="s">
        <v>1231</v>
      </c>
      <c r="H421" s="54" t="s">
        <v>1232</v>
      </c>
      <c r="I421" s="54" t="s">
        <v>1233</v>
      </c>
      <c r="J421" s="71" t="s">
        <v>113</v>
      </c>
      <c r="K421" s="56"/>
    </row>
    <row r="422" ht="12.75" customHeight="1">
      <c r="A422" s="69" t="s">
        <v>580</v>
      </c>
      <c r="B422" s="50">
        <v>45801.0</v>
      </c>
      <c r="C422" s="70"/>
      <c r="D422" s="64"/>
      <c r="E422" s="65" t="s">
        <v>581</v>
      </c>
      <c r="F422" s="71" t="s">
        <v>1234</v>
      </c>
      <c r="G422" s="54" t="s">
        <v>1235</v>
      </c>
      <c r="H422" s="54" t="s">
        <v>1236</v>
      </c>
      <c r="I422" s="54" t="s">
        <v>1237</v>
      </c>
      <c r="J422" s="71" t="s">
        <v>113</v>
      </c>
      <c r="K422" s="56"/>
    </row>
    <row r="423" ht="12.75" customHeight="1">
      <c r="A423" s="69" t="s">
        <v>582</v>
      </c>
      <c r="B423" s="50">
        <v>45801.0</v>
      </c>
      <c r="C423" s="70"/>
      <c r="D423" s="64"/>
      <c r="E423" s="65" t="s">
        <v>583</v>
      </c>
      <c r="F423" s="71" t="s">
        <v>1238</v>
      </c>
      <c r="G423" s="54" t="s">
        <v>1239</v>
      </c>
      <c r="H423" s="54" t="s">
        <v>1240</v>
      </c>
      <c r="I423" s="54" t="s">
        <v>1241</v>
      </c>
      <c r="J423" s="71" t="s">
        <v>113</v>
      </c>
      <c r="K423" s="56"/>
    </row>
    <row r="424" ht="12.75" customHeight="1">
      <c r="A424" s="69" t="s">
        <v>584</v>
      </c>
      <c r="B424" s="50">
        <v>45801.0</v>
      </c>
      <c r="C424" s="70"/>
      <c r="D424" s="64"/>
      <c r="E424" s="65" t="s">
        <v>585</v>
      </c>
      <c r="F424" s="71" t="s">
        <v>1242</v>
      </c>
      <c r="G424" s="54" t="s">
        <v>1243</v>
      </c>
      <c r="H424" s="54" t="s">
        <v>1244</v>
      </c>
      <c r="I424" s="54" t="s">
        <v>1245</v>
      </c>
      <c r="J424" s="71" t="s">
        <v>113</v>
      </c>
      <c r="K424" s="56"/>
    </row>
    <row r="425" ht="12.75" customHeight="1">
      <c r="A425" s="69" t="s">
        <v>586</v>
      </c>
      <c r="B425" s="50">
        <v>45801.0</v>
      </c>
      <c r="C425" s="70"/>
      <c r="D425" s="64"/>
      <c r="E425" s="65" t="s">
        <v>587</v>
      </c>
      <c r="F425" s="71" t="s">
        <v>1246</v>
      </c>
      <c r="G425" s="54" t="s">
        <v>1247</v>
      </c>
      <c r="H425" s="54" t="s">
        <v>1248</v>
      </c>
      <c r="I425" s="54" t="s">
        <v>1249</v>
      </c>
      <c r="J425" s="71" t="s">
        <v>113</v>
      </c>
      <c r="K425" s="56"/>
    </row>
    <row r="426" ht="12.75" customHeight="1">
      <c r="A426" s="69" t="s">
        <v>1250</v>
      </c>
      <c r="B426" s="50">
        <v>45804.0</v>
      </c>
      <c r="C426" s="70"/>
      <c r="D426" s="64"/>
      <c r="E426" s="65" t="s">
        <v>1251</v>
      </c>
      <c r="F426" s="71" t="s">
        <v>1252</v>
      </c>
      <c r="G426" s="57"/>
      <c r="H426" s="54" t="s">
        <v>1253</v>
      </c>
      <c r="I426" s="54" t="s">
        <v>1254</v>
      </c>
      <c r="J426" s="71" t="s">
        <v>113</v>
      </c>
      <c r="K426" s="56"/>
    </row>
    <row r="427" ht="12.75" customHeight="1">
      <c r="A427" s="69" t="s">
        <v>1255</v>
      </c>
      <c r="B427" s="50">
        <v>45804.0</v>
      </c>
      <c r="C427" s="70"/>
      <c r="D427" s="64"/>
      <c r="E427" s="65" t="s">
        <v>1256</v>
      </c>
      <c r="F427" s="71" t="s">
        <v>1257</v>
      </c>
      <c r="G427" s="54" t="s">
        <v>1258</v>
      </c>
      <c r="H427" s="54" t="s">
        <v>1259</v>
      </c>
      <c r="I427" s="54" t="s">
        <v>1260</v>
      </c>
      <c r="J427" s="71" t="s">
        <v>113</v>
      </c>
      <c r="K427" s="56"/>
    </row>
    <row r="428" ht="12.75" customHeight="1">
      <c r="A428" s="69" t="s">
        <v>1261</v>
      </c>
      <c r="B428" s="50">
        <v>45804.0</v>
      </c>
      <c r="C428" s="70"/>
      <c r="D428" s="64"/>
      <c r="E428" s="65" t="s">
        <v>1262</v>
      </c>
      <c r="F428" s="71" t="s">
        <v>1263</v>
      </c>
      <c r="G428" s="57"/>
      <c r="H428" s="54" t="s">
        <v>1264</v>
      </c>
      <c r="I428" s="54" t="s">
        <v>1265</v>
      </c>
      <c r="J428" s="71" t="s">
        <v>113</v>
      </c>
      <c r="K428" s="56"/>
    </row>
    <row r="429" ht="12.75" customHeight="1">
      <c r="A429" s="69" t="s">
        <v>1266</v>
      </c>
      <c r="B429" s="50">
        <v>45804.0</v>
      </c>
      <c r="C429" s="70"/>
      <c r="D429" s="64"/>
      <c r="E429" s="65" t="s">
        <v>1267</v>
      </c>
      <c r="F429" s="71" t="s">
        <v>1268</v>
      </c>
      <c r="G429" s="57"/>
      <c r="H429" s="54" t="s">
        <v>1269</v>
      </c>
      <c r="I429" s="54" t="s">
        <v>1270</v>
      </c>
      <c r="J429" s="71" t="s">
        <v>113</v>
      </c>
      <c r="K429" s="56"/>
    </row>
    <row r="430" ht="12.75" customHeight="1">
      <c r="A430" s="69" t="s">
        <v>1271</v>
      </c>
      <c r="B430" s="50">
        <v>45804.0</v>
      </c>
      <c r="C430" s="70"/>
      <c r="D430" s="64"/>
      <c r="E430" s="65" t="s">
        <v>1272</v>
      </c>
      <c r="F430" s="71" t="s">
        <v>1273</v>
      </c>
      <c r="G430" s="57"/>
      <c r="H430" s="54" t="s">
        <v>1274</v>
      </c>
      <c r="I430" s="54" t="s">
        <v>1275</v>
      </c>
      <c r="J430" s="71" t="s">
        <v>113</v>
      </c>
      <c r="K430" s="56"/>
    </row>
    <row r="431" ht="12.75" customHeight="1">
      <c r="A431" s="69" t="s">
        <v>1276</v>
      </c>
      <c r="B431" s="50">
        <v>45804.0</v>
      </c>
      <c r="C431" s="70"/>
      <c r="D431" s="64"/>
      <c r="E431" s="65" t="s">
        <v>1277</v>
      </c>
      <c r="F431" s="71" t="s">
        <v>1278</v>
      </c>
      <c r="G431" s="54">
        <v>420.804</v>
      </c>
      <c r="H431" s="54">
        <v>844.365</v>
      </c>
      <c r="I431" s="54" t="s">
        <v>1279</v>
      </c>
      <c r="J431" s="71" t="s">
        <v>113</v>
      </c>
      <c r="K431" s="56"/>
    </row>
    <row r="432" ht="12.75" customHeight="1">
      <c r="A432" s="69" t="s">
        <v>613</v>
      </c>
      <c r="B432" s="50">
        <v>45805.0</v>
      </c>
      <c r="C432" s="70"/>
      <c r="D432" s="64"/>
      <c r="E432" s="65" t="s">
        <v>614</v>
      </c>
      <c r="F432" s="71" t="s">
        <v>399</v>
      </c>
      <c r="G432" s="54" t="s">
        <v>400</v>
      </c>
      <c r="H432" s="54" t="s">
        <v>401</v>
      </c>
      <c r="I432" s="54" t="s">
        <v>402</v>
      </c>
      <c r="J432" s="71" t="e">
        <v>#N/A</v>
      </c>
      <c r="K432" s="56"/>
    </row>
    <row r="433" ht="12.75" customHeight="1">
      <c r="A433" s="69" t="s">
        <v>1280</v>
      </c>
      <c r="B433" s="50">
        <v>45805.0</v>
      </c>
      <c r="C433" s="70"/>
      <c r="D433" s="64"/>
      <c r="E433" s="65" t="s">
        <v>1281</v>
      </c>
      <c r="F433" s="71" t="s">
        <v>1282</v>
      </c>
      <c r="G433" s="57"/>
      <c r="H433" s="54" t="s">
        <v>1283</v>
      </c>
      <c r="I433" s="54" t="s">
        <v>1284</v>
      </c>
      <c r="J433" s="71" t="s">
        <v>113</v>
      </c>
      <c r="K433" s="56"/>
    </row>
    <row r="434" ht="12.75" customHeight="1">
      <c r="A434" s="69" t="s">
        <v>1285</v>
      </c>
      <c r="B434" s="50">
        <v>45805.0</v>
      </c>
      <c r="C434" s="70"/>
      <c r="D434" s="64"/>
      <c r="E434" s="65" t="s">
        <v>1286</v>
      </c>
      <c r="F434" s="71" t="s">
        <v>1287</v>
      </c>
      <c r="G434" s="57"/>
      <c r="H434" s="54" t="s">
        <v>1288</v>
      </c>
      <c r="I434" s="54" t="s">
        <v>1289</v>
      </c>
      <c r="J434" s="71" t="s">
        <v>113</v>
      </c>
      <c r="K434" s="56"/>
    </row>
    <row r="435" ht="12.75" customHeight="1">
      <c r="A435" s="69" t="s">
        <v>1290</v>
      </c>
      <c r="B435" s="50">
        <v>45805.0</v>
      </c>
      <c r="C435" s="70"/>
      <c r="D435" s="64"/>
      <c r="E435" s="65" t="s">
        <v>1291</v>
      </c>
      <c r="F435" s="71" t="s">
        <v>1292</v>
      </c>
      <c r="G435" s="57"/>
      <c r="H435" s="54">
        <v>345.455</v>
      </c>
      <c r="I435" s="54" t="s">
        <v>1293</v>
      </c>
      <c r="J435" s="71" t="e">
        <v>#N/A</v>
      </c>
      <c r="K435" s="56"/>
    </row>
    <row r="436" ht="12.75" customHeight="1">
      <c r="A436" s="69" t="s">
        <v>1294</v>
      </c>
      <c r="B436" s="50">
        <v>45805.0</v>
      </c>
      <c r="C436" s="70"/>
      <c r="D436" s="64"/>
      <c r="E436" s="65" t="s">
        <v>1295</v>
      </c>
      <c r="F436" s="71">
        <v>942.318</v>
      </c>
      <c r="G436" s="57"/>
      <c r="H436" s="54">
        <v>103.655</v>
      </c>
      <c r="I436" s="54" t="s">
        <v>1296</v>
      </c>
      <c r="J436" s="71" t="s">
        <v>113</v>
      </c>
      <c r="K436" s="56"/>
    </row>
    <row r="437" ht="12.75" customHeight="1">
      <c r="A437" s="69" t="s">
        <v>1297</v>
      </c>
      <c r="B437" s="50">
        <v>45805.0</v>
      </c>
      <c r="C437" s="70"/>
      <c r="D437" s="64"/>
      <c r="E437" s="65" t="s">
        <v>1298</v>
      </c>
      <c r="F437" s="71" t="s">
        <v>1299</v>
      </c>
      <c r="G437" s="57"/>
      <c r="H437" s="54" t="s">
        <v>1300</v>
      </c>
      <c r="I437" s="54" t="s">
        <v>1301</v>
      </c>
      <c r="J437" s="71" t="s">
        <v>113</v>
      </c>
      <c r="K437" s="56"/>
    </row>
    <row r="438" ht="12.75" customHeight="1">
      <c r="A438" s="69" t="s">
        <v>1302</v>
      </c>
      <c r="B438" s="50">
        <v>45805.0</v>
      </c>
      <c r="C438" s="70"/>
      <c r="D438" s="64"/>
      <c r="E438" s="65" t="s">
        <v>1303</v>
      </c>
      <c r="F438" s="71" t="s">
        <v>1304</v>
      </c>
      <c r="G438" s="57"/>
      <c r="H438" s="54">
        <v>146.992</v>
      </c>
      <c r="I438" s="54" t="s">
        <v>1305</v>
      </c>
      <c r="J438" s="71" t="s">
        <v>113</v>
      </c>
      <c r="K438" s="56"/>
    </row>
    <row r="439" ht="12.75" customHeight="1">
      <c r="A439" s="69" t="s">
        <v>638</v>
      </c>
      <c r="B439" s="50">
        <v>45694.0</v>
      </c>
      <c r="C439" s="70"/>
      <c r="D439" s="64"/>
      <c r="E439" s="65" t="s">
        <v>639</v>
      </c>
      <c r="F439" s="71" t="s">
        <v>1306</v>
      </c>
      <c r="G439" s="54" t="s">
        <v>1307</v>
      </c>
      <c r="H439" s="54" t="s">
        <v>1308</v>
      </c>
      <c r="I439" s="54" t="s">
        <v>1309</v>
      </c>
      <c r="J439" s="71" t="s">
        <v>113</v>
      </c>
      <c r="K439" s="56"/>
    </row>
    <row r="440" ht="12.75" customHeight="1">
      <c r="A440" s="69" t="s">
        <v>640</v>
      </c>
      <c r="B440" s="50">
        <v>45694.0</v>
      </c>
      <c r="C440" s="70"/>
      <c r="D440" s="64"/>
      <c r="E440" s="65" t="s">
        <v>641</v>
      </c>
      <c r="F440" s="71" t="s">
        <v>710</v>
      </c>
      <c r="G440" s="54" t="s">
        <v>711</v>
      </c>
      <c r="H440" s="54" t="s">
        <v>712</v>
      </c>
      <c r="I440" s="54" t="s">
        <v>713</v>
      </c>
      <c r="J440" s="71" t="s">
        <v>113</v>
      </c>
      <c r="K440" s="56"/>
    </row>
    <row r="441" ht="12.75" customHeight="1">
      <c r="A441" s="69" t="s">
        <v>642</v>
      </c>
      <c r="B441" s="50">
        <v>45694.0</v>
      </c>
      <c r="C441" s="70"/>
      <c r="D441" s="64"/>
      <c r="E441" s="65" t="s">
        <v>643</v>
      </c>
      <c r="F441" s="71" t="s">
        <v>1310</v>
      </c>
      <c r="G441" s="54" t="s">
        <v>1311</v>
      </c>
      <c r="H441" s="54" t="s">
        <v>1312</v>
      </c>
      <c r="I441" s="54" t="s">
        <v>1313</v>
      </c>
      <c r="J441" s="71" t="s">
        <v>113</v>
      </c>
      <c r="K441" s="56"/>
    </row>
    <row r="442" ht="12.75" customHeight="1">
      <c r="A442" s="69" t="s">
        <v>1314</v>
      </c>
      <c r="B442" s="50">
        <v>45694.0</v>
      </c>
      <c r="C442" s="70"/>
      <c r="D442" s="64"/>
      <c r="E442" s="65" t="s">
        <v>1315</v>
      </c>
      <c r="F442" s="71" t="s">
        <v>1316</v>
      </c>
      <c r="G442" s="54" t="s">
        <v>1317</v>
      </c>
      <c r="H442" s="54" t="s">
        <v>1318</v>
      </c>
      <c r="I442" s="54" t="s">
        <v>1319</v>
      </c>
      <c r="J442" s="71" t="s">
        <v>113</v>
      </c>
      <c r="K442" s="56"/>
    </row>
    <row r="443" ht="12.75" customHeight="1">
      <c r="A443" s="69" t="s">
        <v>649</v>
      </c>
      <c r="B443" s="50">
        <v>45694.0</v>
      </c>
      <c r="C443" s="70"/>
      <c r="D443" s="52" t="e">
        <v>#N/A</v>
      </c>
      <c r="E443" s="65" t="s">
        <v>650</v>
      </c>
      <c r="F443" s="71" t="s">
        <v>1320</v>
      </c>
      <c r="G443" s="54" t="s">
        <v>1321</v>
      </c>
      <c r="H443" s="54" t="s">
        <v>1322</v>
      </c>
      <c r="I443" s="54" t="s">
        <v>1323</v>
      </c>
      <c r="J443" s="71" t="s">
        <v>113</v>
      </c>
      <c r="K443" s="56"/>
    </row>
    <row r="444" ht="12.75" customHeight="1">
      <c r="A444" s="69" t="s">
        <v>651</v>
      </c>
      <c r="B444" s="50">
        <v>45694.0</v>
      </c>
      <c r="C444" s="70"/>
      <c r="D444" s="52" t="e">
        <v>#N/A</v>
      </c>
      <c r="E444" s="65" t="s">
        <v>652</v>
      </c>
      <c r="F444" s="71" t="s">
        <v>471</v>
      </c>
      <c r="G444" s="54" t="s">
        <v>472</v>
      </c>
      <c r="H444" s="54" t="s">
        <v>473</v>
      </c>
      <c r="I444" s="54" t="s">
        <v>474</v>
      </c>
      <c r="J444" s="71" t="s">
        <v>113</v>
      </c>
      <c r="K444" s="56"/>
    </row>
    <row r="445" ht="12.75" customHeight="1">
      <c r="A445" s="69" t="s">
        <v>653</v>
      </c>
      <c r="B445" s="50">
        <v>45694.0</v>
      </c>
      <c r="C445" s="70"/>
      <c r="D445" s="52" t="e">
        <v>#N/A</v>
      </c>
      <c r="E445" s="65" t="s">
        <v>654</v>
      </c>
      <c r="F445" s="71" t="s">
        <v>1324</v>
      </c>
      <c r="G445" s="54" t="s">
        <v>1325</v>
      </c>
      <c r="H445" s="54" t="s">
        <v>1326</v>
      </c>
      <c r="I445" s="54" t="s">
        <v>1327</v>
      </c>
      <c r="J445" s="71" t="s">
        <v>113</v>
      </c>
      <c r="K445" s="56"/>
    </row>
    <row r="446" ht="12.75" customHeight="1">
      <c r="A446" s="69" t="s">
        <v>1328</v>
      </c>
      <c r="B446" s="50">
        <v>45722.0</v>
      </c>
      <c r="C446" s="70"/>
      <c r="D446" s="52" t="e">
        <v>#N/A</v>
      </c>
      <c r="E446" s="65" t="s">
        <v>1329</v>
      </c>
      <c r="F446" s="71" t="s">
        <v>1330</v>
      </c>
      <c r="G446" s="54" t="s">
        <v>1331</v>
      </c>
      <c r="H446" s="54" t="s">
        <v>1332</v>
      </c>
      <c r="I446" s="54" t="s">
        <v>1333</v>
      </c>
      <c r="J446" s="71" t="s">
        <v>113</v>
      </c>
      <c r="K446" s="56"/>
    </row>
    <row r="447" ht="12.75" customHeight="1">
      <c r="A447" s="69" t="s">
        <v>660</v>
      </c>
      <c r="B447" s="50">
        <v>45753.0</v>
      </c>
      <c r="C447" s="70"/>
      <c r="D447" s="52" t="e">
        <v>#N/A</v>
      </c>
      <c r="E447" s="65" t="s">
        <v>1334</v>
      </c>
      <c r="F447" s="71" t="s">
        <v>1335</v>
      </c>
      <c r="G447" s="57"/>
      <c r="H447" s="54" t="s">
        <v>1336</v>
      </c>
      <c r="I447" s="54" t="s">
        <v>1337</v>
      </c>
      <c r="J447" s="71" t="s">
        <v>113</v>
      </c>
      <c r="K447" s="56"/>
    </row>
    <row r="448" ht="12.75" customHeight="1">
      <c r="A448" s="69" t="s">
        <v>662</v>
      </c>
      <c r="B448" s="50">
        <v>45753.0</v>
      </c>
      <c r="C448" s="70"/>
      <c r="D448" s="64"/>
      <c r="E448" s="65" t="s">
        <v>663</v>
      </c>
      <c r="F448" s="71" t="s">
        <v>1338</v>
      </c>
      <c r="G448" s="54" t="s">
        <v>1339</v>
      </c>
      <c r="H448" s="54" t="s">
        <v>1340</v>
      </c>
      <c r="I448" s="54" t="s">
        <v>1341</v>
      </c>
      <c r="J448" s="71" t="s">
        <v>113</v>
      </c>
      <c r="K448" s="56"/>
    </row>
    <row r="449" ht="12.75" customHeight="1">
      <c r="A449" s="69" t="s">
        <v>664</v>
      </c>
      <c r="B449" s="50">
        <v>45753.0</v>
      </c>
      <c r="C449" s="70"/>
      <c r="D449" s="64"/>
      <c r="E449" s="65" t="s">
        <v>665</v>
      </c>
      <c r="F449" s="71" t="s">
        <v>1342</v>
      </c>
      <c r="G449" s="54" t="s">
        <v>1343</v>
      </c>
      <c r="H449" s="54" t="s">
        <v>1344</v>
      </c>
      <c r="I449" s="54" t="s">
        <v>1345</v>
      </c>
      <c r="J449" s="71" t="s">
        <v>113</v>
      </c>
      <c r="K449" s="56"/>
    </row>
    <row r="450" ht="12.75" customHeight="1">
      <c r="A450" s="69" t="s">
        <v>666</v>
      </c>
      <c r="B450" s="50">
        <v>45753.0</v>
      </c>
      <c r="C450" s="70"/>
      <c r="D450" s="64"/>
      <c r="E450" s="65" t="s">
        <v>667</v>
      </c>
      <c r="F450" s="71" t="s">
        <v>1346</v>
      </c>
      <c r="G450" s="54" t="s">
        <v>1347</v>
      </c>
      <c r="H450" s="54" t="s">
        <v>1348</v>
      </c>
      <c r="I450" s="54" t="s">
        <v>1349</v>
      </c>
      <c r="J450" s="71" t="s">
        <v>113</v>
      </c>
      <c r="K450" s="56"/>
    </row>
    <row r="451" ht="12.75" customHeight="1">
      <c r="A451" s="69" t="s">
        <v>668</v>
      </c>
      <c r="B451" s="50">
        <v>45753.0</v>
      </c>
      <c r="C451" s="70"/>
      <c r="D451" s="64"/>
      <c r="E451" s="65" t="s">
        <v>669</v>
      </c>
      <c r="F451" s="71" t="s">
        <v>1350</v>
      </c>
      <c r="G451" s="54" t="s">
        <v>1351</v>
      </c>
      <c r="H451" s="54" t="s">
        <v>1352</v>
      </c>
      <c r="I451" s="54" t="s">
        <v>1353</v>
      </c>
      <c r="J451" s="71" t="s">
        <v>113</v>
      </c>
      <c r="K451" s="56"/>
    </row>
    <row r="452" ht="12.75" customHeight="1">
      <c r="A452" s="69" t="s">
        <v>670</v>
      </c>
      <c r="B452" s="50">
        <v>45783.0</v>
      </c>
      <c r="C452" s="70"/>
      <c r="D452" s="64"/>
      <c r="E452" s="65" t="s">
        <v>671</v>
      </c>
      <c r="F452" s="71" t="s">
        <v>1354</v>
      </c>
      <c r="G452" s="54">
        <v>458.443</v>
      </c>
      <c r="H452" s="54" t="s">
        <v>1355</v>
      </c>
      <c r="I452" s="54" t="s">
        <v>1356</v>
      </c>
      <c r="J452" s="71" t="e">
        <v>#N/A</v>
      </c>
      <c r="K452" s="56"/>
    </row>
    <row r="453" ht="12.75" customHeight="1">
      <c r="A453" s="69" t="s">
        <v>672</v>
      </c>
      <c r="B453" s="50">
        <v>45783.0</v>
      </c>
      <c r="C453" s="70"/>
      <c r="D453" s="64"/>
      <c r="E453" s="65" t="s">
        <v>673</v>
      </c>
      <c r="F453" s="71" t="s">
        <v>1357</v>
      </c>
      <c r="G453" s="54">
        <v>446.384</v>
      </c>
      <c r="H453" s="54">
        <v>975.559</v>
      </c>
      <c r="I453" s="54" t="s">
        <v>1358</v>
      </c>
      <c r="J453" s="71" t="s">
        <v>113</v>
      </c>
      <c r="K453" s="56"/>
    </row>
    <row r="454" ht="12.75" customHeight="1">
      <c r="A454" s="69" t="s">
        <v>1359</v>
      </c>
      <c r="B454" s="50">
        <v>45936.0</v>
      </c>
      <c r="C454" s="70"/>
      <c r="D454" s="64"/>
      <c r="E454" s="65" t="s">
        <v>1360</v>
      </c>
      <c r="F454" s="71" t="s">
        <v>1016</v>
      </c>
      <c r="G454" s="54" t="s">
        <v>1017</v>
      </c>
      <c r="H454" s="54" t="s">
        <v>298</v>
      </c>
      <c r="I454" s="54" t="s">
        <v>299</v>
      </c>
      <c r="J454" s="71" t="s">
        <v>113</v>
      </c>
      <c r="K454" s="56"/>
    </row>
    <row r="455" ht="12.75" customHeight="1">
      <c r="A455" s="69" t="s">
        <v>679</v>
      </c>
      <c r="B455" s="50">
        <v>45936.0</v>
      </c>
      <c r="C455" s="70"/>
      <c r="D455" s="64"/>
      <c r="E455" s="65" t="s">
        <v>680</v>
      </c>
      <c r="F455" s="71" t="s">
        <v>430</v>
      </c>
      <c r="G455" s="54" t="s">
        <v>431</v>
      </c>
      <c r="H455" s="54" t="s">
        <v>432</v>
      </c>
      <c r="I455" s="54" t="s">
        <v>433</v>
      </c>
      <c r="J455" s="71" t="s">
        <v>113</v>
      </c>
      <c r="K455" s="56"/>
    </row>
    <row r="456" ht="12.75" customHeight="1">
      <c r="A456" s="69" t="s">
        <v>1361</v>
      </c>
      <c r="B456" s="50">
        <v>45936.0</v>
      </c>
      <c r="C456" s="70"/>
      <c r="D456" s="64"/>
      <c r="E456" s="65" t="s">
        <v>1362</v>
      </c>
      <c r="F456" s="71" t="s">
        <v>1363</v>
      </c>
      <c r="G456" s="54" t="s">
        <v>1364</v>
      </c>
      <c r="H456" s="54" t="s">
        <v>1365</v>
      </c>
      <c r="I456" s="54" t="s">
        <v>1366</v>
      </c>
      <c r="J456" s="71" t="s">
        <v>113</v>
      </c>
      <c r="K456" s="56"/>
    </row>
    <row r="457" ht="12.75" customHeight="1">
      <c r="A457" s="69" t="s">
        <v>1367</v>
      </c>
      <c r="B457" s="50">
        <v>45997.0</v>
      </c>
      <c r="C457" s="70"/>
      <c r="D457" s="64"/>
      <c r="E457" s="65" t="s">
        <v>1368</v>
      </c>
      <c r="F457" s="71" t="s">
        <v>1130</v>
      </c>
      <c r="G457" s="54" t="s">
        <v>1131</v>
      </c>
      <c r="H457" s="54" t="s">
        <v>1132</v>
      </c>
      <c r="I457" s="54" t="s">
        <v>1133</v>
      </c>
      <c r="J457" s="71" t="s">
        <v>113</v>
      </c>
      <c r="K457" s="56"/>
    </row>
    <row r="458" ht="12.75" customHeight="1">
      <c r="A458" s="69" t="s">
        <v>1369</v>
      </c>
      <c r="B458" s="50">
        <v>45997.0</v>
      </c>
      <c r="C458" s="70"/>
      <c r="D458" s="64"/>
      <c r="E458" s="65" t="s">
        <v>1370</v>
      </c>
      <c r="F458" s="71" t="s">
        <v>1148</v>
      </c>
      <c r="G458" s="54">
        <v>646.268</v>
      </c>
      <c r="H458" s="54" t="s">
        <v>1149</v>
      </c>
      <c r="I458" s="54" t="s">
        <v>1150</v>
      </c>
      <c r="J458" s="71" t="s">
        <v>113</v>
      </c>
      <c r="K458" s="56"/>
    </row>
    <row r="459" ht="12.75" customHeight="1">
      <c r="A459" s="69" t="s">
        <v>1371</v>
      </c>
      <c r="B459" s="50">
        <v>45997.0</v>
      </c>
      <c r="C459" s="70"/>
      <c r="D459" s="64"/>
      <c r="E459" s="65" t="s">
        <v>1372</v>
      </c>
      <c r="F459" s="71" t="s">
        <v>1373</v>
      </c>
      <c r="G459" s="54" t="s">
        <v>1374</v>
      </c>
      <c r="H459" s="54" t="s">
        <v>1375</v>
      </c>
      <c r="I459" s="54" t="s">
        <v>1376</v>
      </c>
      <c r="J459" s="71" t="s">
        <v>113</v>
      </c>
      <c r="K459" s="56"/>
    </row>
    <row r="460" ht="12.75" customHeight="1">
      <c r="A460" s="69" t="s">
        <v>1377</v>
      </c>
      <c r="B460" s="50">
        <v>45997.0</v>
      </c>
      <c r="C460" s="70"/>
      <c r="D460" s="64"/>
      <c r="E460" s="65" t="s">
        <v>1378</v>
      </c>
      <c r="F460" s="71" t="s">
        <v>1148</v>
      </c>
      <c r="G460" s="54">
        <v>646.268</v>
      </c>
      <c r="H460" s="54" t="s">
        <v>1149</v>
      </c>
      <c r="I460" s="54" t="s">
        <v>1150</v>
      </c>
      <c r="J460" s="71" t="s">
        <v>113</v>
      </c>
      <c r="K460" s="56"/>
    </row>
    <row r="461" ht="12.75" customHeight="1">
      <c r="A461" s="69" t="s">
        <v>1379</v>
      </c>
      <c r="B461" s="50">
        <v>45997.0</v>
      </c>
      <c r="C461" s="70"/>
      <c r="D461" s="64"/>
      <c r="E461" s="65" t="s">
        <v>1380</v>
      </c>
      <c r="F461" s="71" t="s">
        <v>1156</v>
      </c>
      <c r="G461" s="54">
        <v>612.781</v>
      </c>
      <c r="H461" s="54">
        <v>966.152</v>
      </c>
      <c r="I461" s="54" t="s">
        <v>1157</v>
      </c>
      <c r="J461" s="71" t="s">
        <v>113</v>
      </c>
      <c r="K461" s="56"/>
    </row>
    <row r="462" ht="12.75" customHeight="1">
      <c r="A462" s="69" t="s">
        <v>695</v>
      </c>
      <c r="B462" s="11" t="s">
        <v>1381</v>
      </c>
      <c r="C462" s="70"/>
      <c r="D462" s="64"/>
      <c r="E462" s="65" t="s">
        <v>696</v>
      </c>
      <c r="F462" s="71" t="s">
        <v>1382</v>
      </c>
      <c r="G462" s="57"/>
      <c r="H462" s="57"/>
      <c r="I462" s="54" t="s">
        <v>1382</v>
      </c>
      <c r="J462" s="71" t="s">
        <v>113</v>
      </c>
      <c r="K462" s="56"/>
    </row>
    <row r="463" ht="12.75" customHeight="1">
      <c r="A463" s="69" t="s">
        <v>697</v>
      </c>
      <c r="B463" s="11" t="s">
        <v>1381</v>
      </c>
      <c r="C463" s="70"/>
      <c r="D463" s="64"/>
      <c r="E463" s="65" t="s">
        <v>698</v>
      </c>
      <c r="F463" s="71" t="s">
        <v>1383</v>
      </c>
      <c r="G463" s="57"/>
      <c r="H463" s="54">
        <v>152.737</v>
      </c>
      <c r="I463" s="54" t="s">
        <v>1384</v>
      </c>
      <c r="J463" s="71" t="s">
        <v>113</v>
      </c>
      <c r="K463" s="56"/>
    </row>
    <row r="464" ht="12.75" customHeight="1">
      <c r="A464" s="69" t="s">
        <v>699</v>
      </c>
      <c r="B464" s="11" t="s">
        <v>1381</v>
      </c>
      <c r="C464" s="70"/>
      <c r="D464" s="64"/>
      <c r="E464" s="65" t="s">
        <v>1385</v>
      </c>
      <c r="F464" s="71" t="s">
        <v>1386</v>
      </c>
      <c r="G464" s="54" t="s">
        <v>1387</v>
      </c>
      <c r="H464" s="54" t="s">
        <v>1388</v>
      </c>
      <c r="I464" s="54" t="s">
        <v>1389</v>
      </c>
      <c r="J464" s="71" t="s">
        <v>113</v>
      </c>
      <c r="K464" s="56"/>
    </row>
    <row r="465" ht="12.75" customHeight="1">
      <c r="A465" s="69" t="s">
        <v>1390</v>
      </c>
      <c r="B465" s="11" t="s">
        <v>1381</v>
      </c>
      <c r="C465" s="70"/>
      <c r="D465" s="64"/>
      <c r="E465" s="65" t="s">
        <v>1385</v>
      </c>
      <c r="F465" s="71" t="s">
        <v>1391</v>
      </c>
      <c r="G465" s="57"/>
      <c r="H465" s="54">
        <v>667.572</v>
      </c>
      <c r="I465" s="54" t="s">
        <v>1392</v>
      </c>
      <c r="J465" s="71" t="s">
        <v>113</v>
      </c>
      <c r="K465" s="56"/>
    </row>
    <row r="466" ht="12.75" customHeight="1">
      <c r="A466" s="69" t="s">
        <v>701</v>
      </c>
      <c r="B466" s="11" t="s">
        <v>1381</v>
      </c>
      <c r="C466" s="70"/>
      <c r="D466" s="64"/>
      <c r="E466" s="65" t="s">
        <v>702</v>
      </c>
      <c r="F466" s="71">
        <v>364.13</v>
      </c>
      <c r="G466" s="57"/>
      <c r="H466" s="54">
        <v>40.054</v>
      </c>
      <c r="I466" s="54">
        <v>404.184</v>
      </c>
      <c r="J466" s="71" t="s">
        <v>113</v>
      </c>
      <c r="K466" s="56"/>
    </row>
    <row r="467" ht="12.75" customHeight="1">
      <c r="A467" s="69" t="s">
        <v>1393</v>
      </c>
      <c r="B467" s="66"/>
      <c r="C467" s="70"/>
      <c r="D467" s="52" t="s">
        <v>1394</v>
      </c>
      <c r="E467" s="72"/>
      <c r="F467" s="73"/>
      <c r="G467" s="57"/>
      <c r="H467" s="54">
        <v>0.0</v>
      </c>
      <c r="I467" s="54">
        <v>0.0</v>
      </c>
      <c r="J467" s="71" t="s">
        <v>113</v>
      </c>
      <c r="K467" s="56"/>
    </row>
    <row r="468" ht="12.75" customHeight="1">
      <c r="A468" s="69" t="s">
        <v>707</v>
      </c>
      <c r="B468" s="11" t="s">
        <v>1395</v>
      </c>
      <c r="C468" s="70"/>
      <c r="D468" s="64"/>
      <c r="E468" s="65" t="s">
        <v>709</v>
      </c>
      <c r="F468" s="71" t="s">
        <v>1396</v>
      </c>
      <c r="G468" s="57"/>
      <c r="H468" s="54" t="s">
        <v>1397</v>
      </c>
      <c r="I468" s="54" t="s">
        <v>1398</v>
      </c>
      <c r="J468" s="71" t="s">
        <v>113</v>
      </c>
      <c r="K468" s="56"/>
    </row>
    <row r="469" ht="12.75" customHeight="1">
      <c r="A469" s="69" t="s">
        <v>1399</v>
      </c>
      <c r="B469" s="11" t="s">
        <v>1395</v>
      </c>
      <c r="C469" s="70"/>
      <c r="D469" s="64"/>
      <c r="E469" s="65" t="s">
        <v>1251</v>
      </c>
      <c r="F469" s="71" t="s">
        <v>1252</v>
      </c>
      <c r="G469" s="57"/>
      <c r="H469" s="54" t="s">
        <v>1253</v>
      </c>
      <c r="I469" s="54" t="s">
        <v>1254</v>
      </c>
      <c r="J469" s="71" t="s">
        <v>113</v>
      </c>
      <c r="K469" s="56"/>
    </row>
    <row r="470" ht="12.75" customHeight="1">
      <c r="A470" s="69" t="s">
        <v>714</v>
      </c>
      <c r="B470" s="11" t="s">
        <v>1400</v>
      </c>
      <c r="C470" s="70"/>
      <c r="D470" s="64"/>
      <c r="E470" s="65" t="s">
        <v>715</v>
      </c>
      <c r="F470" s="71" t="s">
        <v>1401</v>
      </c>
      <c r="G470" s="54" t="s">
        <v>1402</v>
      </c>
      <c r="H470" s="54" t="s">
        <v>1403</v>
      </c>
      <c r="I470" s="54" t="s">
        <v>1404</v>
      </c>
      <c r="J470" s="71" t="s">
        <v>113</v>
      </c>
      <c r="K470" s="56"/>
    </row>
    <row r="471" ht="12.75" customHeight="1">
      <c r="A471" s="69" t="s">
        <v>716</v>
      </c>
      <c r="B471" s="11" t="s">
        <v>1400</v>
      </c>
      <c r="C471" s="70"/>
      <c r="D471" s="64"/>
      <c r="E471" s="65" t="s">
        <v>717</v>
      </c>
      <c r="F471" s="71" t="s">
        <v>1405</v>
      </c>
      <c r="G471" s="54" t="s">
        <v>1406</v>
      </c>
      <c r="H471" s="54" t="s">
        <v>1407</v>
      </c>
      <c r="I471" s="54" t="s">
        <v>1408</v>
      </c>
      <c r="J471" s="71" t="s">
        <v>113</v>
      </c>
      <c r="K471" s="56"/>
    </row>
    <row r="472" ht="12.75" customHeight="1">
      <c r="A472" s="69" t="s">
        <v>718</v>
      </c>
      <c r="B472" s="11" t="s">
        <v>1400</v>
      </c>
      <c r="C472" s="70"/>
      <c r="D472" s="64"/>
      <c r="E472" s="65" t="s">
        <v>719</v>
      </c>
      <c r="F472" s="71" t="s">
        <v>1409</v>
      </c>
      <c r="G472" s="54" t="s">
        <v>1410</v>
      </c>
      <c r="H472" s="54" t="s">
        <v>1411</v>
      </c>
      <c r="I472" s="54" t="s">
        <v>1412</v>
      </c>
      <c r="J472" s="71" t="s">
        <v>113</v>
      </c>
      <c r="K472" s="56"/>
    </row>
    <row r="473" ht="12.75" customHeight="1">
      <c r="A473" s="69" t="s">
        <v>720</v>
      </c>
      <c r="B473" s="50">
        <v>45664.0</v>
      </c>
      <c r="C473" s="70"/>
      <c r="D473" s="64"/>
      <c r="E473" s="65" t="s">
        <v>721</v>
      </c>
      <c r="F473" s="71" t="s">
        <v>399</v>
      </c>
      <c r="G473" s="57"/>
      <c r="H473" s="54" t="s">
        <v>1413</v>
      </c>
      <c r="I473" s="54" t="s">
        <v>1414</v>
      </c>
      <c r="J473" s="71" t="s">
        <v>113</v>
      </c>
      <c r="K473" s="56"/>
    </row>
    <row r="474" ht="12.75" customHeight="1">
      <c r="A474" s="69" t="s">
        <v>722</v>
      </c>
      <c r="B474" s="50">
        <v>45664.0</v>
      </c>
      <c r="C474" s="70"/>
      <c r="D474" s="64"/>
      <c r="E474" s="65" t="s">
        <v>723</v>
      </c>
      <c r="F474" s="71" t="s">
        <v>1415</v>
      </c>
      <c r="G474" s="57"/>
      <c r="H474" s="54">
        <v>0.0</v>
      </c>
      <c r="I474" s="54" t="s">
        <v>1415</v>
      </c>
      <c r="J474" s="71" t="s">
        <v>113</v>
      </c>
      <c r="K474" s="56"/>
    </row>
    <row r="475" ht="12.75" customHeight="1">
      <c r="A475" s="69" t="s">
        <v>724</v>
      </c>
      <c r="B475" s="50">
        <v>45664.0</v>
      </c>
      <c r="C475" s="70"/>
      <c r="D475" s="64"/>
      <c r="E475" s="65" t="s">
        <v>725</v>
      </c>
      <c r="F475" s="71" t="s">
        <v>1416</v>
      </c>
      <c r="G475" s="57"/>
      <c r="H475" s="54" t="s">
        <v>1417</v>
      </c>
      <c r="I475" s="54" t="s">
        <v>1418</v>
      </c>
      <c r="J475" s="71" t="s">
        <v>113</v>
      </c>
      <c r="K475" s="56"/>
    </row>
    <row r="476" ht="12.75" customHeight="1">
      <c r="A476" s="69" t="s">
        <v>726</v>
      </c>
      <c r="B476" s="50">
        <v>45664.0</v>
      </c>
      <c r="C476" s="70"/>
      <c r="D476" s="64"/>
      <c r="E476" s="65" t="s">
        <v>727</v>
      </c>
      <c r="F476" s="71" t="s">
        <v>1306</v>
      </c>
      <c r="G476" s="54" t="s">
        <v>1307</v>
      </c>
      <c r="H476" s="54" t="s">
        <v>1308</v>
      </c>
      <c r="I476" s="54" t="s">
        <v>1309</v>
      </c>
      <c r="J476" s="71" t="s">
        <v>113</v>
      </c>
      <c r="K476" s="56"/>
    </row>
    <row r="477" ht="12.75" customHeight="1">
      <c r="A477" s="69" t="s">
        <v>728</v>
      </c>
      <c r="B477" s="11" t="s">
        <v>50</v>
      </c>
      <c r="C477" s="70"/>
      <c r="D477" s="64"/>
      <c r="E477" s="65" t="s">
        <v>729</v>
      </c>
      <c r="F477" s="71" t="s">
        <v>1419</v>
      </c>
      <c r="G477" s="54" t="s">
        <v>1420</v>
      </c>
      <c r="H477" s="54" t="s">
        <v>1421</v>
      </c>
      <c r="I477" s="54" t="s">
        <v>1422</v>
      </c>
      <c r="J477" s="71" t="s">
        <v>113</v>
      </c>
      <c r="K477" s="56"/>
    </row>
    <row r="478" ht="12.75" customHeight="1">
      <c r="A478" s="69" t="s">
        <v>730</v>
      </c>
      <c r="B478" s="11" t="s">
        <v>50</v>
      </c>
      <c r="C478" s="70"/>
      <c r="D478" s="64"/>
      <c r="E478" s="65" t="s">
        <v>731</v>
      </c>
      <c r="F478" s="71" t="s">
        <v>1423</v>
      </c>
      <c r="G478" s="54" t="s">
        <v>1424</v>
      </c>
      <c r="H478" s="54" t="s">
        <v>1425</v>
      </c>
      <c r="I478" s="54" t="s">
        <v>1426</v>
      </c>
      <c r="J478" s="71" t="s">
        <v>113</v>
      </c>
      <c r="K478" s="56"/>
    </row>
    <row r="479" ht="12.75" customHeight="1">
      <c r="A479" s="69" t="s">
        <v>732</v>
      </c>
      <c r="B479" s="50">
        <v>45664.0</v>
      </c>
      <c r="C479" s="70"/>
      <c r="D479" s="64"/>
      <c r="E479" s="65" t="s">
        <v>733</v>
      </c>
      <c r="F479" s="71" t="s">
        <v>1427</v>
      </c>
      <c r="G479" s="54" t="s">
        <v>1428</v>
      </c>
      <c r="H479" s="54" t="s">
        <v>1429</v>
      </c>
      <c r="I479" s="54" t="s">
        <v>1430</v>
      </c>
      <c r="J479" s="71" t="s">
        <v>113</v>
      </c>
      <c r="K479" s="56"/>
    </row>
    <row r="480" ht="12.75" customHeight="1">
      <c r="A480" s="69" t="s">
        <v>734</v>
      </c>
      <c r="B480" s="50">
        <v>45664.0</v>
      </c>
      <c r="C480" s="70"/>
      <c r="D480" s="64"/>
      <c r="E480" s="65" t="s">
        <v>735</v>
      </c>
      <c r="F480" s="71" t="s">
        <v>471</v>
      </c>
      <c r="G480" s="54" t="s">
        <v>472</v>
      </c>
      <c r="H480" s="54" t="s">
        <v>473</v>
      </c>
      <c r="I480" s="54" t="s">
        <v>474</v>
      </c>
      <c r="J480" s="71" t="s">
        <v>113</v>
      </c>
      <c r="K480" s="56"/>
    </row>
    <row r="481" ht="12.75" customHeight="1">
      <c r="A481" s="69" t="s">
        <v>736</v>
      </c>
      <c r="B481" s="50">
        <v>45664.0</v>
      </c>
      <c r="C481" s="70"/>
      <c r="D481" s="64"/>
      <c r="E481" s="65" t="s">
        <v>737</v>
      </c>
      <c r="F481" s="71" t="s">
        <v>1431</v>
      </c>
      <c r="G481" s="54" t="s">
        <v>1432</v>
      </c>
      <c r="H481" s="54" t="s">
        <v>1433</v>
      </c>
      <c r="I481" s="54" t="s">
        <v>1434</v>
      </c>
      <c r="J481" s="71" t="s">
        <v>113</v>
      </c>
      <c r="K481" s="56"/>
    </row>
    <row r="482" ht="12.75" customHeight="1">
      <c r="A482" s="69" t="s">
        <v>1435</v>
      </c>
      <c r="B482" s="50">
        <v>45664.0</v>
      </c>
      <c r="C482" s="70"/>
      <c r="D482" s="64"/>
      <c r="E482" s="65" t="s">
        <v>1436</v>
      </c>
      <c r="F482" s="71" t="s">
        <v>1437</v>
      </c>
      <c r="G482" s="54" t="s">
        <v>1438</v>
      </c>
      <c r="H482" s="54" t="s">
        <v>1439</v>
      </c>
      <c r="I482" s="54" t="s">
        <v>1440</v>
      </c>
      <c r="J482" s="71" t="s">
        <v>113</v>
      </c>
      <c r="K482" s="56"/>
    </row>
    <row r="483" ht="12.75" customHeight="1">
      <c r="A483" s="69" t="s">
        <v>1441</v>
      </c>
      <c r="B483" s="50">
        <v>45664.0</v>
      </c>
      <c r="C483" s="70"/>
      <c r="D483" s="64"/>
      <c r="E483" s="65" t="s">
        <v>1442</v>
      </c>
      <c r="F483" s="71" t="s">
        <v>1443</v>
      </c>
      <c r="G483" s="54" t="s">
        <v>1444</v>
      </c>
      <c r="H483" s="54" t="s">
        <v>1445</v>
      </c>
      <c r="I483" s="54" t="s">
        <v>1446</v>
      </c>
      <c r="J483" s="71" t="s">
        <v>113</v>
      </c>
      <c r="K483" s="56"/>
    </row>
    <row r="484" ht="12.75" customHeight="1">
      <c r="A484" s="69" t="s">
        <v>1447</v>
      </c>
      <c r="B484" s="50">
        <v>45664.0</v>
      </c>
      <c r="C484" s="70"/>
      <c r="D484" s="64"/>
      <c r="E484" s="65" t="s">
        <v>1448</v>
      </c>
      <c r="F484" s="71" t="s">
        <v>1449</v>
      </c>
      <c r="G484" s="57"/>
      <c r="H484" s="54" t="s">
        <v>1450</v>
      </c>
      <c r="I484" s="54" t="s">
        <v>1451</v>
      </c>
      <c r="J484" s="71" t="s">
        <v>113</v>
      </c>
      <c r="K484" s="56"/>
    </row>
    <row r="485" ht="12.75" customHeight="1">
      <c r="A485" s="69" t="s">
        <v>1452</v>
      </c>
      <c r="B485" s="50">
        <v>45664.0</v>
      </c>
      <c r="C485" s="70"/>
      <c r="D485" s="64"/>
      <c r="E485" s="65" t="s">
        <v>1453</v>
      </c>
      <c r="F485" s="71" t="s">
        <v>1454</v>
      </c>
      <c r="G485" s="57"/>
      <c r="H485" s="54" t="s">
        <v>1455</v>
      </c>
      <c r="I485" s="54" t="s">
        <v>1456</v>
      </c>
      <c r="J485" s="71" t="s">
        <v>113</v>
      </c>
      <c r="K485" s="56"/>
    </row>
    <row r="486" ht="12.75" customHeight="1">
      <c r="A486" s="69" t="s">
        <v>1457</v>
      </c>
      <c r="B486" s="50">
        <v>45664.0</v>
      </c>
      <c r="C486" s="70"/>
      <c r="D486" s="64"/>
      <c r="E486" s="65" t="s">
        <v>1458</v>
      </c>
      <c r="F486" s="71" t="s">
        <v>1459</v>
      </c>
      <c r="G486" s="57"/>
      <c r="H486" s="54" t="s">
        <v>1460</v>
      </c>
      <c r="I486" s="54" t="s">
        <v>1461</v>
      </c>
      <c r="J486" s="71" t="s">
        <v>113</v>
      </c>
      <c r="K486" s="56"/>
    </row>
    <row r="487" ht="12.75" customHeight="1">
      <c r="A487" s="69" t="s">
        <v>1462</v>
      </c>
      <c r="B487" s="50">
        <v>45664.0</v>
      </c>
      <c r="C487" s="70"/>
      <c r="D487" s="64"/>
      <c r="E487" s="65" t="s">
        <v>1463</v>
      </c>
      <c r="F487" s="71" t="s">
        <v>1464</v>
      </c>
      <c r="G487" s="57"/>
      <c r="H487" s="54" t="s">
        <v>1465</v>
      </c>
      <c r="I487" s="54" t="s">
        <v>1466</v>
      </c>
      <c r="J487" s="71" t="s">
        <v>113</v>
      </c>
      <c r="K487" s="56"/>
    </row>
    <row r="488" ht="12.75" customHeight="1">
      <c r="A488" s="69" t="s">
        <v>1467</v>
      </c>
      <c r="B488" s="50">
        <v>45664.0</v>
      </c>
      <c r="C488" s="70"/>
      <c r="D488" s="64"/>
      <c r="E488" s="65" t="s">
        <v>1468</v>
      </c>
      <c r="F488" s="71" t="s">
        <v>1469</v>
      </c>
      <c r="G488" s="57"/>
      <c r="H488" s="54" t="s">
        <v>1470</v>
      </c>
      <c r="I488" s="54" t="s">
        <v>1471</v>
      </c>
      <c r="J488" s="71" t="s">
        <v>113</v>
      </c>
      <c r="K488" s="56"/>
    </row>
    <row r="489" ht="12.75" customHeight="1">
      <c r="A489" s="69" t="s">
        <v>1472</v>
      </c>
      <c r="B489" s="50">
        <v>45664.0</v>
      </c>
      <c r="C489" s="70"/>
      <c r="D489" s="64"/>
      <c r="E489" s="65" t="s">
        <v>1473</v>
      </c>
      <c r="F489" s="71" t="s">
        <v>1474</v>
      </c>
      <c r="G489" s="57"/>
      <c r="H489" s="54">
        <v>844.475</v>
      </c>
      <c r="I489" s="54" t="s">
        <v>1475</v>
      </c>
      <c r="J489" s="71" t="s">
        <v>113</v>
      </c>
      <c r="K489" s="56"/>
    </row>
    <row r="490" ht="12.75" customHeight="1">
      <c r="A490" s="69" t="s">
        <v>768</v>
      </c>
      <c r="B490" s="50">
        <v>45695.0</v>
      </c>
      <c r="C490" s="70"/>
      <c r="D490" s="64"/>
      <c r="E490" s="65" t="s">
        <v>769</v>
      </c>
      <c r="F490" s="71" t="s">
        <v>1476</v>
      </c>
      <c r="G490" s="54" t="s">
        <v>1477</v>
      </c>
      <c r="H490" s="54" t="s">
        <v>1478</v>
      </c>
      <c r="I490" s="54" t="s">
        <v>1479</v>
      </c>
      <c r="J490" s="71" t="s">
        <v>113</v>
      </c>
      <c r="K490" s="56"/>
    </row>
    <row r="491" ht="12.75" customHeight="1">
      <c r="A491" s="69" t="s">
        <v>770</v>
      </c>
      <c r="B491" s="50">
        <v>45695.0</v>
      </c>
      <c r="C491" s="70"/>
      <c r="D491" s="64"/>
      <c r="E491" s="65" t="s">
        <v>771</v>
      </c>
      <c r="F491" s="71" t="s">
        <v>1480</v>
      </c>
      <c r="G491" s="54" t="s">
        <v>1481</v>
      </c>
      <c r="H491" s="54" t="s">
        <v>1482</v>
      </c>
      <c r="I491" s="54" t="s">
        <v>1483</v>
      </c>
      <c r="J491" s="71" t="s">
        <v>113</v>
      </c>
      <c r="K491" s="56"/>
    </row>
    <row r="492" ht="12.75" customHeight="1">
      <c r="A492" s="69" t="s">
        <v>772</v>
      </c>
      <c r="B492" s="50">
        <v>45695.0</v>
      </c>
      <c r="C492" s="70"/>
      <c r="D492" s="64"/>
      <c r="E492" s="65" t="s">
        <v>773</v>
      </c>
      <c r="F492" s="71" t="s">
        <v>1484</v>
      </c>
      <c r="G492" s="54" t="s">
        <v>1485</v>
      </c>
      <c r="H492" s="54" t="s">
        <v>1486</v>
      </c>
      <c r="I492" s="54" t="s">
        <v>1487</v>
      </c>
      <c r="J492" s="71" t="s">
        <v>113</v>
      </c>
      <c r="K492" s="56"/>
    </row>
    <row r="493" ht="12.75" customHeight="1">
      <c r="A493" s="69" t="s">
        <v>774</v>
      </c>
      <c r="B493" s="50">
        <v>45695.0</v>
      </c>
      <c r="C493" s="70"/>
      <c r="D493" s="64"/>
      <c r="E493" s="65" t="s">
        <v>775</v>
      </c>
      <c r="F493" s="71" t="s">
        <v>1488</v>
      </c>
      <c r="G493" s="54" t="s">
        <v>1489</v>
      </c>
      <c r="H493" s="54" t="s">
        <v>1490</v>
      </c>
      <c r="I493" s="54" t="s">
        <v>1491</v>
      </c>
      <c r="J493" s="71" t="s">
        <v>113</v>
      </c>
      <c r="K493" s="56"/>
    </row>
    <row r="494" ht="12.75" customHeight="1">
      <c r="A494" s="69" t="s">
        <v>776</v>
      </c>
      <c r="B494" s="50">
        <v>45754.0</v>
      </c>
      <c r="C494" s="70"/>
      <c r="D494" s="52" t="e">
        <v>#N/A</v>
      </c>
      <c r="E494" s="65" t="s">
        <v>777</v>
      </c>
      <c r="F494" s="71" t="s">
        <v>1492</v>
      </c>
      <c r="G494" s="54" t="s">
        <v>1493</v>
      </c>
      <c r="H494" s="54" t="s">
        <v>1494</v>
      </c>
      <c r="I494" s="54" t="s">
        <v>1495</v>
      </c>
      <c r="J494" s="71" t="s">
        <v>113</v>
      </c>
      <c r="K494" s="56"/>
    </row>
    <row r="495" ht="12.75" customHeight="1">
      <c r="A495" s="69" t="s">
        <v>778</v>
      </c>
      <c r="B495" s="50">
        <v>45754.0</v>
      </c>
      <c r="C495" s="70"/>
      <c r="D495" s="64"/>
      <c r="E495" s="65" t="s">
        <v>1496</v>
      </c>
      <c r="F495" s="71" t="s">
        <v>1497</v>
      </c>
      <c r="G495" s="54" t="s">
        <v>1498</v>
      </c>
      <c r="H495" s="54" t="s">
        <v>1499</v>
      </c>
      <c r="I495" s="54" t="s">
        <v>1500</v>
      </c>
      <c r="J495" s="71" t="s">
        <v>113</v>
      </c>
      <c r="K495" s="56"/>
    </row>
    <row r="496" ht="12.75" customHeight="1">
      <c r="A496" s="69" t="s">
        <v>1501</v>
      </c>
      <c r="B496" s="50">
        <v>45845.0</v>
      </c>
      <c r="C496" s="70"/>
      <c r="D496" s="64"/>
      <c r="E496" s="65" t="s">
        <v>1502</v>
      </c>
      <c r="F496" s="71" t="s">
        <v>1130</v>
      </c>
      <c r="G496" s="54" t="s">
        <v>1131</v>
      </c>
      <c r="H496" s="57"/>
      <c r="I496" s="57"/>
      <c r="J496" s="71" t="s">
        <v>113</v>
      </c>
      <c r="K496" s="56"/>
    </row>
    <row r="497" ht="12.75" customHeight="1">
      <c r="A497" s="69" t="s">
        <v>1503</v>
      </c>
      <c r="B497" s="50">
        <v>45845.0</v>
      </c>
      <c r="C497" s="70"/>
      <c r="D497" s="64"/>
      <c r="E497" s="65" t="s">
        <v>1504</v>
      </c>
      <c r="F497" s="71" t="s">
        <v>1373</v>
      </c>
      <c r="G497" s="54" t="s">
        <v>1374</v>
      </c>
      <c r="H497" s="54" t="s">
        <v>1375</v>
      </c>
      <c r="I497" s="54" t="s">
        <v>1376</v>
      </c>
      <c r="J497" s="71" t="s">
        <v>113</v>
      </c>
      <c r="K497" s="56"/>
    </row>
    <row r="498" ht="12.75" customHeight="1">
      <c r="A498" s="69" t="s">
        <v>1505</v>
      </c>
      <c r="B498" s="50">
        <v>45845.0</v>
      </c>
      <c r="C498" s="70"/>
      <c r="D498" s="64"/>
      <c r="E498" s="65" t="s">
        <v>1506</v>
      </c>
      <c r="F498" s="71" t="s">
        <v>1507</v>
      </c>
      <c r="G498" s="54">
        <v>643.145</v>
      </c>
      <c r="H498" s="54" t="s">
        <v>1508</v>
      </c>
      <c r="I498" s="54" t="s">
        <v>1509</v>
      </c>
      <c r="J498" s="71" t="s">
        <v>113</v>
      </c>
      <c r="K498" s="56"/>
    </row>
    <row r="499" ht="12.75" customHeight="1">
      <c r="A499" s="69" t="s">
        <v>1510</v>
      </c>
      <c r="B499" s="50">
        <v>45845.0</v>
      </c>
      <c r="C499" s="70"/>
      <c r="D499" s="64"/>
      <c r="E499" s="65" t="s">
        <v>1511</v>
      </c>
      <c r="F499" s="71" t="s">
        <v>1148</v>
      </c>
      <c r="G499" s="54">
        <v>646.268</v>
      </c>
      <c r="H499" s="54" t="s">
        <v>1149</v>
      </c>
      <c r="I499" s="54" t="s">
        <v>1150</v>
      </c>
      <c r="J499" s="71" t="s">
        <v>113</v>
      </c>
      <c r="K499" s="56"/>
    </row>
    <row r="500" ht="12.75" customHeight="1">
      <c r="A500" s="69" t="s">
        <v>1512</v>
      </c>
      <c r="B500" s="50">
        <v>45845.0</v>
      </c>
      <c r="C500" s="70"/>
      <c r="D500" s="64"/>
      <c r="E500" s="65" t="s">
        <v>1513</v>
      </c>
      <c r="F500" s="71" t="s">
        <v>1148</v>
      </c>
      <c r="G500" s="54">
        <v>646.268</v>
      </c>
      <c r="H500" s="54" t="s">
        <v>1149</v>
      </c>
      <c r="I500" s="54" t="s">
        <v>1150</v>
      </c>
      <c r="J500" s="71" t="s">
        <v>113</v>
      </c>
      <c r="K500" s="56"/>
    </row>
    <row r="501" ht="12.75" customHeight="1">
      <c r="A501" s="69" t="s">
        <v>796</v>
      </c>
      <c r="B501" s="50">
        <v>45845.0</v>
      </c>
      <c r="C501" s="70"/>
      <c r="D501" s="64"/>
      <c r="E501" s="65" t="s">
        <v>797</v>
      </c>
      <c r="F501" s="71" t="s">
        <v>1514</v>
      </c>
      <c r="G501" s="54" t="s">
        <v>1515</v>
      </c>
      <c r="H501" s="54" t="s">
        <v>1516</v>
      </c>
      <c r="I501" s="54" t="s">
        <v>1517</v>
      </c>
      <c r="J501" s="71" t="s">
        <v>113</v>
      </c>
      <c r="K501" s="56"/>
    </row>
    <row r="502" ht="12.75" customHeight="1">
      <c r="A502" s="69" t="s">
        <v>798</v>
      </c>
      <c r="B502" s="50">
        <v>45907.0</v>
      </c>
      <c r="C502" s="70"/>
      <c r="D502" s="64"/>
      <c r="E502" s="65" t="s">
        <v>1518</v>
      </c>
      <c r="F502" s="71" t="s">
        <v>1519</v>
      </c>
      <c r="G502" s="57"/>
      <c r="H502" s="54">
        <v>0.0</v>
      </c>
      <c r="I502" s="54" t="s">
        <v>1519</v>
      </c>
      <c r="J502" s="71" t="s">
        <v>113</v>
      </c>
      <c r="K502" s="56"/>
    </row>
    <row r="503" ht="12.75" customHeight="1">
      <c r="A503" s="69" t="s">
        <v>800</v>
      </c>
      <c r="B503" s="50">
        <v>45907.0</v>
      </c>
      <c r="C503" s="70"/>
      <c r="D503" s="64"/>
      <c r="E503" s="65" t="s">
        <v>801</v>
      </c>
      <c r="F503" s="71" t="s">
        <v>1520</v>
      </c>
      <c r="G503" s="57"/>
      <c r="H503" s="54">
        <v>485.546</v>
      </c>
      <c r="I503" s="54" t="s">
        <v>1521</v>
      </c>
      <c r="J503" s="71" t="s">
        <v>113</v>
      </c>
      <c r="K503" s="56"/>
    </row>
    <row r="504" ht="12.75" customHeight="1">
      <c r="A504" s="69" t="s">
        <v>802</v>
      </c>
      <c r="B504" s="50">
        <v>45907.0</v>
      </c>
      <c r="C504" s="70"/>
      <c r="D504" s="64"/>
      <c r="E504" s="65" t="s">
        <v>803</v>
      </c>
      <c r="F504" s="71" t="s">
        <v>1522</v>
      </c>
      <c r="G504" s="57"/>
      <c r="H504" s="54">
        <v>0.0</v>
      </c>
      <c r="I504" s="54" t="s">
        <v>1522</v>
      </c>
      <c r="J504" s="71" t="s">
        <v>113</v>
      </c>
      <c r="K504" s="56"/>
    </row>
    <row r="505" ht="12.75" customHeight="1">
      <c r="A505" s="69" t="s">
        <v>804</v>
      </c>
      <c r="B505" s="50">
        <v>45907.0</v>
      </c>
      <c r="C505" s="70"/>
      <c r="D505" s="64"/>
      <c r="E505" s="65" t="s">
        <v>805</v>
      </c>
      <c r="F505" s="71" t="s">
        <v>1523</v>
      </c>
      <c r="G505" s="57"/>
      <c r="H505" s="54">
        <v>0.0</v>
      </c>
      <c r="I505" s="54" t="s">
        <v>1523</v>
      </c>
      <c r="J505" s="71" t="s">
        <v>113</v>
      </c>
      <c r="K505" s="56"/>
    </row>
    <row r="506" ht="12.75" customHeight="1">
      <c r="A506" s="69" t="s">
        <v>806</v>
      </c>
      <c r="B506" s="50">
        <v>45907.0</v>
      </c>
      <c r="C506" s="70"/>
      <c r="D506" s="64"/>
      <c r="E506" s="65" t="s">
        <v>807</v>
      </c>
      <c r="F506" s="71" t="s">
        <v>1524</v>
      </c>
      <c r="G506" s="57"/>
      <c r="H506" s="54">
        <v>0.0</v>
      </c>
      <c r="I506" s="54" t="s">
        <v>1524</v>
      </c>
      <c r="J506" s="71" t="s">
        <v>113</v>
      </c>
      <c r="K506" s="56"/>
    </row>
    <row r="507" ht="12.75" customHeight="1">
      <c r="A507" s="69" t="s">
        <v>808</v>
      </c>
      <c r="B507" s="50">
        <v>45907.0</v>
      </c>
      <c r="C507" s="70"/>
      <c r="D507" s="64"/>
      <c r="E507" s="65" t="s">
        <v>809</v>
      </c>
      <c r="F507" s="71" t="s">
        <v>1525</v>
      </c>
      <c r="G507" s="57"/>
      <c r="H507" s="54" t="s">
        <v>1526</v>
      </c>
      <c r="I507" s="54" t="s">
        <v>1527</v>
      </c>
      <c r="J507" s="71" t="s">
        <v>113</v>
      </c>
      <c r="K507" s="56"/>
    </row>
    <row r="508" ht="12.75" customHeight="1">
      <c r="A508" s="69" t="s">
        <v>810</v>
      </c>
      <c r="B508" s="11" t="s">
        <v>1528</v>
      </c>
      <c r="C508" s="70"/>
      <c r="D508" s="64"/>
      <c r="E508" s="65" t="s">
        <v>811</v>
      </c>
      <c r="F508" s="71" t="s">
        <v>1195</v>
      </c>
      <c r="G508" s="54">
        <v>771.788</v>
      </c>
      <c r="H508" s="54">
        <v>933.863</v>
      </c>
      <c r="I508" s="54" t="s">
        <v>1529</v>
      </c>
      <c r="J508" s="71" t="s">
        <v>113</v>
      </c>
      <c r="K508" s="56"/>
    </row>
    <row r="509" ht="12.75" customHeight="1">
      <c r="A509" s="69" t="s">
        <v>812</v>
      </c>
      <c r="B509" s="11" t="s">
        <v>1528</v>
      </c>
      <c r="C509" s="70"/>
      <c r="D509" s="64"/>
      <c r="E509" s="65" t="s">
        <v>813</v>
      </c>
      <c r="F509" s="71" t="s">
        <v>1530</v>
      </c>
      <c r="G509" s="57"/>
      <c r="H509" s="54" t="s">
        <v>1531</v>
      </c>
      <c r="I509" s="54">
        <v>0.0</v>
      </c>
      <c r="J509" s="71" t="s">
        <v>113</v>
      </c>
      <c r="K509" s="56"/>
    </row>
    <row r="510" ht="12.75" customHeight="1">
      <c r="A510" s="69" t="s">
        <v>814</v>
      </c>
      <c r="B510" s="11" t="s">
        <v>1528</v>
      </c>
      <c r="C510" s="70"/>
      <c r="D510" s="64"/>
      <c r="E510" s="65" t="s">
        <v>815</v>
      </c>
      <c r="F510" s="71" t="s">
        <v>1532</v>
      </c>
      <c r="G510" s="57"/>
      <c r="H510" s="54">
        <v>144.165</v>
      </c>
      <c r="I510" s="54" t="s">
        <v>1533</v>
      </c>
      <c r="J510" s="71" t="s">
        <v>113</v>
      </c>
      <c r="K510" s="56"/>
    </row>
    <row r="511" ht="12.75" customHeight="1">
      <c r="A511" s="69" t="s">
        <v>816</v>
      </c>
      <c r="B511" s="11" t="s">
        <v>1528</v>
      </c>
      <c r="C511" s="70"/>
      <c r="D511" s="64"/>
      <c r="E511" s="65" t="s">
        <v>817</v>
      </c>
      <c r="F511" s="71" t="s">
        <v>1534</v>
      </c>
      <c r="G511" s="57"/>
      <c r="H511" s="54" t="s">
        <v>1535</v>
      </c>
      <c r="I511" s="54">
        <v>0.0</v>
      </c>
      <c r="J511" s="71" t="s">
        <v>113</v>
      </c>
      <c r="K511" s="56"/>
    </row>
    <row r="512" ht="12.75" customHeight="1">
      <c r="A512" s="69" t="s">
        <v>818</v>
      </c>
      <c r="B512" s="11" t="s">
        <v>1528</v>
      </c>
      <c r="C512" s="70"/>
      <c r="D512" s="64"/>
      <c r="E512" s="65" t="s">
        <v>819</v>
      </c>
      <c r="F512" s="71" t="s">
        <v>1536</v>
      </c>
      <c r="G512" s="57"/>
      <c r="H512" s="54" t="s">
        <v>1537</v>
      </c>
      <c r="I512" s="54" t="s">
        <v>1538</v>
      </c>
      <c r="J512" s="71" t="s">
        <v>113</v>
      </c>
      <c r="K512" s="56"/>
    </row>
    <row r="513" ht="12.75" customHeight="1">
      <c r="A513" s="69" t="s">
        <v>820</v>
      </c>
      <c r="B513" s="11" t="s">
        <v>1528</v>
      </c>
      <c r="C513" s="70"/>
      <c r="D513" s="64"/>
      <c r="E513" s="65" t="s">
        <v>821</v>
      </c>
      <c r="F513" s="71" t="s">
        <v>1539</v>
      </c>
      <c r="G513" s="54">
        <v>527.557</v>
      </c>
      <c r="H513" s="54">
        <v>979.162</v>
      </c>
      <c r="I513" s="54" t="s">
        <v>1540</v>
      </c>
      <c r="J513" s="71" t="s">
        <v>113</v>
      </c>
      <c r="K513" s="56"/>
    </row>
    <row r="514" ht="12.75" customHeight="1">
      <c r="A514" s="69" t="s">
        <v>822</v>
      </c>
      <c r="B514" s="11" t="s">
        <v>1528</v>
      </c>
      <c r="C514" s="70"/>
      <c r="D514" s="64"/>
      <c r="E514" s="65" t="s">
        <v>824</v>
      </c>
      <c r="F514" s="71" t="s">
        <v>1541</v>
      </c>
      <c r="G514" s="54" t="s">
        <v>1542</v>
      </c>
      <c r="H514" s="54" t="s">
        <v>1543</v>
      </c>
      <c r="I514" s="54" t="s">
        <v>1544</v>
      </c>
      <c r="J514" s="71" t="e">
        <v>#N/A</v>
      </c>
      <c r="K514" s="56"/>
    </row>
    <row r="515" ht="12.75" customHeight="1">
      <c r="A515" s="69" t="s">
        <v>825</v>
      </c>
      <c r="B515" s="11" t="s">
        <v>1545</v>
      </c>
      <c r="C515" s="70"/>
      <c r="D515" s="64"/>
      <c r="E515" s="65" t="s">
        <v>826</v>
      </c>
      <c r="F515" s="71" t="s">
        <v>1546</v>
      </c>
      <c r="G515" s="54">
        <v>420.664</v>
      </c>
      <c r="H515" s="54">
        <v>780.765</v>
      </c>
      <c r="I515" s="54" t="s">
        <v>1547</v>
      </c>
      <c r="J515" s="71" t="s">
        <v>113</v>
      </c>
      <c r="K515" s="56"/>
    </row>
    <row r="516" ht="12.75" customHeight="1">
      <c r="A516" s="69" t="s">
        <v>827</v>
      </c>
      <c r="B516" s="11" t="s">
        <v>1545</v>
      </c>
      <c r="C516" s="70"/>
      <c r="D516" s="64"/>
      <c r="E516" s="65" t="s">
        <v>830</v>
      </c>
      <c r="F516" s="71" t="s">
        <v>1548</v>
      </c>
      <c r="G516" s="54" t="s">
        <v>1549</v>
      </c>
      <c r="H516" s="54" t="s">
        <v>1550</v>
      </c>
      <c r="I516" s="54" t="s">
        <v>1551</v>
      </c>
      <c r="J516" s="71" t="s">
        <v>113</v>
      </c>
      <c r="K516" s="56"/>
    </row>
    <row r="517" ht="12.75" customHeight="1">
      <c r="A517" s="68"/>
      <c r="B517" s="66"/>
      <c r="C517" s="70"/>
      <c r="D517" s="64"/>
      <c r="E517" s="72"/>
      <c r="F517" s="73"/>
      <c r="G517" s="57"/>
      <c r="H517" s="54">
        <v>0.0</v>
      </c>
      <c r="I517" s="54">
        <v>0.0</v>
      </c>
      <c r="J517" s="71" t="e">
        <v>#N/A</v>
      </c>
      <c r="K517" s="56"/>
    </row>
    <row r="518" ht="12.75" customHeight="1">
      <c r="A518" s="69" t="s">
        <v>831</v>
      </c>
      <c r="B518" s="11" t="s">
        <v>1545</v>
      </c>
      <c r="C518" s="70"/>
      <c r="D518" s="64"/>
      <c r="E518" s="65" t="s">
        <v>832</v>
      </c>
      <c r="F518" s="71" t="s">
        <v>1552</v>
      </c>
      <c r="G518" s="57"/>
      <c r="H518" s="54" t="s">
        <v>1553</v>
      </c>
      <c r="I518" s="54" t="s">
        <v>1554</v>
      </c>
      <c r="J518" s="71" t="s">
        <v>113</v>
      </c>
      <c r="K518" s="56"/>
    </row>
    <row r="519" ht="12.75" customHeight="1">
      <c r="A519" s="69" t="s">
        <v>833</v>
      </c>
      <c r="B519" s="11" t="s">
        <v>1555</v>
      </c>
      <c r="C519" s="70"/>
      <c r="D519" s="64"/>
      <c r="E519" s="65" t="s">
        <v>834</v>
      </c>
      <c r="F519" s="71" t="s">
        <v>1556</v>
      </c>
      <c r="G519" s="54" t="s">
        <v>1557</v>
      </c>
      <c r="H519" s="54" t="s">
        <v>1558</v>
      </c>
      <c r="I519" s="54" t="s">
        <v>1559</v>
      </c>
      <c r="J519" s="71" t="s">
        <v>113</v>
      </c>
      <c r="K519" s="56"/>
    </row>
    <row r="520" ht="12.75" customHeight="1">
      <c r="A520" s="69" t="s">
        <v>835</v>
      </c>
      <c r="B520" s="11" t="s">
        <v>1560</v>
      </c>
      <c r="C520" s="70"/>
      <c r="D520" s="64"/>
      <c r="E520" s="65" t="s">
        <v>836</v>
      </c>
      <c r="F520" s="71" t="s">
        <v>1561</v>
      </c>
      <c r="G520" s="54" t="s">
        <v>1562</v>
      </c>
      <c r="H520" s="54" t="s">
        <v>1563</v>
      </c>
      <c r="I520" s="54" t="s">
        <v>1564</v>
      </c>
      <c r="J520" s="71" t="s">
        <v>113</v>
      </c>
      <c r="K520" s="56"/>
    </row>
    <row r="521" ht="12.75" customHeight="1">
      <c r="A521" s="69" t="s">
        <v>837</v>
      </c>
      <c r="B521" s="11" t="s">
        <v>1560</v>
      </c>
      <c r="C521" s="70"/>
      <c r="D521" s="64"/>
      <c r="E521" s="65" t="s">
        <v>838</v>
      </c>
      <c r="F521" s="71" t="s">
        <v>1565</v>
      </c>
      <c r="G521" s="54" t="s">
        <v>1566</v>
      </c>
      <c r="H521" s="54" t="s">
        <v>1567</v>
      </c>
      <c r="I521" s="54" t="s">
        <v>1568</v>
      </c>
      <c r="J521" s="71" t="s">
        <v>113</v>
      </c>
      <c r="K521" s="56"/>
    </row>
    <row r="522" ht="12.75" customHeight="1">
      <c r="A522" s="69" t="s">
        <v>839</v>
      </c>
      <c r="B522" s="11" t="s">
        <v>1560</v>
      </c>
      <c r="C522" s="70"/>
      <c r="D522" s="64"/>
      <c r="E522" s="65" t="s">
        <v>840</v>
      </c>
      <c r="F522" s="71" t="s">
        <v>1569</v>
      </c>
      <c r="G522" s="54" t="s">
        <v>1570</v>
      </c>
      <c r="H522" s="54" t="s">
        <v>1571</v>
      </c>
      <c r="I522" s="54" t="s">
        <v>1572</v>
      </c>
      <c r="J522" s="71" t="s">
        <v>113</v>
      </c>
      <c r="K522" s="56"/>
    </row>
    <row r="523" ht="12.75" customHeight="1">
      <c r="A523" s="69" t="s">
        <v>841</v>
      </c>
      <c r="B523" s="11" t="s">
        <v>1573</v>
      </c>
      <c r="C523" s="70"/>
      <c r="D523" s="64"/>
      <c r="E523" s="65" t="s">
        <v>842</v>
      </c>
      <c r="F523" s="71" t="s">
        <v>1574</v>
      </c>
      <c r="G523" s="54" t="s">
        <v>1575</v>
      </c>
      <c r="H523" s="54" t="s">
        <v>1576</v>
      </c>
      <c r="I523" s="54" t="s">
        <v>1577</v>
      </c>
      <c r="J523" s="71" t="s">
        <v>113</v>
      </c>
      <c r="K523" s="56"/>
    </row>
    <row r="524" ht="12.75" customHeight="1">
      <c r="A524" s="69" t="s">
        <v>1578</v>
      </c>
      <c r="B524" s="11" t="s">
        <v>1579</v>
      </c>
      <c r="C524" s="70"/>
      <c r="D524" s="64"/>
      <c r="E524" s="65" t="s">
        <v>1580</v>
      </c>
      <c r="F524" s="71" t="s">
        <v>1581</v>
      </c>
      <c r="G524" s="54" t="s">
        <v>1582</v>
      </c>
      <c r="H524" s="54" t="s">
        <v>1583</v>
      </c>
      <c r="I524" s="54" t="s">
        <v>1584</v>
      </c>
      <c r="J524" s="71" t="s">
        <v>113</v>
      </c>
      <c r="K524" s="56"/>
    </row>
    <row r="525" ht="12.75" customHeight="1">
      <c r="A525" s="69" t="s">
        <v>1585</v>
      </c>
      <c r="B525" s="11" t="s">
        <v>1579</v>
      </c>
      <c r="C525" s="70"/>
      <c r="D525" s="64"/>
      <c r="E525" s="65" t="s">
        <v>1586</v>
      </c>
      <c r="F525" s="71" t="s">
        <v>1587</v>
      </c>
      <c r="G525" s="54" t="s">
        <v>1588</v>
      </c>
      <c r="H525" s="54" t="s">
        <v>1589</v>
      </c>
      <c r="I525" s="54" t="s">
        <v>1590</v>
      </c>
      <c r="J525" s="71" t="s">
        <v>113</v>
      </c>
      <c r="K525" s="56"/>
    </row>
    <row r="526" ht="12.75" customHeight="1">
      <c r="A526" s="69" t="s">
        <v>1591</v>
      </c>
      <c r="B526" s="11" t="s">
        <v>1579</v>
      </c>
      <c r="C526" s="70"/>
      <c r="D526" s="64"/>
      <c r="E526" s="65" t="s">
        <v>1592</v>
      </c>
      <c r="F526" s="71" t="s">
        <v>1593</v>
      </c>
      <c r="G526" s="54" t="s">
        <v>1594</v>
      </c>
      <c r="H526" s="54" t="s">
        <v>1595</v>
      </c>
      <c r="I526" s="54" t="s">
        <v>1596</v>
      </c>
      <c r="J526" s="71" t="s">
        <v>113</v>
      </c>
      <c r="K526" s="56"/>
    </row>
    <row r="527" ht="12.75" customHeight="1">
      <c r="A527" s="69" t="s">
        <v>1597</v>
      </c>
      <c r="B527" s="11" t="s">
        <v>1579</v>
      </c>
      <c r="C527" s="70"/>
      <c r="D527" s="64"/>
      <c r="E527" s="65" t="s">
        <v>1598</v>
      </c>
      <c r="F527" s="71" t="s">
        <v>1278</v>
      </c>
      <c r="G527" s="54">
        <v>420.804</v>
      </c>
      <c r="H527" s="54">
        <v>844.365</v>
      </c>
      <c r="I527" s="54" t="s">
        <v>1279</v>
      </c>
      <c r="J527" s="71" t="s">
        <v>113</v>
      </c>
      <c r="K527" s="56"/>
    </row>
    <row r="528" ht="12.75" customHeight="1">
      <c r="A528" s="69" t="s">
        <v>857</v>
      </c>
      <c r="B528" s="11" t="s">
        <v>1599</v>
      </c>
      <c r="C528" s="70"/>
      <c r="D528" s="64"/>
      <c r="E528" s="65" t="s">
        <v>858</v>
      </c>
      <c r="F528" s="71" t="s">
        <v>1600</v>
      </c>
      <c r="G528" s="54" t="s">
        <v>1601</v>
      </c>
      <c r="H528" s="54" t="s">
        <v>1602</v>
      </c>
      <c r="I528" s="54" t="s">
        <v>1603</v>
      </c>
      <c r="J528" s="71" t="s">
        <v>113</v>
      </c>
      <c r="K528" s="56"/>
    </row>
    <row r="529" ht="12.75" customHeight="1">
      <c r="A529" s="69" t="s">
        <v>859</v>
      </c>
      <c r="B529" s="11" t="s">
        <v>1599</v>
      </c>
      <c r="C529" s="70"/>
      <c r="D529" s="64"/>
      <c r="E529" s="65" t="s">
        <v>860</v>
      </c>
      <c r="F529" s="71" t="s">
        <v>1604</v>
      </c>
      <c r="G529" s="54">
        <v>136.464</v>
      </c>
      <c r="H529" s="54">
        <v>298.239</v>
      </c>
      <c r="I529" s="54" t="s">
        <v>1605</v>
      </c>
      <c r="J529" s="71" t="s">
        <v>113</v>
      </c>
      <c r="K529" s="56"/>
    </row>
    <row r="530" ht="12.75" customHeight="1">
      <c r="A530" s="69" t="s">
        <v>861</v>
      </c>
      <c r="B530" s="11" t="s">
        <v>1599</v>
      </c>
      <c r="C530" s="70"/>
      <c r="D530" s="64"/>
      <c r="E530" s="65" t="s">
        <v>862</v>
      </c>
      <c r="F530" s="71" t="s">
        <v>1606</v>
      </c>
      <c r="G530" s="54">
        <v>355.238</v>
      </c>
      <c r="H530" s="54">
        <v>776.362</v>
      </c>
      <c r="I530" s="54" t="s">
        <v>1607</v>
      </c>
      <c r="J530" s="71" t="s">
        <v>113</v>
      </c>
      <c r="K530" s="56"/>
    </row>
    <row r="531" ht="12.75" customHeight="1">
      <c r="A531" s="69" t="s">
        <v>863</v>
      </c>
      <c r="B531" s="11" t="s">
        <v>90</v>
      </c>
      <c r="C531" s="70"/>
      <c r="D531" s="64"/>
      <c r="E531" s="65" t="s">
        <v>864</v>
      </c>
      <c r="F531" s="71" t="s">
        <v>399</v>
      </c>
      <c r="G531" s="54" t="s">
        <v>400</v>
      </c>
      <c r="H531" s="54" t="s">
        <v>401</v>
      </c>
      <c r="I531" s="54" t="s">
        <v>402</v>
      </c>
      <c r="J531" s="71" t="s">
        <v>113</v>
      </c>
      <c r="K531" s="56"/>
    </row>
    <row r="532" ht="12.75" customHeight="1">
      <c r="A532" s="69" t="s">
        <v>1608</v>
      </c>
      <c r="B532" s="11" t="s">
        <v>1609</v>
      </c>
      <c r="C532" s="70"/>
      <c r="D532" s="64"/>
      <c r="E532" s="65" t="s">
        <v>1610</v>
      </c>
      <c r="F532" s="71" t="s">
        <v>1611</v>
      </c>
      <c r="G532" s="54" t="s">
        <v>1612</v>
      </c>
      <c r="H532" s="54" t="s">
        <v>1613</v>
      </c>
      <c r="I532" s="54" t="s">
        <v>1614</v>
      </c>
      <c r="J532" s="71" t="s">
        <v>113</v>
      </c>
      <c r="K532" s="56"/>
    </row>
    <row r="533" ht="12.75" customHeight="1">
      <c r="A533" s="69" t="s">
        <v>867</v>
      </c>
      <c r="B533" s="11" t="s">
        <v>90</v>
      </c>
      <c r="C533" s="70"/>
      <c r="D533" s="64"/>
      <c r="E533" s="65" t="s">
        <v>868</v>
      </c>
      <c r="F533" s="71" t="s">
        <v>1615</v>
      </c>
      <c r="G533" s="54" t="s">
        <v>1616</v>
      </c>
      <c r="H533" s="54" t="s">
        <v>1617</v>
      </c>
      <c r="I533" s="54" t="s">
        <v>1618</v>
      </c>
      <c r="J533" s="71" t="s">
        <v>113</v>
      </c>
      <c r="K533" s="56"/>
    </row>
    <row r="534" ht="12.75" customHeight="1">
      <c r="A534" s="69" t="s">
        <v>869</v>
      </c>
      <c r="B534" s="11" t="s">
        <v>90</v>
      </c>
      <c r="C534" s="70"/>
      <c r="D534" s="64"/>
      <c r="E534" s="65" t="s">
        <v>870</v>
      </c>
      <c r="F534" s="71" t="s">
        <v>1619</v>
      </c>
      <c r="G534" s="54" t="s">
        <v>1620</v>
      </c>
      <c r="H534" s="54" t="s">
        <v>1621</v>
      </c>
      <c r="I534" s="54" t="s">
        <v>1622</v>
      </c>
      <c r="J534" s="71" t="s">
        <v>113</v>
      </c>
      <c r="K534" s="56"/>
    </row>
    <row r="535" ht="12.75" customHeight="1">
      <c r="A535" s="69" t="s">
        <v>871</v>
      </c>
      <c r="B535" s="11" t="s">
        <v>90</v>
      </c>
      <c r="C535" s="70"/>
      <c r="D535" s="64"/>
      <c r="E535" s="65" t="s">
        <v>872</v>
      </c>
      <c r="F535" s="71" t="s">
        <v>1623</v>
      </c>
      <c r="G535" s="54" t="s">
        <v>1624</v>
      </c>
      <c r="H535" s="54" t="s">
        <v>1625</v>
      </c>
      <c r="I535" s="54" t="s">
        <v>1626</v>
      </c>
      <c r="J535" s="71" t="s">
        <v>113</v>
      </c>
      <c r="K535" s="56"/>
    </row>
    <row r="536" ht="12.75" customHeight="1">
      <c r="A536" s="69" t="s">
        <v>873</v>
      </c>
      <c r="B536" s="50">
        <v>45665.0</v>
      </c>
      <c r="C536" s="70"/>
      <c r="D536" s="64"/>
      <c r="E536" s="65" t="s">
        <v>874</v>
      </c>
      <c r="F536" s="71" t="s">
        <v>1627</v>
      </c>
      <c r="G536" s="54" t="s">
        <v>1628</v>
      </c>
      <c r="H536" s="54" t="s">
        <v>1629</v>
      </c>
      <c r="I536" s="54" t="s">
        <v>1630</v>
      </c>
      <c r="J536" s="71" t="s">
        <v>113</v>
      </c>
      <c r="K536" s="56"/>
    </row>
    <row r="537" ht="12.75" customHeight="1">
      <c r="A537" s="69" t="s">
        <v>875</v>
      </c>
      <c r="B537" s="50">
        <v>45665.0</v>
      </c>
      <c r="C537" s="70"/>
      <c r="D537" s="64"/>
      <c r="E537" s="65" t="s">
        <v>876</v>
      </c>
      <c r="F537" s="71" t="s">
        <v>1631</v>
      </c>
      <c r="G537" s="54" t="s">
        <v>1632</v>
      </c>
      <c r="H537" s="54" t="s">
        <v>1633</v>
      </c>
      <c r="I537" s="54" t="s">
        <v>1634</v>
      </c>
      <c r="J537" s="71" t="s">
        <v>113</v>
      </c>
      <c r="K537" s="56"/>
    </row>
    <row r="538" ht="12.75" customHeight="1">
      <c r="A538" s="69" t="s">
        <v>877</v>
      </c>
      <c r="B538" s="50">
        <v>45665.0</v>
      </c>
      <c r="C538" s="70"/>
      <c r="D538" s="64"/>
      <c r="E538" s="65" t="s">
        <v>878</v>
      </c>
      <c r="F538" s="71" t="s">
        <v>471</v>
      </c>
      <c r="G538" s="54" t="s">
        <v>472</v>
      </c>
      <c r="H538" s="54" t="s">
        <v>473</v>
      </c>
      <c r="I538" s="54" t="s">
        <v>474</v>
      </c>
      <c r="J538" s="71" t="s">
        <v>113</v>
      </c>
      <c r="K538" s="56"/>
    </row>
    <row r="539" ht="12.75" customHeight="1">
      <c r="A539" s="69" t="s">
        <v>879</v>
      </c>
      <c r="B539" s="50">
        <v>45665.0</v>
      </c>
      <c r="C539" s="70"/>
      <c r="D539" s="64"/>
      <c r="E539" s="65" t="s">
        <v>880</v>
      </c>
      <c r="F539" s="71" t="s">
        <v>1635</v>
      </c>
      <c r="G539" s="54" t="s">
        <v>1636</v>
      </c>
      <c r="H539" s="54" t="s">
        <v>1637</v>
      </c>
      <c r="I539" s="54" t="s">
        <v>1638</v>
      </c>
      <c r="J539" s="71" t="s">
        <v>113</v>
      </c>
      <c r="K539" s="56"/>
    </row>
    <row r="540" ht="12.75" customHeight="1">
      <c r="A540" s="69" t="s">
        <v>881</v>
      </c>
      <c r="B540" s="50">
        <v>45665.0</v>
      </c>
      <c r="C540" s="70"/>
      <c r="D540" s="64"/>
      <c r="E540" s="65" t="s">
        <v>882</v>
      </c>
      <c r="F540" s="71" t="s">
        <v>1639</v>
      </c>
      <c r="G540" s="54" t="s">
        <v>1640</v>
      </c>
      <c r="H540" s="54" t="s">
        <v>1641</v>
      </c>
      <c r="I540" s="54" t="s">
        <v>1642</v>
      </c>
      <c r="J540" s="71" t="s">
        <v>113</v>
      </c>
      <c r="K540" s="56"/>
    </row>
    <row r="541" ht="12.75" customHeight="1">
      <c r="A541" s="69" t="s">
        <v>1643</v>
      </c>
      <c r="B541" s="50">
        <v>45665.0</v>
      </c>
      <c r="C541" s="70"/>
      <c r="D541" s="64"/>
      <c r="E541" s="65" t="s">
        <v>1644</v>
      </c>
      <c r="F541" s="71" t="s">
        <v>1645</v>
      </c>
      <c r="G541" s="57"/>
      <c r="H541" s="54" t="s">
        <v>1646</v>
      </c>
      <c r="I541" s="54" t="s">
        <v>1647</v>
      </c>
      <c r="J541" s="71" t="s">
        <v>113</v>
      </c>
      <c r="K541" s="56"/>
    </row>
    <row r="542" ht="12.75" customHeight="1">
      <c r="A542" s="69" t="s">
        <v>1648</v>
      </c>
      <c r="B542" s="50">
        <v>45755.0</v>
      </c>
      <c r="C542" s="70"/>
      <c r="D542" s="64"/>
      <c r="E542" s="65" t="s">
        <v>1649</v>
      </c>
      <c r="F542" s="71" t="s">
        <v>1650</v>
      </c>
      <c r="G542" s="57"/>
      <c r="H542" s="54" t="s">
        <v>1651</v>
      </c>
      <c r="I542" s="54" t="s">
        <v>1652</v>
      </c>
      <c r="J542" s="71" t="s">
        <v>113</v>
      </c>
      <c r="K542" s="56"/>
    </row>
    <row r="543" ht="12.75" customHeight="1">
      <c r="A543" s="69" t="s">
        <v>889</v>
      </c>
      <c r="B543" s="50">
        <v>45755.0</v>
      </c>
      <c r="C543" s="70"/>
      <c r="D543" s="64"/>
      <c r="E543" s="65" t="s">
        <v>890</v>
      </c>
      <c r="F543" s="71" t="s">
        <v>1653</v>
      </c>
      <c r="G543" s="54" t="s">
        <v>1654</v>
      </c>
      <c r="H543" s="54" t="s">
        <v>1655</v>
      </c>
      <c r="I543" s="54" t="s">
        <v>1656</v>
      </c>
      <c r="J543" s="71" t="s">
        <v>113</v>
      </c>
      <c r="K543" s="56"/>
    </row>
    <row r="544" ht="12.75" customHeight="1">
      <c r="A544" s="69" t="s">
        <v>891</v>
      </c>
      <c r="B544" s="50">
        <v>45755.0</v>
      </c>
      <c r="C544" s="70"/>
      <c r="D544" s="64"/>
      <c r="E544" s="65" t="s">
        <v>892</v>
      </c>
      <c r="F544" s="71" t="s">
        <v>1657</v>
      </c>
      <c r="G544" s="54" t="s">
        <v>1658</v>
      </c>
      <c r="H544" s="54" t="s">
        <v>1659</v>
      </c>
      <c r="I544" s="54" t="s">
        <v>1660</v>
      </c>
      <c r="J544" s="71" t="s">
        <v>113</v>
      </c>
      <c r="K544" s="56"/>
    </row>
    <row r="545" ht="12.75" customHeight="1">
      <c r="A545" s="69" t="s">
        <v>893</v>
      </c>
      <c r="B545" s="50">
        <v>45755.0</v>
      </c>
      <c r="C545" s="70"/>
      <c r="D545" s="64"/>
      <c r="E545" s="65" t="s">
        <v>894</v>
      </c>
      <c r="F545" s="71" t="s">
        <v>1661</v>
      </c>
      <c r="G545" s="54" t="s">
        <v>1662</v>
      </c>
      <c r="H545" s="54" t="s">
        <v>1663</v>
      </c>
      <c r="I545" s="54" t="s">
        <v>1664</v>
      </c>
      <c r="J545" s="71" t="s">
        <v>113</v>
      </c>
      <c r="K545" s="56"/>
    </row>
    <row r="546" ht="12.75" customHeight="1">
      <c r="A546" s="69" t="s">
        <v>895</v>
      </c>
      <c r="B546" s="50">
        <v>45785.0</v>
      </c>
      <c r="C546" s="70"/>
      <c r="D546" s="64"/>
      <c r="E546" s="65" t="s">
        <v>896</v>
      </c>
      <c r="F546" s="71" t="s">
        <v>1130</v>
      </c>
      <c r="G546" s="54" t="s">
        <v>1131</v>
      </c>
      <c r="H546" s="54" t="s">
        <v>1132</v>
      </c>
      <c r="I546" s="54" t="s">
        <v>1133</v>
      </c>
      <c r="J546" s="71" t="s">
        <v>113</v>
      </c>
      <c r="K546" s="56"/>
    </row>
    <row r="547" ht="12.75" customHeight="1">
      <c r="A547" s="69" t="s">
        <v>897</v>
      </c>
      <c r="B547" s="50">
        <v>45785.0</v>
      </c>
      <c r="C547" s="70"/>
      <c r="D547" s="64"/>
      <c r="E547" s="65" t="s">
        <v>898</v>
      </c>
      <c r="F547" s="71" t="s">
        <v>1148</v>
      </c>
      <c r="G547" s="54">
        <v>646.268</v>
      </c>
      <c r="H547" s="54" t="s">
        <v>1149</v>
      </c>
      <c r="I547" s="54" t="s">
        <v>1150</v>
      </c>
      <c r="J547" s="71" t="s">
        <v>113</v>
      </c>
      <c r="K547" s="56"/>
    </row>
    <row r="548" ht="12.75" customHeight="1">
      <c r="A548" s="69" t="s">
        <v>899</v>
      </c>
      <c r="B548" s="50">
        <v>45785.0</v>
      </c>
      <c r="C548" s="70"/>
      <c r="D548" s="64"/>
      <c r="E548" s="65" t="s">
        <v>900</v>
      </c>
      <c r="F548" s="71" t="s">
        <v>1665</v>
      </c>
      <c r="G548" s="54" t="s">
        <v>1666</v>
      </c>
      <c r="H548" s="54" t="s">
        <v>1667</v>
      </c>
      <c r="I548" s="54" t="s">
        <v>1668</v>
      </c>
      <c r="J548" s="71" t="s">
        <v>113</v>
      </c>
      <c r="K548" s="56"/>
    </row>
    <row r="549" ht="12.75" customHeight="1">
      <c r="A549" s="69" t="s">
        <v>901</v>
      </c>
      <c r="B549" s="50">
        <v>45785.0</v>
      </c>
      <c r="C549" s="70"/>
      <c r="D549" s="64"/>
      <c r="E549" s="65" t="s">
        <v>902</v>
      </c>
      <c r="F549" s="71" t="s">
        <v>1148</v>
      </c>
      <c r="G549" s="54">
        <v>646.268</v>
      </c>
      <c r="H549" s="54" t="s">
        <v>1149</v>
      </c>
      <c r="I549" s="54" t="s">
        <v>1150</v>
      </c>
      <c r="J549" s="71" t="s">
        <v>113</v>
      </c>
      <c r="K549" s="56"/>
    </row>
    <row r="550" ht="12.75" customHeight="1">
      <c r="A550" s="69" t="s">
        <v>903</v>
      </c>
      <c r="B550" s="50">
        <v>45785.0</v>
      </c>
      <c r="C550" s="70"/>
      <c r="D550" s="64"/>
      <c r="E550" s="65" t="s">
        <v>904</v>
      </c>
      <c r="F550" s="71" t="s">
        <v>1507</v>
      </c>
      <c r="G550" s="54">
        <v>643.145</v>
      </c>
      <c r="H550" s="54" t="s">
        <v>1508</v>
      </c>
      <c r="I550" s="54" t="s">
        <v>1509</v>
      </c>
      <c r="J550" s="71" t="s">
        <v>113</v>
      </c>
      <c r="K550" s="56"/>
    </row>
    <row r="551" ht="12.75" customHeight="1">
      <c r="A551" s="69" t="s">
        <v>905</v>
      </c>
      <c r="B551" s="50">
        <v>45816.0</v>
      </c>
      <c r="C551" s="70"/>
      <c r="D551" s="64"/>
      <c r="E551" s="65" t="s">
        <v>906</v>
      </c>
      <c r="F551" s="71" t="s">
        <v>1669</v>
      </c>
      <c r="G551" s="54">
        <v>322.146</v>
      </c>
      <c r="H551" s="54">
        <v>679.728</v>
      </c>
      <c r="I551" s="54" t="s">
        <v>1670</v>
      </c>
      <c r="J551" s="71" t="s">
        <v>113</v>
      </c>
      <c r="K551" s="56"/>
    </row>
    <row r="552" ht="12.75" customHeight="1">
      <c r="A552" s="69" t="s">
        <v>907</v>
      </c>
      <c r="B552" s="50">
        <v>45816.0</v>
      </c>
      <c r="C552" s="70"/>
      <c r="D552" s="64"/>
      <c r="E552" s="65" t="s">
        <v>908</v>
      </c>
      <c r="F552" s="71" t="s">
        <v>1671</v>
      </c>
      <c r="G552" s="54" t="s">
        <v>1672</v>
      </c>
      <c r="H552" s="54" t="s">
        <v>1673</v>
      </c>
      <c r="I552" s="54" t="s">
        <v>1674</v>
      </c>
      <c r="J552" s="71" t="e">
        <v>#N/A</v>
      </c>
      <c r="K552" s="56"/>
    </row>
    <row r="553" ht="12.75" customHeight="1">
      <c r="A553" s="69" t="s">
        <v>909</v>
      </c>
      <c r="B553" s="50">
        <v>45816.0</v>
      </c>
      <c r="C553" s="70"/>
      <c r="D553" s="64"/>
      <c r="E553" s="65" t="s">
        <v>910</v>
      </c>
      <c r="F553" s="71" t="s">
        <v>1675</v>
      </c>
      <c r="G553" s="54" t="s">
        <v>1676</v>
      </c>
      <c r="H553" s="54" t="s">
        <v>1677</v>
      </c>
      <c r="I553" s="54" t="s">
        <v>1678</v>
      </c>
      <c r="J553" s="71" t="s">
        <v>113</v>
      </c>
      <c r="K553" s="56"/>
    </row>
    <row r="554" ht="12.75" customHeight="1">
      <c r="A554" s="69" t="s">
        <v>911</v>
      </c>
      <c r="B554" s="50">
        <v>45846.0</v>
      </c>
      <c r="C554" s="70"/>
      <c r="D554" s="64"/>
      <c r="E554" s="65" t="s">
        <v>912</v>
      </c>
      <c r="F554" s="71" t="s">
        <v>1679</v>
      </c>
      <c r="G554" s="54" t="s">
        <v>1680</v>
      </c>
      <c r="H554" s="54" t="s">
        <v>1681</v>
      </c>
      <c r="I554" s="54" t="s">
        <v>1682</v>
      </c>
      <c r="J554" s="71" t="s">
        <v>113</v>
      </c>
      <c r="K554" s="56"/>
    </row>
    <row r="555" ht="12.75" customHeight="1">
      <c r="A555" s="69" t="s">
        <v>913</v>
      </c>
      <c r="B555" s="50">
        <v>45877.0</v>
      </c>
      <c r="C555" s="70"/>
      <c r="D555" s="64"/>
      <c r="E555" s="65" t="s">
        <v>914</v>
      </c>
      <c r="F555" s="71" t="s">
        <v>1683</v>
      </c>
      <c r="G555" s="57"/>
      <c r="H555" s="54">
        <v>0.0</v>
      </c>
      <c r="I555" s="54" t="s">
        <v>1683</v>
      </c>
      <c r="J555" s="71" t="s">
        <v>113</v>
      </c>
      <c r="K555" s="56"/>
    </row>
    <row r="556" ht="12.75" customHeight="1">
      <c r="A556" s="69" t="s">
        <v>915</v>
      </c>
      <c r="B556" s="50">
        <v>45877.0</v>
      </c>
      <c r="C556" s="70"/>
      <c r="D556" s="64"/>
      <c r="E556" s="65" t="s">
        <v>916</v>
      </c>
      <c r="F556" s="71" t="s">
        <v>1684</v>
      </c>
      <c r="G556" s="54" t="s">
        <v>1685</v>
      </c>
      <c r="H556" s="54">
        <v>0.0</v>
      </c>
      <c r="I556" s="54" t="s">
        <v>1686</v>
      </c>
      <c r="J556" s="71" t="s">
        <v>113</v>
      </c>
      <c r="K556" s="56"/>
    </row>
    <row r="557" ht="12.75" customHeight="1">
      <c r="A557" s="69" t="s">
        <v>917</v>
      </c>
      <c r="B557" s="50">
        <v>45877.0</v>
      </c>
      <c r="C557" s="70"/>
      <c r="D557" s="64"/>
      <c r="E557" s="65" t="s">
        <v>918</v>
      </c>
      <c r="F557" s="71" t="s">
        <v>1687</v>
      </c>
      <c r="G557" s="57"/>
      <c r="H557" s="54">
        <v>0.0</v>
      </c>
      <c r="I557" s="54" t="s">
        <v>1687</v>
      </c>
      <c r="J557" s="71" t="s">
        <v>113</v>
      </c>
      <c r="K557" s="56"/>
    </row>
    <row r="558" ht="12.75" customHeight="1">
      <c r="A558" s="69" t="s">
        <v>919</v>
      </c>
      <c r="B558" s="50">
        <v>45877.0</v>
      </c>
      <c r="C558" s="70"/>
      <c r="D558" s="64"/>
      <c r="E558" s="65" t="s">
        <v>920</v>
      </c>
      <c r="F558" s="71" t="s">
        <v>1688</v>
      </c>
      <c r="G558" s="57"/>
      <c r="H558" s="54" t="s">
        <v>1689</v>
      </c>
      <c r="I558" s="54" t="s">
        <v>1690</v>
      </c>
      <c r="J558" s="71" t="s">
        <v>113</v>
      </c>
      <c r="K558" s="56"/>
    </row>
    <row r="559" ht="12.75" customHeight="1">
      <c r="A559" s="69" t="s">
        <v>921</v>
      </c>
      <c r="B559" s="50">
        <v>45877.0</v>
      </c>
      <c r="C559" s="70"/>
      <c r="D559" s="64"/>
      <c r="E559" s="65" t="s">
        <v>922</v>
      </c>
      <c r="F559" s="71" t="s">
        <v>1685</v>
      </c>
      <c r="G559" s="57"/>
      <c r="H559" s="57"/>
      <c r="I559" s="54" t="s">
        <v>1685</v>
      </c>
      <c r="J559" s="71" t="s">
        <v>113</v>
      </c>
      <c r="K559" s="56"/>
    </row>
    <row r="560" ht="12.75" customHeight="1">
      <c r="A560" s="69" t="s">
        <v>923</v>
      </c>
      <c r="B560" s="50">
        <v>45877.0</v>
      </c>
      <c r="C560" s="70"/>
      <c r="D560" s="64"/>
      <c r="E560" s="65" t="s">
        <v>924</v>
      </c>
      <c r="F560" s="71" t="s">
        <v>1691</v>
      </c>
      <c r="G560" s="57"/>
      <c r="H560" s="54">
        <v>270.988</v>
      </c>
      <c r="I560" s="54" t="s">
        <v>1692</v>
      </c>
      <c r="J560" s="71" t="s">
        <v>113</v>
      </c>
      <c r="K560" s="56"/>
    </row>
    <row r="561" ht="12.75" customHeight="1">
      <c r="A561" s="69" t="s">
        <v>1693</v>
      </c>
      <c r="B561" s="50">
        <v>45969.0</v>
      </c>
      <c r="C561" s="70"/>
      <c r="D561" s="64"/>
      <c r="E561" s="65" t="s">
        <v>1694</v>
      </c>
      <c r="F561" s="71" t="s">
        <v>1695</v>
      </c>
      <c r="G561" s="57"/>
      <c r="H561" s="54">
        <v>0.0</v>
      </c>
      <c r="I561" s="54" t="s">
        <v>1695</v>
      </c>
      <c r="J561" s="71" t="s">
        <v>113</v>
      </c>
      <c r="K561" s="56"/>
    </row>
    <row r="562" ht="12.75" customHeight="1">
      <c r="A562" s="69" t="s">
        <v>1696</v>
      </c>
      <c r="B562" s="50">
        <v>45969.0</v>
      </c>
      <c r="C562" s="70"/>
      <c r="D562" s="64"/>
      <c r="E562" s="65" t="s">
        <v>1697</v>
      </c>
      <c r="F562" s="71" t="s">
        <v>1698</v>
      </c>
      <c r="G562" s="57"/>
      <c r="H562" s="54" t="s">
        <v>1699</v>
      </c>
      <c r="I562" s="54" t="s">
        <v>1700</v>
      </c>
      <c r="J562" s="71" t="s">
        <v>113</v>
      </c>
      <c r="K562" s="56"/>
    </row>
    <row r="563" ht="12.75" customHeight="1">
      <c r="A563" s="69" t="s">
        <v>930</v>
      </c>
      <c r="B563" s="50">
        <v>45665.0</v>
      </c>
      <c r="C563" s="70"/>
      <c r="D563" s="64"/>
      <c r="E563" s="65" t="s">
        <v>1701</v>
      </c>
      <c r="F563" s="71" t="s">
        <v>1702</v>
      </c>
      <c r="G563" s="54">
        <v>260.601</v>
      </c>
      <c r="H563" s="54">
        <v>569.536</v>
      </c>
      <c r="I563" s="54" t="s">
        <v>1703</v>
      </c>
      <c r="J563" s="71" t="s">
        <v>113</v>
      </c>
      <c r="K563" s="56"/>
    </row>
    <row r="564" ht="12.75" customHeight="1">
      <c r="A564" s="69" t="s">
        <v>932</v>
      </c>
      <c r="B564" s="11" t="s">
        <v>1704</v>
      </c>
      <c r="C564" s="70"/>
      <c r="D564" s="64"/>
      <c r="E564" s="65" t="s">
        <v>933</v>
      </c>
      <c r="F564" s="71" t="s">
        <v>1705</v>
      </c>
      <c r="G564" s="54">
        <v>175.889</v>
      </c>
      <c r="H564" s="54">
        <v>384.401</v>
      </c>
      <c r="I564" s="54" t="s">
        <v>1706</v>
      </c>
      <c r="J564" s="71" t="s">
        <v>113</v>
      </c>
      <c r="K564" s="56"/>
    </row>
    <row r="565" ht="12.75" customHeight="1">
      <c r="A565" s="69" t="s">
        <v>1707</v>
      </c>
      <c r="B565" s="11" t="s">
        <v>1708</v>
      </c>
      <c r="C565" s="70"/>
      <c r="D565" s="64"/>
      <c r="E565" s="65" t="s">
        <v>1709</v>
      </c>
      <c r="F565" s="71" t="s">
        <v>1710</v>
      </c>
      <c r="G565" s="57"/>
      <c r="H565" s="54">
        <v>0.0</v>
      </c>
      <c r="I565" s="54" t="s">
        <v>1710</v>
      </c>
      <c r="J565" s="71" t="s">
        <v>113</v>
      </c>
      <c r="K565" s="56"/>
    </row>
    <row r="566" ht="12.75" customHeight="1">
      <c r="A566" s="69" t="s">
        <v>1711</v>
      </c>
      <c r="B566" s="11" t="s">
        <v>1708</v>
      </c>
      <c r="C566" s="70"/>
      <c r="D566" s="64"/>
      <c r="E566" s="65" t="s">
        <v>1712</v>
      </c>
      <c r="F566" s="71" t="s">
        <v>1713</v>
      </c>
      <c r="G566" s="57"/>
      <c r="H566" s="54" t="s">
        <v>1714</v>
      </c>
      <c r="I566" s="54" t="s">
        <v>1715</v>
      </c>
      <c r="J566" s="71" t="s">
        <v>113</v>
      </c>
      <c r="K566" s="56"/>
    </row>
    <row r="567" ht="12.75" customHeight="1">
      <c r="A567" s="69" t="s">
        <v>941</v>
      </c>
      <c r="B567" s="11" t="s">
        <v>1716</v>
      </c>
      <c r="C567" s="70"/>
      <c r="D567" s="64"/>
      <c r="E567" s="65" t="s">
        <v>942</v>
      </c>
      <c r="F567" s="71" t="s">
        <v>82</v>
      </c>
      <c r="G567" s="54" t="s">
        <v>1717</v>
      </c>
      <c r="H567" s="54" t="s">
        <v>1718</v>
      </c>
      <c r="I567" s="54" t="s">
        <v>1719</v>
      </c>
      <c r="J567" s="71" t="s">
        <v>113</v>
      </c>
      <c r="K567" s="56">
        <v>0.0</v>
      </c>
    </row>
    <row r="568" ht="12.75" customHeight="1">
      <c r="A568" s="69" t="s">
        <v>943</v>
      </c>
      <c r="B568" s="11" t="s">
        <v>1720</v>
      </c>
      <c r="C568" s="70"/>
      <c r="D568" s="64"/>
      <c r="E568" s="65" t="s">
        <v>944</v>
      </c>
      <c r="F568" s="71" t="s">
        <v>1721</v>
      </c>
      <c r="G568" s="54" t="s">
        <v>1722</v>
      </c>
      <c r="H568" s="54" t="s">
        <v>1723</v>
      </c>
      <c r="I568" s="54" t="s">
        <v>1724</v>
      </c>
      <c r="J568" s="71" t="s">
        <v>113</v>
      </c>
      <c r="K568" s="56"/>
    </row>
    <row r="569" ht="12.75" customHeight="1">
      <c r="A569" s="69" t="s">
        <v>945</v>
      </c>
      <c r="B569" s="11" t="s">
        <v>1720</v>
      </c>
      <c r="C569" s="70"/>
      <c r="D569" s="64"/>
      <c r="E569" s="65" t="s">
        <v>946</v>
      </c>
      <c r="F569" s="71" t="s">
        <v>1725</v>
      </c>
      <c r="G569" s="54" t="s">
        <v>1726</v>
      </c>
      <c r="H569" s="54" t="s">
        <v>1727</v>
      </c>
      <c r="I569" s="54" t="s">
        <v>1728</v>
      </c>
      <c r="J569" s="71" t="s">
        <v>113</v>
      </c>
      <c r="K569" s="56"/>
    </row>
    <row r="570" ht="12.75" customHeight="1">
      <c r="A570" s="69" t="s">
        <v>947</v>
      </c>
      <c r="B570" s="11" t="s">
        <v>1729</v>
      </c>
      <c r="C570" s="70"/>
      <c r="D570" s="64"/>
      <c r="E570" s="65" t="s">
        <v>948</v>
      </c>
      <c r="F570" s="71" t="s">
        <v>1730</v>
      </c>
      <c r="G570" s="54" t="s">
        <v>1731</v>
      </c>
      <c r="H570" s="54" t="s">
        <v>1732</v>
      </c>
      <c r="I570" s="54" t="s">
        <v>1733</v>
      </c>
      <c r="J570" s="71" t="s">
        <v>113</v>
      </c>
      <c r="K570" s="56"/>
    </row>
    <row r="571" ht="12.75" customHeight="1">
      <c r="A571" s="69" t="s">
        <v>949</v>
      </c>
      <c r="B571" s="11" t="s">
        <v>1729</v>
      </c>
      <c r="C571" s="70"/>
      <c r="D571" s="64"/>
      <c r="E571" s="65" t="s">
        <v>950</v>
      </c>
      <c r="F571" s="71" t="s">
        <v>1734</v>
      </c>
      <c r="G571" s="54" t="s">
        <v>1735</v>
      </c>
      <c r="H571" s="54" t="s">
        <v>1736</v>
      </c>
      <c r="I571" s="54" t="s">
        <v>1737</v>
      </c>
      <c r="J571" s="71" t="s">
        <v>113</v>
      </c>
      <c r="K571" s="56"/>
    </row>
    <row r="572" ht="12.75" customHeight="1">
      <c r="A572" s="69" t="s">
        <v>951</v>
      </c>
      <c r="B572" s="11" t="s">
        <v>1738</v>
      </c>
      <c r="C572" s="70"/>
      <c r="D572" s="64"/>
      <c r="E572" s="65" t="s">
        <v>952</v>
      </c>
      <c r="F572" s="71" t="s">
        <v>1739</v>
      </c>
      <c r="G572" s="54" t="s">
        <v>1740</v>
      </c>
      <c r="H572" s="54" t="s">
        <v>1741</v>
      </c>
      <c r="I572" s="54" t="s">
        <v>1742</v>
      </c>
      <c r="J572" s="71" t="s">
        <v>113</v>
      </c>
      <c r="K572" s="56"/>
    </row>
    <row r="573" ht="12.75" customHeight="1">
      <c r="A573" s="69" t="s">
        <v>1743</v>
      </c>
      <c r="B573" s="11" t="s">
        <v>1738</v>
      </c>
      <c r="C573" s="70"/>
      <c r="D573" s="64"/>
      <c r="E573" s="65" t="s">
        <v>1744</v>
      </c>
      <c r="F573" s="71" t="s">
        <v>1745</v>
      </c>
      <c r="G573" s="57"/>
      <c r="H573" s="54" t="s">
        <v>1746</v>
      </c>
      <c r="I573" s="54" t="s">
        <v>1747</v>
      </c>
      <c r="J573" s="71" t="s">
        <v>113</v>
      </c>
      <c r="K573" s="56"/>
    </row>
    <row r="574" ht="12.75" customHeight="1">
      <c r="A574" s="69" t="s">
        <v>1748</v>
      </c>
      <c r="B574" s="11" t="s">
        <v>1738</v>
      </c>
      <c r="C574" s="70"/>
      <c r="D574" s="64"/>
      <c r="E574" s="65" t="s">
        <v>1749</v>
      </c>
      <c r="F574" s="71" t="s">
        <v>1750</v>
      </c>
      <c r="G574" s="57"/>
      <c r="H574" s="54" t="s">
        <v>1751</v>
      </c>
      <c r="I574" s="54" t="s">
        <v>1752</v>
      </c>
      <c r="J574" s="71" t="s">
        <v>113</v>
      </c>
      <c r="K574" s="56"/>
    </row>
    <row r="575" ht="12.75" customHeight="1">
      <c r="A575" s="69" t="s">
        <v>1753</v>
      </c>
      <c r="B575" s="11" t="s">
        <v>1738</v>
      </c>
      <c r="C575" s="70"/>
      <c r="D575" s="64"/>
      <c r="E575" s="65" t="s">
        <v>1754</v>
      </c>
      <c r="F575" s="71" t="s">
        <v>1278</v>
      </c>
      <c r="G575" s="57"/>
      <c r="H575" s="54">
        <v>798.077</v>
      </c>
      <c r="I575" s="54" t="s">
        <v>1755</v>
      </c>
      <c r="J575" s="71" t="s">
        <v>113</v>
      </c>
      <c r="K575" s="56"/>
    </row>
    <row r="576" ht="12.75" customHeight="1">
      <c r="A576" s="69" t="s">
        <v>1756</v>
      </c>
      <c r="B576" s="11" t="s">
        <v>1757</v>
      </c>
      <c r="C576" s="70"/>
      <c r="D576" s="64"/>
      <c r="E576" s="65" t="s">
        <v>1758</v>
      </c>
      <c r="F576" s="71" t="s">
        <v>1759</v>
      </c>
      <c r="G576" s="54" t="s">
        <v>1760</v>
      </c>
      <c r="H576" s="54" t="s">
        <v>1761</v>
      </c>
      <c r="I576" s="54" t="s">
        <v>1762</v>
      </c>
      <c r="J576" s="71" t="s">
        <v>113</v>
      </c>
      <c r="K576" s="56"/>
    </row>
    <row r="577" ht="12.75" customHeight="1">
      <c r="A577" s="69" t="s">
        <v>969</v>
      </c>
      <c r="B577" s="11" t="s">
        <v>1763</v>
      </c>
      <c r="C577" s="70"/>
      <c r="D577" s="64"/>
      <c r="E577" s="65" t="s">
        <v>970</v>
      </c>
      <c r="F577" s="71" t="s">
        <v>1764</v>
      </c>
      <c r="G577" s="54" t="s">
        <v>1765</v>
      </c>
      <c r="H577" s="54" t="s">
        <v>1766</v>
      </c>
      <c r="I577" s="54" t="s">
        <v>1767</v>
      </c>
      <c r="J577" s="71" t="s">
        <v>113</v>
      </c>
      <c r="K577" s="56"/>
    </row>
    <row r="578" ht="12.75" customHeight="1">
      <c r="A578" s="69" t="s">
        <v>971</v>
      </c>
      <c r="B578" s="11" t="s">
        <v>1763</v>
      </c>
      <c r="C578" s="70"/>
      <c r="D578" s="64"/>
      <c r="E578" s="65" t="s">
        <v>972</v>
      </c>
      <c r="F578" s="71" t="s">
        <v>1768</v>
      </c>
      <c r="G578" s="54" t="s">
        <v>1769</v>
      </c>
      <c r="H578" s="54" t="s">
        <v>1770</v>
      </c>
      <c r="I578" s="54" t="s">
        <v>1771</v>
      </c>
      <c r="J578" s="71" t="s">
        <v>113</v>
      </c>
      <c r="K578" s="56"/>
    </row>
    <row r="579" ht="12.75" customHeight="1">
      <c r="A579" s="69" t="s">
        <v>973</v>
      </c>
      <c r="B579" s="50">
        <v>45666.0</v>
      </c>
      <c r="C579" s="70"/>
      <c r="D579" s="64"/>
      <c r="E579" s="65" t="s">
        <v>974</v>
      </c>
      <c r="F579" s="71" t="s">
        <v>1772</v>
      </c>
      <c r="G579" s="54" t="s">
        <v>1773</v>
      </c>
      <c r="H579" s="54" t="s">
        <v>1774</v>
      </c>
      <c r="I579" s="54" t="s">
        <v>1775</v>
      </c>
      <c r="J579" s="71" t="s">
        <v>113</v>
      </c>
      <c r="K579" s="56"/>
    </row>
    <row r="580" ht="12.75" customHeight="1">
      <c r="A580" s="69" t="s">
        <v>975</v>
      </c>
      <c r="B580" s="50">
        <v>45666.0</v>
      </c>
      <c r="C580" s="70"/>
      <c r="D580" s="64"/>
      <c r="E580" s="65" t="s">
        <v>976</v>
      </c>
      <c r="F580" s="71" t="s">
        <v>1619</v>
      </c>
      <c r="G580" s="54" t="s">
        <v>1620</v>
      </c>
      <c r="H580" s="54" t="s">
        <v>1621</v>
      </c>
      <c r="I580" s="54" t="s">
        <v>1622</v>
      </c>
      <c r="J580" s="71" t="s">
        <v>113</v>
      </c>
      <c r="K580" s="56"/>
    </row>
    <row r="581" ht="12.75" customHeight="1">
      <c r="A581" s="69" t="s">
        <v>977</v>
      </c>
      <c r="B581" s="50">
        <v>45666.0</v>
      </c>
      <c r="C581" s="70"/>
      <c r="D581" s="64"/>
      <c r="E581" s="65" t="s">
        <v>978</v>
      </c>
      <c r="F581" s="71" t="s">
        <v>1776</v>
      </c>
      <c r="G581" s="54" t="s">
        <v>1777</v>
      </c>
      <c r="H581" s="54" t="s">
        <v>1778</v>
      </c>
      <c r="I581" s="54" t="s">
        <v>1779</v>
      </c>
      <c r="J581" s="71" t="s">
        <v>113</v>
      </c>
      <c r="K581" s="56"/>
    </row>
    <row r="582" ht="12.75" customHeight="1">
      <c r="A582" s="69" t="s">
        <v>1780</v>
      </c>
      <c r="B582" s="50">
        <v>45697.0</v>
      </c>
      <c r="C582" s="70"/>
      <c r="D582" s="64"/>
      <c r="E582" s="65" t="s">
        <v>1781</v>
      </c>
      <c r="F582" s="71" t="s">
        <v>1782</v>
      </c>
      <c r="G582" s="54" t="s">
        <v>1783</v>
      </c>
      <c r="H582" s="54" t="s">
        <v>1784</v>
      </c>
      <c r="I582" s="54" t="s">
        <v>1785</v>
      </c>
      <c r="J582" s="71" t="s">
        <v>113</v>
      </c>
      <c r="K582" s="56"/>
    </row>
    <row r="583" ht="12.75" customHeight="1">
      <c r="A583" s="69" t="s">
        <v>1786</v>
      </c>
      <c r="B583" s="50">
        <v>45697.0</v>
      </c>
      <c r="C583" s="70"/>
      <c r="D583" s="64"/>
      <c r="E583" s="65" t="s">
        <v>1787</v>
      </c>
      <c r="F583" s="71" t="s">
        <v>1788</v>
      </c>
      <c r="G583" s="54" t="s">
        <v>1789</v>
      </c>
      <c r="H583" s="54" t="s">
        <v>1790</v>
      </c>
      <c r="I583" s="54" t="s">
        <v>1791</v>
      </c>
      <c r="J583" s="71" t="s">
        <v>113</v>
      </c>
      <c r="K583" s="56"/>
    </row>
    <row r="584" ht="12.75" customHeight="1">
      <c r="A584" s="69" t="s">
        <v>1792</v>
      </c>
      <c r="B584" s="50">
        <v>45697.0</v>
      </c>
      <c r="C584" s="70"/>
      <c r="D584" s="64"/>
      <c r="E584" s="65" t="s">
        <v>1793</v>
      </c>
      <c r="F584" s="71" t="s">
        <v>1794</v>
      </c>
      <c r="G584" s="54" t="s">
        <v>1795</v>
      </c>
      <c r="H584" s="54" t="s">
        <v>1796</v>
      </c>
      <c r="I584" s="54" t="s">
        <v>1797</v>
      </c>
      <c r="J584" s="71" t="s">
        <v>113</v>
      </c>
      <c r="K584" s="56"/>
    </row>
    <row r="585" ht="12.75" customHeight="1">
      <c r="A585" s="69" t="s">
        <v>989</v>
      </c>
      <c r="B585" s="50">
        <v>45725.0</v>
      </c>
      <c r="C585" s="70"/>
      <c r="D585" s="64"/>
      <c r="E585" s="65" t="s">
        <v>990</v>
      </c>
      <c r="F585" s="71" t="s">
        <v>1798</v>
      </c>
      <c r="G585" s="54" t="s">
        <v>1799</v>
      </c>
      <c r="H585" s="54" t="s">
        <v>1800</v>
      </c>
      <c r="I585" s="54" t="s">
        <v>1801</v>
      </c>
      <c r="J585" s="71" t="s">
        <v>113</v>
      </c>
      <c r="K585" s="56"/>
    </row>
    <row r="586" ht="12.75" customHeight="1">
      <c r="A586" s="69" t="s">
        <v>991</v>
      </c>
      <c r="B586" s="50">
        <v>45725.0</v>
      </c>
      <c r="C586" s="70"/>
      <c r="D586" s="64"/>
      <c r="E586" s="65" t="s">
        <v>992</v>
      </c>
      <c r="F586" s="71" t="s">
        <v>1802</v>
      </c>
      <c r="G586" s="54" t="s">
        <v>1803</v>
      </c>
      <c r="H586" s="54" t="s">
        <v>1804</v>
      </c>
      <c r="I586" s="54" t="s">
        <v>1805</v>
      </c>
      <c r="J586" s="71" t="s">
        <v>113</v>
      </c>
      <c r="K586" s="56"/>
    </row>
    <row r="587" ht="12.75" customHeight="1">
      <c r="A587" s="69" t="s">
        <v>993</v>
      </c>
      <c r="B587" s="50">
        <v>45725.0</v>
      </c>
      <c r="C587" s="70"/>
      <c r="D587" s="64"/>
      <c r="E587" s="65" t="s">
        <v>994</v>
      </c>
      <c r="F587" s="71" t="s">
        <v>1806</v>
      </c>
      <c r="G587" s="54" t="s">
        <v>1807</v>
      </c>
      <c r="H587" s="54" t="s">
        <v>1808</v>
      </c>
      <c r="I587" s="54" t="s">
        <v>1809</v>
      </c>
      <c r="J587" s="71" t="s">
        <v>113</v>
      </c>
      <c r="K587" s="56"/>
    </row>
    <row r="588" ht="12.75" customHeight="1">
      <c r="A588" s="69" t="s">
        <v>995</v>
      </c>
      <c r="B588" s="50">
        <v>45756.0</v>
      </c>
      <c r="C588" s="70"/>
      <c r="D588" s="64"/>
      <c r="E588" s="65" t="s">
        <v>996</v>
      </c>
      <c r="F588" s="71" t="s">
        <v>1810</v>
      </c>
      <c r="G588" s="54" t="s">
        <v>1811</v>
      </c>
      <c r="H588" s="54" t="s">
        <v>1812</v>
      </c>
      <c r="I588" s="54" t="s">
        <v>1813</v>
      </c>
      <c r="J588" s="71" t="s">
        <v>113</v>
      </c>
      <c r="K588" s="56"/>
    </row>
    <row r="589" ht="12.75" customHeight="1">
      <c r="A589" s="69" t="s">
        <v>997</v>
      </c>
      <c r="B589" s="50">
        <v>45756.0</v>
      </c>
      <c r="C589" s="70"/>
      <c r="D589" s="64"/>
      <c r="E589" s="65" t="s">
        <v>998</v>
      </c>
      <c r="F589" s="71" t="s">
        <v>1814</v>
      </c>
      <c r="G589" s="54" t="s">
        <v>1815</v>
      </c>
      <c r="H589" s="54" t="s">
        <v>1816</v>
      </c>
      <c r="I589" s="54" t="s">
        <v>1817</v>
      </c>
      <c r="J589" s="71" t="s">
        <v>113</v>
      </c>
      <c r="K589" s="56"/>
    </row>
    <row r="590" ht="12.75" customHeight="1">
      <c r="A590" s="69" t="s">
        <v>999</v>
      </c>
      <c r="B590" s="50">
        <v>45756.0</v>
      </c>
      <c r="C590" s="70"/>
      <c r="D590" s="64"/>
      <c r="E590" s="65" t="s">
        <v>1000</v>
      </c>
      <c r="F590" s="71" t="s">
        <v>471</v>
      </c>
      <c r="G590" s="54" t="s">
        <v>472</v>
      </c>
      <c r="H590" s="54" t="s">
        <v>473</v>
      </c>
      <c r="I590" s="54" t="s">
        <v>474</v>
      </c>
      <c r="J590" s="71" t="s">
        <v>113</v>
      </c>
      <c r="K590" s="56"/>
    </row>
    <row r="591" ht="12.75" customHeight="1">
      <c r="A591" s="69" t="s">
        <v>1001</v>
      </c>
      <c r="B591" s="50">
        <v>45756.0</v>
      </c>
      <c r="C591" s="70"/>
      <c r="D591" s="64"/>
      <c r="E591" s="65" t="s">
        <v>1002</v>
      </c>
      <c r="F591" s="71" t="s">
        <v>1324</v>
      </c>
      <c r="G591" s="54" t="s">
        <v>1325</v>
      </c>
      <c r="H591" s="54" t="s">
        <v>1326</v>
      </c>
      <c r="I591" s="54" t="s">
        <v>1327</v>
      </c>
      <c r="J591" s="71" t="s">
        <v>113</v>
      </c>
      <c r="K591" s="56"/>
    </row>
    <row r="592" ht="12.75" customHeight="1">
      <c r="A592" s="69" t="s">
        <v>1003</v>
      </c>
      <c r="B592" s="50">
        <v>45756.0</v>
      </c>
      <c r="C592" s="70"/>
      <c r="D592" s="64"/>
      <c r="E592" s="65" t="s">
        <v>1004</v>
      </c>
      <c r="F592" s="71" t="s">
        <v>1818</v>
      </c>
      <c r="G592" s="54" t="s">
        <v>1819</v>
      </c>
      <c r="H592" s="54" t="s">
        <v>1820</v>
      </c>
      <c r="I592" s="54" t="s">
        <v>1821</v>
      </c>
      <c r="J592" s="71" t="s">
        <v>113</v>
      </c>
      <c r="K592" s="56"/>
    </row>
    <row r="593" ht="12.75" customHeight="1">
      <c r="A593" s="69" t="s">
        <v>1005</v>
      </c>
      <c r="B593" s="50">
        <v>45756.0</v>
      </c>
      <c r="C593" s="70"/>
      <c r="D593" s="64"/>
      <c r="E593" s="65" t="s">
        <v>1822</v>
      </c>
      <c r="F593" s="71" t="s">
        <v>1823</v>
      </c>
      <c r="G593" s="54" t="s">
        <v>1824</v>
      </c>
      <c r="H593" s="54" t="s">
        <v>1825</v>
      </c>
      <c r="I593" s="54" t="s">
        <v>1826</v>
      </c>
      <c r="J593" s="71" t="s">
        <v>113</v>
      </c>
      <c r="K593" s="56"/>
    </row>
    <row r="594" ht="12.75" customHeight="1">
      <c r="A594" s="69" t="s">
        <v>1007</v>
      </c>
      <c r="B594" s="50">
        <v>45939.0</v>
      </c>
      <c r="C594" s="70"/>
      <c r="D594" s="64"/>
      <c r="E594" s="65" t="s">
        <v>1008</v>
      </c>
      <c r="F594" s="71" t="s">
        <v>1827</v>
      </c>
      <c r="G594" s="54" t="s">
        <v>1828</v>
      </c>
      <c r="H594" s="54" t="s">
        <v>1829</v>
      </c>
      <c r="I594" s="54" t="s">
        <v>1830</v>
      </c>
      <c r="J594" s="71" t="s">
        <v>113</v>
      </c>
      <c r="K594" s="56"/>
    </row>
    <row r="595" ht="12.75" customHeight="1">
      <c r="A595" s="69" t="s">
        <v>1831</v>
      </c>
      <c r="B595" s="50">
        <v>45939.0</v>
      </c>
      <c r="C595" s="70"/>
      <c r="D595" s="64"/>
      <c r="E595" s="65" t="s">
        <v>1832</v>
      </c>
      <c r="F595" s="71" t="s">
        <v>1833</v>
      </c>
      <c r="G595" s="54">
        <v>982.407</v>
      </c>
      <c r="H595" s="54" t="s">
        <v>1834</v>
      </c>
      <c r="I595" s="54" t="s">
        <v>1835</v>
      </c>
      <c r="J595" s="71" t="s">
        <v>113</v>
      </c>
      <c r="K595" s="56"/>
    </row>
    <row r="596" ht="12.75" customHeight="1">
      <c r="A596" s="69" t="s">
        <v>1836</v>
      </c>
      <c r="B596" s="50">
        <v>45939.0</v>
      </c>
      <c r="C596" s="70"/>
      <c r="D596" s="64"/>
      <c r="E596" s="65" t="s">
        <v>1837</v>
      </c>
      <c r="F596" s="71" t="s">
        <v>1148</v>
      </c>
      <c r="G596" s="54">
        <v>646.268</v>
      </c>
      <c r="H596" s="54" t="s">
        <v>1149</v>
      </c>
      <c r="I596" s="54" t="s">
        <v>1150</v>
      </c>
      <c r="J596" s="71" t="s">
        <v>113</v>
      </c>
      <c r="K596" s="56"/>
    </row>
    <row r="597" ht="12.75" customHeight="1">
      <c r="A597" s="69" t="s">
        <v>1838</v>
      </c>
      <c r="B597" s="50">
        <v>45939.0</v>
      </c>
      <c r="C597" s="70"/>
      <c r="D597" s="64"/>
      <c r="E597" s="65" t="s">
        <v>1839</v>
      </c>
      <c r="F597" s="71" t="s">
        <v>1148</v>
      </c>
      <c r="G597" s="54">
        <v>646.268</v>
      </c>
      <c r="H597" s="54" t="s">
        <v>1149</v>
      </c>
      <c r="I597" s="54" t="s">
        <v>1150</v>
      </c>
      <c r="J597" s="71" t="s">
        <v>113</v>
      </c>
      <c r="K597" s="56"/>
    </row>
    <row r="598" ht="12.75" customHeight="1">
      <c r="A598" s="69" t="s">
        <v>1840</v>
      </c>
      <c r="B598" s="50">
        <v>45939.0</v>
      </c>
      <c r="C598" s="70"/>
      <c r="D598" s="64"/>
      <c r="E598" s="65" t="s">
        <v>1841</v>
      </c>
      <c r="F598" s="71" t="s">
        <v>1507</v>
      </c>
      <c r="G598" s="54">
        <v>643.145</v>
      </c>
      <c r="H598" s="54" t="s">
        <v>1508</v>
      </c>
      <c r="I598" s="54" t="s">
        <v>1509</v>
      </c>
      <c r="J598" s="71" t="s">
        <v>113</v>
      </c>
      <c r="K598" s="56"/>
    </row>
    <row r="599" ht="12.75" customHeight="1">
      <c r="A599" s="69" t="s">
        <v>1842</v>
      </c>
      <c r="B599" s="50">
        <v>45939.0</v>
      </c>
      <c r="C599" s="70"/>
      <c r="D599" s="64"/>
      <c r="E599" s="65" t="s">
        <v>1843</v>
      </c>
      <c r="F599" s="71" t="s">
        <v>1844</v>
      </c>
      <c r="G599" s="54" t="s">
        <v>1845</v>
      </c>
      <c r="H599" s="54" t="s">
        <v>1846</v>
      </c>
      <c r="I599" s="54" t="s">
        <v>1847</v>
      </c>
      <c r="J599" s="71" t="s">
        <v>113</v>
      </c>
      <c r="K599" s="56"/>
    </row>
    <row r="600" ht="12.75" customHeight="1">
      <c r="A600" s="69" t="s">
        <v>1848</v>
      </c>
      <c r="B600" s="50">
        <v>45939.0</v>
      </c>
      <c r="C600" s="70"/>
      <c r="D600" s="64"/>
      <c r="E600" s="65" t="s">
        <v>1849</v>
      </c>
      <c r="F600" s="71" t="s">
        <v>1850</v>
      </c>
      <c r="G600" s="54" t="s">
        <v>1851</v>
      </c>
      <c r="H600" s="54" t="s">
        <v>1852</v>
      </c>
      <c r="I600" s="54" t="s">
        <v>1853</v>
      </c>
      <c r="J600" s="71" t="s">
        <v>113</v>
      </c>
      <c r="K600" s="56"/>
    </row>
    <row r="601" ht="12.75" customHeight="1">
      <c r="A601" s="69" t="s">
        <v>1038</v>
      </c>
      <c r="B601" s="50">
        <v>45970.0</v>
      </c>
      <c r="C601" s="70"/>
      <c r="D601" s="64"/>
      <c r="E601" s="65" t="s">
        <v>1039</v>
      </c>
      <c r="F601" s="71" t="s">
        <v>1854</v>
      </c>
      <c r="G601" s="54">
        <v>654.23</v>
      </c>
      <c r="H601" s="54" t="s">
        <v>1855</v>
      </c>
      <c r="I601" s="54" t="s">
        <v>1856</v>
      </c>
      <c r="J601" s="71" t="s">
        <v>113</v>
      </c>
      <c r="K601" s="56"/>
    </row>
    <row r="602" ht="12.75" customHeight="1">
      <c r="A602" s="69" t="s">
        <v>1040</v>
      </c>
      <c r="B602" s="50">
        <v>45970.0</v>
      </c>
      <c r="C602" s="70"/>
      <c r="D602" s="64"/>
      <c r="E602" s="65" t="s">
        <v>1041</v>
      </c>
      <c r="F602" s="71" t="s">
        <v>1857</v>
      </c>
      <c r="G602" s="54">
        <v>626.201</v>
      </c>
      <c r="H602" s="54" t="s">
        <v>1858</v>
      </c>
      <c r="I602" s="54" t="s">
        <v>1859</v>
      </c>
      <c r="J602" s="71" t="s">
        <v>113</v>
      </c>
      <c r="K602" s="56"/>
    </row>
    <row r="603" ht="12.75" customHeight="1">
      <c r="A603" s="69" t="s">
        <v>1042</v>
      </c>
      <c r="B603" s="50">
        <v>45970.0</v>
      </c>
      <c r="C603" s="70"/>
      <c r="D603" s="64"/>
      <c r="E603" s="65" t="s">
        <v>1043</v>
      </c>
      <c r="F603" s="71" t="s">
        <v>1860</v>
      </c>
      <c r="G603" s="54" t="s">
        <v>1861</v>
      </c>
      <c r="H603" s="54" t="s">
        <v>1862</v>
      </c>
      <c r="I603" s="54" t="s">
        <v>1863</v>
      </c>
      <c r="J603" s="71" t="s">
        <v>113</v>
      </c>
      <c r="K603" s="56"/>
    </row>
    <row r="604" ht="12.75" customHeight="1">
      <c r="A604" s="69" t="s">
        <v>1044</v>
      </c>
      <c r="B604" s="50">
        <v>45970.0</v>
      </c>
      <c r="C604" s="70"/>
      <c r="D604" s="64"/>
      <c r="E604" s="65" t="s">
        <v>1045</v>
      </c>
      <c r="F604" s="71" t="s">
        <v>1864</v>
      </c>
      <c r="G604" s="54">
        <v>503.076</v>
      </c>
      <c r="H604" s="54" t="s">
        <v>1865</v>
      </c>
      <c r="I604" s="54" t="s">
        <v>1866</v>
      </c>
      <c r="J604" s="71" t="s">
        <v>113</v>
      </c>
      <c r="K604" s="56"/>
    </row>
    <row r="605" ht="12.75" customHeight="1">
      <c r="A605" s="69" t="s">
        <v>1046</v>
      </c>
      <c r="B605" s="50">
        <v>45970.0</v>
      </c>
      <c r="C605" s="70"/>
      <c r="D605" s="64"/>
      <c r="E605" s="65" t="s">
        <v>1867</v>
      </c>
      <c r="F605" s="71" t="s">
        <v>1868</v>
      </c>
      <c r="G605" s="54">
        <v>844.582</v>
      </c>
      <c r="H605" s="54" t="s">
        <v>1869</v>
      </c>
      <c r="I605" s="54" t="s">
        <v>1870</v>
      </c>
      <c r="J605" s="71" t="s">
        <v>113</v>
      </c>
      <c r="K605" s="56"/>
    </row>
    <row r="606" ht="12.75" customHeight="1">
      <c r="A606" s="69" t="s">
        <v>1871</v>
      </c>
      <c r="B606" s="50">
        <v>45970.0</v>
      </c>
      <c r="C606" s="70"/>
      <c r="D606" s="64"/>
      <c r="E606" s="65" t="s">
        <v>1872</v>
      </c>
      <c r="F606" s="71" t="s">
        <v>1873</v>
      </c>
      <c r="G606" s="54" t="s">
        <v>1874</v>
      </c>
      <c r="H606" s="54" t="s">
        <v>1875</v>
      </c>
      <c r="I606" s="54" t="s">
        <v>1876</v>
      </c>
      <c r="J606" s="71" t="s">
        <v>113</v>
      </c>
      <c r="K606" s="56"/>
    </row>
    <row r="607" ht="12.75" customHeight="1">
      <c r="A607" s="69" t="s">
        <v>1053</v>
      </c>
      <c r="B607" s="11" t="s">
        <v>1877</v>
      </c>
      <c r="C607" s="70"/>
      <c r="D607" s="64"/>
      <c r="E607" s="65" t="s">
        <v>1054</v>
      </c>
      <c r="F607" s="71" t="s">
        <v>1878</v>
      </c>
      <c r="G607" s="54" t="s">
        <v>1879</v>
      </c>
      <c r="H607" s="54" t="s">
        <v>1880</v>
      </c>
      <c r="I607" s="54" t="s">
        <v>1881</v>
      </c>
      <c r="J607" s="71" t="s">
        <v>113</v>
      </c>
      <c r="K607" s="56"/>
    </row>
    <row r="608" ht="12.75" customHeight="1">
      <c r="A608" s="69" t="s">
        <v>1055</v>
      </c>
      <c r="B608" s="11" t="s">
        <v>1882</v>
      </c>
      <c r="C608" s="70"/>
      <c r="D608" s="64"/>
      <c r="E608" s="65" t="s">
        <v>1056</v>
      </c>
      <c r="F608" s="71" t="s">
        <v>1883</v>
      </c>
      <c r="G608" s="54" t="s">
        <v>1884</v>
      </c>
      <c r="H608" s="54" t="s">
        <v>1885</v>
      </c>
      <c r="I608" s="54" t="s">
        <v>1886</v>
      </c>
      <c r="J608" s="71" t="s">
        <v>113</v>
      </c>
      <c r="K608" s="56"/>
    </row>
    <row r="609" ht="12.75" customHeight="1">
      <c r="A609" s="69" t="s">
        <v>1057</v>
      </c>
      <c r="B609" s="11" t="s">
        <v>1877</v>
      </c>
      <c r="C609" s="70"/>
      <c r="D609" s="64"/>
      <c r="E609" s="65" t="s">
        <v>1058</v>
      </c>
      <c r="F609" s="71" t="s">
        <v>1887</v>
      </c>
      <c r="G609" s="54" t="s">
        <v>1888</v>
      </c>
      <c r="H609" s="54" t="s">
        <v>1889</v>
      </c>
      <c r="I609" s="54" t="s">
        <v>1890</v>
      </c>
      <c r="J609" s="71" t="s">
        <v>113</v>
      </c>
      <c r="K609" s="56"/>
    </row>
    <row r="610" ht="12.75" customHeight="1">
      <c r="A610" s="69" t="s">
        <v>1891</v>
      </c>
      <c r="B610" s="11" t="s">
        <v>1892</v>
      </c>
      <c r="C610" s="70"/>
      <c r="D610" s="64"/>
      <c r="E610" s="65" t="s">
        <v>1893</v>
      </c>
      <c r="F610" s="71" t="s">
        <v>1894</v>
      </c>
      <c r="G610" s="54" t="s">
        <v>1895</v>
      </c>
      <c r="H610" s="54" t="s">
        <v>1896</v>
      </c>
      <c r="I610" s="54" t="s">
        <v>1897</v>
      </c>
      <c r="J610" s="71" t="s">
        <v>113</v>
      </c>
      <c r="K610" s="56"/>
    </row>
    <row r="611" ht="12.75" customHeight="1">
      <c r="A611" s="69" t="s">
        <v>1898</v>
      </c>
      <c r="B611" s="11" t="s">
        <v>1892</v>
      </c>
      <c r="C611" s="70"/>
      <c r="D611" s="64"/>
      <c r="E611" s="65" t="s">
        <v>1899</v>
      </c>
      <c r="F611" s="71" t="s">
        <v>1900</v>
      </c>
      <c r="G611" s="54" t="s">
        <v>1901</v>
      </c>
      <c r="H611" s="54" t="s">
        <v>1902</v>
      </c>
      <c r="I611" s="54" t="s">
        <v>1903</v>
      </c>
      <c r="J611" s="71" t="s">
        <v>113</v>
      </c>
      <c r="K611" s="56"/>
    </row>
    <row r="612" ht="12.75" customHeight="1">
      <c r="A612" s="69" t="s">
        <v>1904</v>
      </c>
      <c r="B612" s="11" t="s">
        <v>1892</v>
      </c>
      <c r="C612" s="70"/>
      <c r="D612" s="64"/>
      <c r="E612" s="65" t="s">
        <v>1905</v>
      </c>
      <c r="F612" s="71" t="s">
        <v>1278</v>
      </c>
      <c r="G612" s="54">
        <v>420.804</v>
      </c>
      <c r="H612" s="54">
        <v>844.365</v>
      </c>
      <c r="I612" s="54" t="s">
        <v>1279</v>
      </c>
      <c r="J612" s="71" t="s">
        <v>113</v>
      </c>
      <c r="K612" s="56"/>
    </row>
    <row r="613" ht="12.75" customHeight="1">
      <c r="A613" s="69" t="s">
        <v>1906</v>
      </c>
      <c r="B613" s="11" t="s">
        <v>1892</v>
      </c>
      <c r="C613" s="70"/>
      <c r="D613" s="64"/>
      <c r="E613" s="65" t="s">
        <v>1907</v>
      </c>
      <c r="F613" s="71" t="s">
        <v>1908</v>
      </c>
      <c r="G613" s="54" t="s">
        <v>1909</v>
      </c>
      <c r="H613" s="54" t="s">
        <v>1910</v>
      </c>
      <c r="I613" s="54" t="s">
        <v>1911</v>
      </c>
      <c r="J613" s="71" t="s">
        <v>113</v>
      </c>
      <c r="K613" s="56"/>
    </row>
    <row r="614" ht="12.75" customHeight="1">
      <c r="A614" s="69" t="s">
        <v>1912</v>
      </c>
      <c r="B614" s="11" t="s">
        <v>1892</v>
      </c>
      <c r="C614" s="70"/>
      <c r="D614" s="64"/>
      <c r="E614" s="65" t="s">
        <v>1913</v>
      </c>
      <c r="F614" s="71" t="s">
        <v>1914</v>
      </c>
      <c r="G614" s="54" t="s">
        <v>1915</v>
      </c>
      <c r="H614" s="54" t="s">
        <v>1916</v>
      </c>
      <c r="I614" s="54" t="s">
        <v>1917</v>
      </c>
      <c r="J614" s="71" t="s">
        <v>113</v>
      </c>
      <c r="K614" s="56"/>
    </row>
    <row r="615" ht="12.75" customHeight="1">
      <c r="A615" s="69" t="s">
        <v>1918</v>
      </c>
      <c r="B615" s="11" t="s">
        <v>1892</v>
      </c>
      <c r="C615" s="70"/>
      <c r="D615" s="64"/>
      <c r="E615" s="65" t="s">
        <v>1919</v>
      </c>
      <c r="F615" s="71" t="s">
        <v>1920</v>
      </c>
      <c r="G615" s="54" t="s">
        <v>1921</v>
      </c>
      <c r="H615" s="54" t="s">
        <v>1922</v>
      </c>
      <c r="I615" s="54" t="s">
        <v>1923</v>
      </c>
      <c r="J615" s="71" t="s">
        <v>113</v>
      </c>
      <c r="K615" s="56"/>
    </row>
    <row r="616" ht="12.75" customHeight="1">
      <c r="A616" s="69" t="s">
        <v>1071</v>
      </c>
      <c r="B616" s="11" t="s">
        <v>1892</v>
      </c>
      <c r="C616" s="70"/>
      <c r="D616" s="64"/>
      <c r="E616" s="65" t="s">
        <v>1072</v>
      </c>
      <c r="F616" s="71" t="s">
        <v>1924</v>
      </c>
      <c r="G616" s="54" t="s">
        <v>1925</v>
      </c>
      <c r="H616" s="54" t="s">
        <v>1926</v>
      </c>
      <c r="I616" s="54" t="s">
        <v>1927</v>
      </c>
      <c r="J616" s="71" t="s">
        <v>113</v>
      </c>
      <c r="K616" s="56"/>
    </row>
    <row r="617" ht="12.75" customHeight="1">
      <c r="A617" s="69" t="s">
        <v>1928</v>
      </c>
      <c r="B617" s="11" t="s">
        <v>1929</v>
      </c>
      <c r="C617" s="70"/>
      <c r="D617" s="64"/>
      <c r="E617" s="65" t="s">
        <v>1930</v>
      </c>
      <c r="F617" s="71" t="s">
        <v>1931</v>
      </c>
      <c r="G617" s="54" t="s">
        <v>1932</v>
      </c>
      <c r="H617" s="54" t="s">
        <v>1933</v>
      </c>
      <c r="I617" s="54" t="s">
        <v>1934</v>
      </c>
      <c r="J617" s="71" t="s">
        <v>113</v>
      </c>
      <c r="K617" s="56"/>
    </row>
    <row r="618" ht="12.75" customHeight="1">
      <c r="A618" s="69" t="s">
        <v>1073</v>
      </c>
      <c r="B618" s="11" t="s">
        <v>1935</v>
      </c>
      <c r="C618" s="70"/>
      <c r="D618" s="64"/>
      <c r="E618" s="65" t="s">
        <v>1074</v>
      </c>
      <c r="F618" s="71" t="s">
        <v>1306</v>
      </c>
      <c r="G618" s="54" t="s">
        <v>1307</v>
      </c>
      <c r="H618" s="54">
        <v>447.68</v>
      </c>
      <c r="I618" s="54" t="s">
        <v>1936</v>
      </c>
      <c r="J618" s="71" t="s">
        <v>113</v>
      </c>
      <c r="K618" s="56"/>
    </row>
    <row r="619" ht="12.75" customHeight="1">
      <c r="A619" s="69" t="s">
        <v>1075</v>
      </c>
      <c r="B619" s="11" t="s">
        <v>1935</v>
      </c>
      <c r="C619" s="70"/>
      <c r="D619" s="64"/>
      <c r="E619" s="65" t="s">
        <v>1076</v>
      </c>
      <c r="F619" s="71" t="s">
        <v>1937</v>
      </c>
      <c r="G619" s="54" t="s">
        <v>1938</v>
      </c>
      <c r="H619" s="54">
        <v>390.996</v>
      </c>
      <c r="I619" s="54" t="s">
        <v>1939</v>
      </c>
      <c r="J619" s="71" t="s">
        <v>113</v>
      </c>
      <c r="K619" s="56"/>
    </row>
    <row r="620" ht="12.75" customHeight="1">
      <c r="A620" s="69" t="s">
        <v>1077</v>
      </c>
      <c r="B620" s="11" t="s">
        <v>1935</v>
      </c>
      <c r="C620" s="70"/>
      <c r="D620" s="64"/>
      <c r="E620" s="65" t="s">
        <v>1078</v>
      </c>
      <c r="F620" s="71" t="s">
        <v>1940</v>
      </c>
      <c r="G620" s="54" t="s">
        <v>1941</v>
      </c>
      <c r="H620" s="54" t="s">
        <v>1942</v>
      </c>
      <c r="I620" s="54" t="s">
        <v>1943</v>
      </c>
      <c r="J620" s="71" t="s">
        <v>113</v>
      </c>
      <c r="K620" s="56"/>
    </row>
    <row r="621" ht="12.75" customHeight="1">
      <c r="A621" s="69" t="s">
        <v>1944</v>
      </c>
      <c r="B621" s="50">
        <v>45667.0</v>
      </c>
      <c r="C621" s="70"/>
      <c r="D621" s="64"/>
      <c r="E621" s="65" t="s">
        <v>1945</v>
      </c>
      <c r="F621" s="71" t="s">
        <v>1946</v>
      </c>
      <c r="G621" s="54" t="s">
        <v>1947</v>
      </c>
      <c r="H621" s="54" t="s">
        <v>1948</v>
      </c>
      <c r="I621" s="54" t="s">
        <v>1949</v>
      </c>
      <c r="J621" s="71" t="s">
        <v>113</v>
      </c>
      <c r="K621" s="56"/>
    </row>
    <row r="622" ht="12.75" customHeight="1">
      <c r="A622" s="69" t="s">
        <v>1083</v>
      </c>
      <c r="B622" s="50">
        <v>45667.0</v>
      </c>
      <c r="C622" s="70"/>
      <c r="D622" s="64"/>
      <c r="E622" s="65" t="s">
        <v>1084</v>
      </c>
      <c r="F622" s="71" t="s">
        <v>1950</v>
      </c>
      <c r="G622" s="54" t="s">
        <v>1951</v>
      </c>
      <c r="H622" s="54" t="s">
        <v>1952</v>
      </c>
      <c r="I622" s="54" t="s">
        <v>1953</v>
      </c>
      <c r="J622" s="71" t="s">
        <v>113</v>
      </c>
      <c r="K622" s="56"/>
    </row>
    <row r="623" ht="12.75" customHeight="1">
      <c r="A623" s="69" t="s">
        <v>1085</v>
      </c>
      <c r="B623" s="50">
        <v>45667.0</v>
      </c>
      <c r="C623" s="70"/>
      <c r="D623" s="64"/>
      <c r="E623" s="65" t="s">
        <v>1086</v>
      </c>
      <c r="F623" s="71" t="s">
        <v>471</v>
      </c>
      <c r="G623" s="54" t="s">
        <v>472</v>
      </c>
      <c r="H623" s="54" t="s">
        <v>473</v>
      </c>
      <c r="I623" s="54" t="s">
        <v>474</v>
      </c>
      <c r="J623" s="71" t="s">
        <v>113</v>
      </c>
      <c r="K623" s="56"/>
    </row>
    <row r="624" ht="12.75" customHeight="1">
      <c r="A624" s="69" t="s">
        <v>1087</v>
      </c>
      <c r="B624" s="50">
        <v>45667.0</v>
      </c>
      <c r="C624" s="70"/>
      <c r="D624" s="64"/>
      <c r="E624" s="65" t="s">
        <v>1088</v>
      </c>
      <c r="F624" s="71" t="s">
        <v>1954</v>
      </c>
      <c r="G624" s="54" t="s">
        <v>1955</v>
      </c>
      <c r="H624" s="54" t="s">
        <v>1956</v>
      </c>
      <c r="I624" s="54" t="s">
        <v>1957</v>
      </c>
      <c r="J624" s="71" t="s">
        <v>113</v>
      </c>
      <c r="K624" s="56"/>
    </row>
    <row r="625" ht="12.75" customHeight="1">
      <c r="A625" s="69" t="s">
        <v>1089</v>
      </c>
      <c r="B625" s="50">
        <v>45667.0</v>
      </c>
      <c r="C625" s="70"/>
      <c r="D625" s="64"/>
      <c r="E625" s="65" t="s">
        <v>1090</v>
      </c>
      <c r="F625" s="71" t="s">
        <v>1958</v>
      </c>
      <c r="G625" s="54" t="s">
        <v>1959</v>
      </c>
      <c r="H625" s="54" t="s">
        <v>1960</v>
      </c>
      <c r="I625" s="54" t="s">
        <v>1961</v>
      </c>
      <c r="J625" s="71" t="s">
        <v>113</v>
      </c>
      <c r="K625" s="56"/>
    </row>
    <row r="626" ht="12.75" customHeight="1">
      <c r="A626" s="69" t="s">
        <v>1962</v>
      </c>
      <c r="B626" s="50">
        <v>45667.0</v>
      </c>
      <c r="C626" s="70"/>
      <c r="D626" s="64"/>
      <c r="E626" s="65" t="s">
        <v>1963</v>
      </c>
      <c r="F626" s="71" t="s">
        <v>1964</v>
      </c>
      <c r="G626" s="54" t="s">
        <v>1965</v>
      </c>
      <c r="H626" s="54" t="s">
        <v>1966</v>
      </c>
      <c r="I626" s="54" t="s">
        <v>1967</v>
      </c>
      <c r="J626" s="71" t="s">
        <v>113</v>
      </c>
      <c r="K626" s="56"/>
    </row>
    <row r="627" ht="12.75" customHeight="1">
      <c r="A627" s="69" t="s">
        <v>1097</v>
      </c>
      <c r="B627" s="50">
        <v>45667.0</v>
      </c>
      <c r="C627" s="70"/>
      <c r="D627" s="64"/>
      <c r="E627" s="65" t="s">
        <v>1098</v>
      </c>
      <c r="F627" s="71" t="s">
        <v>1968</v>
      </c>
      <c r="G627" s="54" t="s">
        <v>1969</v>
      </c>
      <c r="H627" s="54" t="s">
        <v>1970</v>
      </c>
      <c r="I627" s="54" t="s">
        <v>1971</v>
      </c>
      <c r="J627" s="71" t="s">
        <v>113</v>
      </c>
      <c r="K627" s="56"/>
    </row>
    <row r="628" ht="12.75" customHeight="1">
      <c r="A628" s="69" t="s">
        <v>1099</v>
      </c>
      <c r="B628" s="50">
        <v>45725.0</v>
      </c>
      <c r="C628" s="70"/>
      <c r="D628" s="64"/>
      <c r="E628" s="65" t="s">
        <v>1100</v>
      </c>
      <c r="F628" s="71" t="s">
        <v>1972</v>
      </c>
      <c r="G628" s="54" t="s">
        <v>1973</v>
      </c>
      <c r="H628" s="54" t="s">
        <v>1974</v>
      </c>
      <c r="I628" s="54" t="s">
        <v>1975</v>
      </c>
      <c r="J628" s="71" t="s">
        <v>113</v>
      </c>
      <c r="K628" s="56"/>
    </row>
    <row r="629" ht="12.75" customHeight="1">
      <c r="A629" s="69" t="s">
        <v>1101</v>
      </c>
      <c r="B629" s="50">
        <v>45726.0</v>
      </c>
      <c r="C629" s="70"/>
      <c r="D629" s="64"/>
      <c r="E629" s="65" t="s">
        <v>1102</v>
      </c>
      <c r="F629" s="71" t="s">
        <v>1976</v>
      </c>
      <c r="G629" s="54" t="s">
        <v>1977</v>
      </c>
      <c r="H629" s="54" t="s">
        <v>1978</v>
      </c>
      <c r="I629" s="54" t="s">
        <v>1979</v>
      </c>
      <c r="J629" s="71" t="e">
        <v>#N/A</v>
      </c>
      <c r="K629" s="56"/>
    </row>
    <row r="630" ht="12.75" customHeight="1">
      <c r="A630" s="69" t="s">
        <v>1103</v>
      </c>
      <c r="B630" s="50">
        <v>45818.0</v>
      </c>
      <c r="C630" s="70"/>
      <c r="D630" s="64"/>
      <c r="E630" s="65" t="s">
        <v>1058</v>
      </c>
      <c r="F630" s="71" t="s">
        <v>1887</v>
      </c>
      <c r="G630" s="54" t="s">
        <v>1888</v>
      </c>
      <c r="H630" s="54" t="s">
        <v>1889</v>
      </c>
      <c r="I630" s="54" t="s">
        <v>1890</v>
      </c>
      <c r="J630" s="71" t="s">
        <v>113</v>
      </c>
      <c r="K630" s="56"/>
    </row>
    <row r="631" ht="12.75" customHeight="1">
      <c r="A631" s="69" t="s">
        <v>1104</v>
      </c>
      <c r="B631" s="50">
        <v>45818.0</v>
      </c>
      <c r="C631" s="70"/>
      <c r="D631" s="64"/>
      <c r="E631" s="65" t="s">
        <v>1105</v>
      </c>
      <c r="F631" s="71" t="s">
        <v>1980</v>
      </c>
      <c r="G631" s="54" t="s">
        <v>1981</v>
      </c>
      <c r="H631" s="54" t="s">
        <v>1982</v>
      </c>
      <c r="I631" s="54" t="s">
        <v>1983</v>
      </c>
      <c r="J631" s="71" t="s">
        <v>113</v>
      </c>
      <c r="K631" s="56"/>
    </row>
    <row r="632" ht="12.75" customHeight="1">
      <c r="A632" s="69" t="s">
        <v>1106</v>
      </c>
      <c r="B632" s="50">
        <v>45818.0</v>
      </c>
      <c r="C632" s="70"/>
      <c r="D632" s="64"/>
      <c r="E632" s="65" t="s">
        <v>1107</v>
      </c>
      <c r="F632" s="71" t="s">
        <v>1984</v>
      </c>
      <c r="G632" s="54" t="s">
        <v>1985</v>
      </c>
      <c r="H632" s="54" t="s">
        <v>1986</v>
      </c>
      <c r="I632" s="54" t="s">
        <v>1987</v>
      </c>
      <c r="J632" s="71" t="s">
        <v>113</v>
      </c>
      <c r="K632" s="56"/>
    </row>
    <row r="633" ht="12.75" customHeight="1">
      <c r="A633" s="69" t="s">
        <v>1108</v>
      </c>
      <c r="B633" s="50">
        <v>45818.0</v>
      </c>
      <c r="C633" s="70"/>
      <c r="D633" s="64"/>
      <c r="E633" s="65" t="s">
        <v>1109</v>
      </c>
      <c r="F633" s="71" t="s">
        <v>1988</v>
      </c>
      <c r="G633" s="54" t="s">
        <v>1989</v>
      </c>
      <c r="H633" s="54" t="s">
        <v>1990</v>
      </c>
      <c r="I633" s="54" t="s">
        <v>1991</v>
      </c>
      <c r="J633" s="71" t="s">
        <v>113</v>
      </c>
      <c r="K633" s="56"/>
    </row>
    <row r="634" ht="12.75" customHeight="1">
      <c r="A634" s="69" t="s">
        <v>1110</v>
      </c>
      <c r="B634" s="50">
        <v>45818.0</v>
      </c>
      <c r="C634" s="70"/>
      <c r="D634" s="64"/>
      <c r="E634" s="65" t="s">
        <v>1111</v>
      </c>
      <c r="F634" s="71" t="s">
        <v>1992</v>
      </c>
      <c r="G634" s="54" t="s">
        <v>1993</v>
      </c>
      <c r="H634" s="54" t="s">
        <v>1994</v>
      </c>
      <c r="I634" s="54" t="s">
        <v>1995</v>
      </c>
      <c r="J634" s="71" t="s">
        <v>113</v>
      </c>
      <c r="K634" s="56"/>
    </row>
    <row r="635" ht="12.75" customHeight="1">
      <c r="A635" s="69" t="s">
        <v>1996</v>
      </c>
      <c r="B635" s="50">
        <v>45818.0</v>
      </c>
      <c r="C635" s="70"/>
      <c r="D635" s="64"/>
      <c r="E635" s="65" t="s">
        <v>1997</v>
      </c>
      <c r="F635" s="71" t="s">
        <v>1148</v>
      </c>
      <c r="G635" s="54">
        <v>646.268</v>
      </c>
      <c r="H635" s="54" t="s">
        <v>1149</v>
      </c>
      <c r="I635" s="54" t="s">
        <v>1150</v>
      </c>
      <c r="J635" s="71" t="s">
        <v>113</v>
      </c>
      <c r="K635" s="56"/>
    </row>
    <row r="636" ht="12.75" customHeight="1">
      <c r="A636" s="69" t="s">
        <v>1998</v>
      </c>
      <c r="B636" s="50">
        <v>45818.0</v>
      </c>
      <c r="C636" s="70"/>
      <c r="D636" s="64"/>
      <c r="E636" s="65" t="s">
        <v>1999</v>
      </c>
      <c r="F636" s="71" t="s">
        <v>1148</v>
      </c>
      <c r="G636" s="54">
        <v>646.268</v>
      </c>
      <c r="H636" s="54" t="s">
        <v>1149</v>
      </c>
      <c r="I636" s="54" t="s">
        <v>1150</v>
      </c>
      <c r="J636" s="71" t="s">
        <v>113</v>
      </c>
      <c r="K636" s="56"/>
    </row>
    <row r="637" ht="12.75" customHeight="1">
      <c r="A637" s="69" t="s">
        <v>2000</v>
      </c>
      <c r="B637" s="50">
        <v>45818.0</v>
      </c>
      <c r="C637" s="70"/>
      <c r="D637" s="64"/>
      <c r="E637" s="65" t="s">
        <v>2001</v>
      </c>
      <c r="F637" s="71" t="s">
        <v>1665</v>
      </c>
      <c r="G637" s="54" t="s">
        <v>1666</v>
      </c>
      <c r="H637" s="54" t="s">
        <v>1667</v>
      </c>
      <c r="I637" s="54" t="s">
        <v>1668</v>
      </c>
      <c r="J637" s="71" t="s">
        <v>113</v>
      </c>
      <c r="K637" s="56"/>
    </row>
    <row r="638" ht="12.75" customHeight="1">
      <c r="A638" s="69" t="s">
        <v>2002</v>
      </c>
      <c r="B638" s="50">
        <v>45818.0</v>
      </c>
      <c r="C638" s="70"/>
      <c r="D638" s="64"/>
      <c r="E638" s="65" t="s">
        <v>2003</v>
      </c>
      <c r="F638" s="71" t="s">
        <v>1148</v>
      </c>
      <c r="G638" s="54">
        <v>646.268</v>
      </c>
      <c r="H638" s="54" t="s">
        <v>1149</v>
      </c>
      <c r="I638" s="54" t="s">
        <v>1150</v>
      </c>
      <c r="J638" s="71" t="s">
        <v>113</v>
      </c>
      <c r="K638" s="56"/>
    </row>
    <row r="639" ht="12.75" customHeight="1">
      <c r="A639" s="69" t="s">
        <v>2004</v>
      </c>
      <c r="B639" s="50">
        <v>45818.0</v>
      </c>
      <c r="C639" s="70"/>
      <c r="D639" s="64"/>
      <c r="E639" s="65" t="s">
        <v>2005</v>
      </c>
      <c r="F639" s="71" t="s">
        <v>1507</v>
      </c>
      <c r="G639" s="54">
        <v>643.145</v>
      </c>
      <c r="H639" s="54" t="s">
        <v>1508</v>
      </c>
      <c r="I639" s="54" t="s">
        <v>1509</v>
      </c>
      <c r="J639" s="71" t="s">
        <v>113</v>
      </c>
      <c r="K639" s="56"/>
    </row>
    <row r="640" ht="12.75" customHeight="1">
      <c r="A640" s="69" t="s">
        <v>1134</v>
      </c>
      <c r="B640" s="50">
        <v>45910.0</v>
      </c>
      <c r="C640" s="70"/>
      <c r="D640" s="64"/>
      <c r="E640" s="65" t="s">
        <v>1135</v>
      </c>
      <c r="F640" s="71" t="s">
        <v>2006</v>
      </c>
      <c r="G640" s="54" t="s">
        <v>2007</v>
      </c>
      <c r="H640" s="54">
        <v>349.227</v>
      </c>
      <c r="I640" s="54" t="s">
        <v>2008</v>
      </c>
      <c r="J640" s="71" t="s">
        <v>113</v>
      </c>
      <c r="K640" s="56"/>
    </row>
    <row r="641" ht="12.75" customHeight="1">
      <c r="A641" s="69" t="s">
        <v>1136</v>
      </c>
      <c r="B641" s="11" t="s">
        <v>2009</v>
      </c>
      <c r="C641" s="70"/>
      <c r="D641" s="64"/>
      <c r="E641" s="65" t="s">
        <v>1137</v>
      </c>
      <c r="F641" s="71" t="s">
        <v>2010</v>
      </c>
      <c r="G641" s="54" t="s">
        <v>2011</v>
      </c>
      <c r="H641" s="54" t="s">
        <v>2012</v>
      </c>
      <c r="I641" s="54" t="s">
        <v>2013</v>
      </c>
      <c r="J641" s="71" t="s">
        <v>113</v>
      </c>
      <c r="K641" s="56"/>
    </row>
    <row r="642" ht="12.75" customHeight="1">
      <c r="A642" s="69" t="s">
        <v>1138</v>
      </c>
      <c r="B642" s="11" t="s">
        <v>2009</v>
      </c>
      <c r="C642" s="70"/>
      <c r="D642" s="64"/>
      <c r="E642" s="65" t="s">
        <v>1139</v>
      </c>
      <c r="F642" s="71" t="s">
        <v>2014</v>
      </c>
      <c r="G642" s="54" t="s">
        <v>2015</v>
      </c>
      <c r="H642" s="54" t="s">
        <v>2016</v>
      </c>
      <c r="I642" s="54" t="s">
        <v>2017</v>
      </c>
      <c r="J642" s="71" t="s">
        <v>113</v>
      </c>
      <c r="K642" s="56"/>
    </row>
    <row r="643" ht="12.75" customHeight="1">
      <c r="A643" s="69" t="s">
        <v>1140</v>
      </c>
      <c r="B643" s="11" t="s">
        <v>2009</v>
      </c>
      <c r="C643" s="70"/>
      <c r="D643" s="64"/>
      <c r="E643" s="65" t="s">
        <v>1141</v>
      </c>
      <c r="F643" s="71" t="s">
        <v>2018</v>
      </c>
      <c r="G643" s="54">
        <v>124.8</v>
      </c>
      <c r="H643" s="54">
        <v>242.528</v>
      </c>
      <c r="I643" s="54" t="s">
        <v>2019</v>
      </c>
      <c r="J643" s="71" t="s">
        <v>113</v>
      </c>
      <c r="K643" s="56"/>
    </row>
    <row r="644" ht="12.75" customHeight="1">
      <c r="A644" s="69" t="s">
        <v>1142</v>
      </c>
      <c r="B644" s="11" t="s">
        <v>2020</v>
      </c>
      <c r="C644" s="70"/>
      <c r="D644" s="64"/>
      <c r="E644" s="65" t="s">
        <v>1143</v>
      </c>
      <c r="F644" s="71" t="s">
        <v>2021</v>
      </c>
      <c r="G644" s="54" t="s">
        <v>2022</v>
      </c>
      <c r="H644" s="54" t="s">
        <v>2023</v>
      </c>
      <c r="I644" s="54" t="s">
        <v>2024</v>
      </c>
      <c r="J644" s="71" t="s">
        <v>113</v>
      </c>
      <c r="K644" s="56"/>
    </row>
    <row r="645" ht="12.75" customHeight="1">
      <c r="A645" s="69" t="s">
        <v>1144</v>
      </c>
      <c r="B645" s="11" t="s">
        <v>2020</v>
      </c>
      <c r="C645" s="70"/>
      <c r="D645" s="64"/>
      <c r="E645" s="65" t="s">
        <v>1143</v>
      </c>
      <c r="F645" s="71" t="s">
        <v>2025</v>
      </c>
      <c r="G645" s="54" t="s">
        <v>2026</v>
      </c>
      <c r="H645" s="54" t="s">
        <v>2027</v>
      </c>
      <c r="I645" s="54" t="s">
        <v>2028</v>
      </c>
      <c r="J645" s="71" t="s">
        <v>113</v>
      </c>
      <c r="K645" s="56"/>
    </row>
    <row r="646" ht="12.75" customHeight="1">
      <c r="A646" s="69" t="s">
        <v>1145</v>
      </c>
      <c r="B646" s="11" t="s">
        <v>2020</v>
      </c>
      <c r="C646" s="70"/>
      <c r="D646" s="64"/>
      <c r="E646" s="65" t="s">
        <v>1143</v>
      </c>
      <c r="F646" s="71" t="s">
        <v>2029</v>
      </c>
      <c r="G646" s="54" t="s">
        <v>2030</v>
      </c>
      <c r="H646" s="54" t="s">
        <v>2031</v>
      </c>
      <c r="I646" s="54" t="s">
        <v>2032</v>
      </c>
      <c r="J646" s="71" t="s">
        <v>113</v>
      </c>
      <c r="K646" s="56"/>
    </row>
    <row r="647" ht="12.75" customHeight="1">
      <c r="A647" s="69" t="s">
        <v>2033</v>
      </c>
      <c r="B647" s="11" t="s">
        <v>2034</v>
      </c>
      <c r="C647" s="70"/>
      <c r="D647" s="64"/>
      <c r="E647" s="65" t="s">
        <v>2035</v>
      </c>
      <c r="F647" s="71" t="s">
        <v>2036</v>
      </c>
      <c r="G647" s="54" t="s">
        <v>2037</v>
      </c>
      <c r="H647" s="54" t="s">
        <v>2038</v>
      </c>
      <c r="I647" s="54" t="s">
        <v>2039</v>
      </c>
      <c r="J647" s="71" t="s">
        <v>113</v>
      </c>
      <c r="K647" s="56"/>
    </row>
    <row r="648" ht="12.75" customHeight="1">
      <c r="A648" s="69" t="s">
        <v>2040</v>
      </c>
      <c r="B648" s="11" t="s">
        <v>2034</v>
      </c>
      <c r="C648" s="70"/>
      <c r="D648" s="64"/>
      <c r="E648" s="65" t="s">
        <v>2041</v>
      </c>
      <c r="F648" s="71" t="s">
        <v>2042</v>
      </c>
      <c r="G648" s="54" t="s">
        <v>2043</v>
      </c>
      <c r="H648" s="54" t="s">
        <v>2044</v>
      </c>
      <c r="I648" s="54" t="s">
        <v>2045</v>
      </c>
      <c r="J648" s="71" t="s">
        <v>113</v>
      </c>
      <c r="K648" s="56"/>
    </row>
    <row r="649" ht="12.75" customHeight="1">
      <c r="A649" s="69" t="s">
        <v>2046</v>
      </c>
      <c r="B649" s="11" t="s">
        <v>2034</v>
      </c>
      <c r="C649" s="70"/>
      <c r="D649" s="64"/>
      <c r="E649" s="65" t="s">
        <v>2047</v>
      </c>
      <c r="F649" s="71" t="s">
        <v>2048</v>
      </c>
      <c r="G649" s="57"/>
      <c r="H649" s="54" t="s">
        <v>2049</v>
      </c>
      <c r="I649" s="54" t="s">
        <v>2050</v>
      </c>
      <c r="J649" s="71" t="s">
        <v>113</v>
      </c>
      <c r="K649" s="56"/>
    </row>
    <row r="650" ht="12.75" customHeight="1">
      <c r="A650" s="69" t="s">
        <v>2051</v>
      </c>
      <c r="B650" s="11" t="s">
        <v>2034</v>
      </c>
      <c r="C650" s="70"/>
      <c r="D650" s="64"/>
      <c r="E650" s="65" t="s">
        <v>2052</v>
      </c>
      <c r="F650" s="71" t="s">
        <v>2053</v>
      </c>
      <c r="G650" s="57"/>
      <c r="H650" s="54">
        <v>844.365</v>
      </c>
      <c r="I650" s="54" t="s">
        <v>1279</v>
      </c>
      <c r="J650" s="71" t="s">
        <v>113</v>
      </c>
      <c r="K650" s="56"/>
    </row>
    <row r="651" ht="12.75" customHeight="1">
      <c r="A651" s="69" t="s">
        <v>1158</v>
      </c>
      <c r="B651" s="11" t="s">
        <v>2034</v>
      </c>
      <c r="C651" s="70"/>
      <c r="D651" s="64"/>
      <c r="E651" s="65" t="s">
        <v>1159</v>
      </c>
      <c r="F651" s="71" t="s">
        <v>2054</v>
      </c>
      <c r="G651" s="54" t="s">
        <v>2055</v>
      </c>
      <c r="H651" s="54" t="s">
        <v>2056</v>
      </c>
      <c r="I651" s="54" t="s">
        <v>2057</v>
      </c>
      <c r="J651" s="71" t="s">
        <v>113</v>
      </c>
      <c r="K651" s="56"/>
    </row>
    <row r="652" ht="12.75" customHeight="1">
      <c r="A652" s="69" t="s">
        <v>1160</v>
      </c>
      <c r="B652" s="11" t="s">
        <v>2034</v>
      </c>
      <c r="C652" s="70"/>
      <c r="D652" s="64"/>
      <c r="E652" s="65" t="s">
        <v>1161</v>
      </c>
      <c r="F652" s="71" t="s">
        <v>471</v>
      </c>
      <c r="G652" s="54" t="s">
        <v>472</v>
      </c>
      <c r="H652" s="54" t="s">
        <v>473</v>
      </c>
      <c r="I652" s="54" t="s">
        <v>474</v>
      </c>
      <c r="J652" s="71" t="s">
        <v>113</v>
      </c>
      <c r="K652" s="56"/>
    </row>
    <row r="653" ht="12.75" customHeight="1">
      <c r="A653" s="69" t="s">
        <v>1162</v>
      </c>
      <c r="B653" s="11" t="s">
        <v>2034</v>
      </c>
      <c r="C653" s="70"/>
      <c r="D653" s="64"/>
      <c r="E653" s="65" t="s">
        <v>1163</v>
      </c>
      <c r="F653" s="71" t="s">
        <v>1635</v>
      </c>
      <c r="G653" s="54" t="s">
        <v>1636</v>
      </c>
      <c r="H653" s="54" t="s">
        <v>1637</v>
      </c>
      <c r="I653" s="54" t="s">
        <v>1638</v>
      </c>
      <c r="J653" s="71" t="s">
        <v>113</v>
      </c>
      <c r="K653" s="56"/>
    </row>
    <row r="654" ht="12.75" customHeight="1">
      <c r="A654" s="69" t="s">
        <v>2058</v>
      </c>
      <c r="B654" s="11" t="s">
        <v>2059</v>
      </c>
      <c r="C654" s="70"/>
      <c r="D654" s="64"/>
      <c r="E654" s="65" t="s">
        <v>2060</v>
      </c>
      <c r="F654" s="71" t="s">
        <v>2061</v>
      </c>
      <c r="G654" s="54" t="s">
        <v>2062</v>
      </c>
      <c r="H654" s="54" t="s">
        <v>2063</v>
      </c>
      <c r="I654" s="54" t="s">
        <v>2064</v>
      </c>
      <c r="J654" s="71" t="s">
        <v>113</v>
      </c>
      <c r="K654" s="56"/>
    </row>
    <row r="655" ht="12.75" customHeight="1">
      <c r="A655" s="69" t="s">
        <v>1170</v>
      </c>
      <c r="B655" s="11" t="s">
        <v>2065</v>
      </c>
      <c r="C655" s="70"/>
      <c r="D655" s="64"/>
      <c r="E655" s="65" t="s">
        <v>1072</v>
      </c>
      <c r="F655" s="71" t="s">
        <v>2066</v>
      </c>
      <c r="G655" s="54" t="s">
        <v>2067</v>
      </c>
      <c r="H655" s="54" t="s">
        <v>2068</v>
      </c>
      <c r="I655" s="54" t="s">
        <v>2069</v>
      </c>
      <c r="J655" s="71" t="e">
        <v>#N/A</v>
      </c>
      <c r="K655" s="56"/>
    </row>
    <row r="656" ht="12.75" customHeight="1">
      <c r="A656" s="69" t="s">
        <v>1171</v>
      </c>
      <c r="B656" s="11" t="s">
        <v>2065</v>
      </c>
      <c r="C656" s="70"/>
      <c r="D656" s="64"/>
      <c r="E656" s="65" t="s">
        <v>1172</v>
      </c>
      <c r="F656" s="71" t="s">
        <v>1306</v>
      </c>
      <c r="G656" s="54" t="s">
        <v>1307</v>
      </c>
      <c r="H656" s="54" t="s">
        <v>1308</v>
      </c>
      <c r="I656" s="54" t="s">
        <v>1309</v>
      </c>
      <c r="J656" s="71" t="s">
        <v>113</v>
      </c>
      <c r="K656" s="56"/>
    </row>
    <row r="657" ht="12.75" customHeight="1">
      <c r="A657" s="69" t="s">
        <v>1173</v>
      </c>
      <c r="B657" s="11" t="s">
        <v>2065</v>
      </c>
      <c r="C657" s="70"/>
      <c r="D657" s="64"/>
      <c r="E657" s="65" t="s">
        <v>1174</v>
      </c>
      <c r="F657" s="71" t="s">
        <v>2070</v>
      </c>
      <c r="G657" s="54" t="s">
        <v>2071</v>
      </c>
      <c r="H657" s="54" t="s">
        <v>2072</v>
      </c>
      <c r="I657" s="54" t="s">
        <v>2073</v>
      </c>
      <c r="J657" s="71" t="s">
        <v>113</v>
      </c>
      <c r="K657" s="56"/>
    </row>
    <row r="658" ht="12.75" customHeight="1">
      <c r="A658" s="69" t="s">
        <v>1175</v>
      </c>
      <c r="B658" s="11" t="s">
        <v>2065</v>
      </c>
      <c r="C658" s="70"/>
      <c r="D658" s="64"/>
      <c r="E658" s="65" t="s">
        <v>1176</v>
      </c>
      <c r="F658" s="71" t="s">
        <v>2074</v>
      </c>
      <c r="G658" s="54" t="s">
        <v>2075</v>
      </c>
      <c r="H658" s="54" t="s">
        <v>2076</v>
      </c>
      <c r="I658" s="54" t="s">
        <v>2077</v>
      </c>
      <c r="J658" s="71" t="s">
        <v>113</v>
      </c>
      <c r="K658" s="56"/>
    </row>
    <row r="659" ht="12.75" customHeight="1">
      <c r="A659" s="69" t="s">
        <v>1177</v>
      </c>
      <c r="B659" s="50">
        <v>45727.0</v>
      </c>
      <c r="C659" s="70"/>
      <c r="D659" s="64"/>
      <c r="E659" s="65" t="s">
        <v>2078</v>
      </c>
      <c r="F659" s="71" t="s">
        <v>2079</v>
      </c>
      <c r="G659" s="54" t="s">
        <v>2080</v>
      </c>
      <c r="H659" s="54" t="s">
        <v>2081</v>
      </c>
      <c r="I659" s="54" t="s">
        <v>2082</v>
      </c>
      <c r="J659" s="71" t="s">
        <v>113</v>
      </c>
      <c r="K659" s="56"/>
    </row>
    <row r="660" ht="12.75" customHeight="1">
      <c r="A660" s="69" t="s">
        <v>1178</v>
      </c>
      <c r="B660" s="50">
        <v>45727.0</v>
      </c>
      <c r="C660" s="70"/>
      <c r="D660" s="64"/>
      <c r="E660" s="65" t="s">
        <v>2083</v>
      </c>
      <c r="F660" s="71" t="s">
        <v>2084</v>
      </c>
      <c r="G660" s="54" t="s">
        <v>2085</v>
      </c>
      <c r="H660" s="54" t="s">
        <v>2086</v>
      </c>
      <c r="I660" s="54" t="s">
        <v>2087</v>
      </c>
      <c r="J660" s="71" t="s">
        <v>113</v>
      </c>
      <c r="K660" s="56"/>
    </row>
    <row r="661" ht="12.75" customHeight="1">
      <c r="A661" s="69" t="s">
        <v>1179</v>
      </c>
      <c r="B661" s="50">
        <v>45727.0</v>
      </c>
      <c r="C661" s="70"/>
      <c r="D661" s="64"/>
      <c r="E661" s="65" t="s">
        <v>2088</v>
      </c>
      <c r="F661" s="71" t="s">
        <v>2089</v>
      </c>
      <c r="G661" s="54" t="s">
        <v>2090</v>
      </c>
      <c r="H661" s="54" t="s">
        <v>2091</v>
      </c>
      <c r="I661" s="54" t="s">
        <v>2092</v>
      </c>
      <c r="J661" s="71" t="s">
        <v>113</v>
      </c>
      <c r="K661" s="56"/>
    </row>
    <row r="662" ht="12.75" customHeight="1">
      <c r="A662" s="69" t="s">
        <v>1180</v>
      </c>
      <c r="B662" s="50">
        <v>45727.0</v>
      </c>
      <c r="C662" s="70"/>
      <c r="D662" s="64"/>
      <c r="E662" s="65" t="s">
        <v>2093</v>
      </c>
      <c r="F662" s="71" t="s">
        <v>2094</v>
      </c>
      <c r="G662" s="54" t="s">
        <v>2095</v>
      </c>
      <c r="H662" s="54" t="s">
        <v>2096</v>
      </c>
      <c r="I662" s="54" t="s">
        <v>2097</v>
      </c>
      <c r="J662" s="71" t="s">
        <v>113</v>
      </c>
      <c r="K662" s="56"/>
    </row>
    <row r="663" ht="12.75" customHeight="1">
      <c r="A663" s="69" t="s">
        <v>1181</v>
      </c>
      <c r="B663" s="50">
        <v>45758.0</v>
      </c>
      <c r="C663" s="70"/>
      <c r="D663" s="64"/>
      <c r="E663" s="65" t="s">
        <v>2098</v>
      </c>
      <c r="F663" s="71" t="s">
        <v>2099</v>
      </c>
      <c r="G663" s="54" t="s">
        <v>2100</v>
      </c>
      <c r="H663" s="54" t="s">
        <v>2101</v>
      </c>
      <c r="I663" s="54" t="s">
        <v>2102</v>
      </c>
      <c r="J663" s="71" t="s">
        <v>113</v>
      </c>
      <c r="K663" s="56"/>
    </row>
    <row r="664" ht="12.75" customHeight="1">
      <c r="A664" s="69" t="s">
        <v>1182</v>
      </c>
      <c r="B664" s="50">
        <v>45788.0</v>
      </c>
      <c r="C664" s="70"/>
      <c r="D664" s="64"/>
      <c r="E664" s="65" t="s">
        <v>2103</v>
      </c>
      <c r="F664" s="71" t="s">
        <v>2104</v>
      </c>
      <c r="G664" s="54" t="s">
        <v>2105</v>
      </c>
      <c r="H664" s="54" t="s">
        <v>2106</v>
      </c>
      <c r="I664" s="54" t="s">
        <v>2107</v>
      </c>
      <c r="J664" s="71" t="e">
        <v>#N/A</v>
      </c>
      <c r="K664" s="56"/>
    </row>
    <row r="665" ht="12.75" customHeight="1">
      <c r="A665" s="69" t="s">
        <v>1183</v>
      </c>
      <c r="B665" s="50">
        <v>45788.0</v>
      </c>
      <c r="C665" s="70"/>
      <c r="D665" s="64"/>
      <c r="E665" s="65" t="s">
        <v>2108</v>
      </c>
      <c r="F665" s="71" t="s">
        <v>2109</v>
      </c>
      <c r="G665" s="54">
        <v>724.159</v>
      </c>
      <c r="H665" s="54" t="s">
        <v>2110</v>
      </c>
      <c r="I665" s="54" t="s">
        <v>2111</v>
      </c>
      <c r="J665" s="71" t="s">
        <v>113</v>
      </c>
      <c r="K665" s="56"/>
    </row>
    <row r="666" ht="12.75" customHeight="1">
      <c r="A666" s="69" t="s">
        <v>1184</v>
      </c>
      <c r="B666" s="50">
        <v>45788.0</v>
      </c>
      <c r="C666" s="70"/>
      <c r="D666" s="64"/>
      <c r="E666" s="65" t="s">
        <v>2112</v>
      </c>
      <c r="F666" s="71" t="s">
        <v>2113</v>
      </c>
      <c r="G666" s="54" t="s">
        <v>2114</v>
      </c>
      <c r="H666" s="54" t="s">
        <v>2115</v>
      </c>
      <c r="I666" s="54" t="s">
        <v>2116</v>
      </c>
      <c r="J666" s="71" t="s">
        <v>113</v>
      </c>
      <c r="K666" s="56"/>
    </row>
    <row r="667" ht="12.75" customHeight="1">
      <c r="A667" s="69" t="s">
        <v>1185</v>
      </c>
      <c r="B667" s="50">
        <v>45849.0</v>
      </c>
      <c r="C667" s="70"/>
      <c r="D667" s="64"/>
      <c r="E667" s="65" t="s">
        <v>2117</v>
      </c>
      <c r="F667" s="71" t="s">
        <v>2118</v>
      </c>
      <c r="G667" s="54" t="s">
        <v>2119</v>
      </c>
      <c r="H667" s="54" t="s">
        <v>2120</v>
      </c>
      <c r="I667" s="54" t="s">
        <v>2121</v>
      </c>
      <c r="J667" s="71" t="s">
        <v>113</v>
      </c>
      <c r="K667" s="56"/>
    </row>
    <row r="668" ht="12.75" customHeight="1">
      <c r="A668" s="69" t="s">
        <v>2122</v>
      </c>
      <c r="B668" s="50">
        <v>45849.0</v>
      </c>
      <c r="C668" s="70"/>
      <c r="D668" s="64"/>
      <c r="E668" s="65" t="s">
        <v>2123</v>
      </c>
      <c r="F668" s="71" t="s">
        <v>1148</v>
      </c>
      <c r="G668" s="54">
        <v>646.268</v>
      </c>
      <c r="H668" s="54" t="s">
        <v>1149</v>
      </c>
      <c r="I668" s="54" t="s">
        <v>1150</v>
      </c>
      <c r="J668" s="71" t="s">
        <v>113</v>
      </c>
      <c r="K668" s="56"/>
    </row>
    <row r="669" ht="12.75" customHeight="1">
      <c r="A669" s="69" t="s">
        <v>2124</v>
      </c>
      <c r="B669" s="50">
        <v>45941.0</v>
      </c>
      <c r="C669" s="70"/>
      <c r="D669" s="64"/>
      <c r="E669" s="65" t="s">
        <v>2125</v>
      </c>
      <c r="F669" s="71" t="s">
        <v>2126</v>
      </c>
      <c r="G669" s="54" t="s">
        <v>2127</v>
      </c>
      <c r="H669" s="54" t="s">
        <v>2128</v>
      </c>
      <c r="I669" s="54" t="s">
        <v>2129</v>
      </c>
      <c r="J669" s="71" t="s">
        <v>113</v>
      </c>
      <c r="K669" s="56"/>
    </row>
    <row r="670" ht="12.75" customHeight="1">
      <c r="A670" s="69" t="s">
        <v>2130</v>
      </c>
      <c r="B670" s="50">
        <v>45941.0</v>
      </c>
      <c r="C670" s="70"/>
      <c r="D670" s="64"/>
      <c r="E670" s="65" t="s">
        <v>2131</v>
      </c>
      <c r="F670" s="71" t="s">
        <v>1148</v>
      </c>
      <c r="G670" s="54">
        <v>646.268</v>
      </c>
      <c r="H670" s="54" t="s">
        <v>1149</v>
      </c>
      <c r="I670" s="54" t="s">
        <v>1150</v>
      </c>
      <c r="J670" s="71" t="s">
        <v>113</v>
      </c>
      <c r="K670" s="56"/>
    </row>
    <row r="671" ht="12.75" customHeight="1">
      <c r="A671" s="69" t="s">
        <v>2132</v>
      </c>
      <c r="B671" s="50">
        <v>45941.0</v>
      </c>
      <c r="C671" s="70"/>
      <c r="D671" s="64"/>
      <c r="E671" s="65" t="s">
        <v>2133</v>
      </c>
      <c r="F671" s="71" t="s">
        <v>1665</v>
      </c>
      <c r="G671" s="54" t="s">
        <v>1666</v>
      </c>
      <c r="H671" s="54" t="s">
        <v>1667</v>
      </c>
      <c r="I671" s="54" t="s">
        <v>1668</v>
      </c>
      <c r="J671" s="71" t="s">
        <v>113</v>
      </c>
      <c r="K671" s="56"/>
    </row>
    <row r="672" ht="12.75" customHeight="1">
      <c r="A672" s="69" t="s">
        <v>2134</v>
      </c>
      <c r="B672" s="50">
        <v>45941.0</v>
      </c>
      <c r="C672" s="70"/>
      <c r="D672" s="64"/>
      <c r="E672" s="65" t="s">
        <v>2135</v>
      </c>
      <c r="F672" s="71" t="s">
        <v>1148</v>
      </c>
      <c r="G672" s="54">
        <v>646.268</v>
      </c>
      <c r="H672" s="54" t="s">
        <v>1149</v>
      </c>
      <c r="I672" s="54" t="s">
        <v>1150</v>
      </c>
      <c r="J672" s="71" t="s">
        <v>113</v>
      </c>
      <c r="K672" s="56"/>
    </row>
    <row r="673" ht="12.75" customHeight="1">
      <c r="A673" s="69" t="s">
        <v>2136</v>
      </c>
      <c r="B673" s="50">
        <v>45941.0</v>
      </c>
      <c r="C673" s="70"/>
      <c r="D673" s="64"/>
      <c r="E673" s="65" t="s">
        <v>2137</v>
      </c>
      <c r="F673" s="71" t="s">
        <v>1507</v>
      </c>
      <c r="G673" s="54">
        <v>643.145</v>
      </c>
      <c r="H673" s="54" t="s">
        <v>1508</v>
      </c>
      <c r="I673" s="54" t="s">
        <v>1509</v>
      </c>
      <c r="J673" s="71" t="s">
        <v>113</v>
      </c>
      <c r="K673" s="56"/>
    </row>
    <row r="674" ht="12.75" customHeight="1">
      <c r="A674" s="69" t="s">
        <v>2138</v>
      </c>
      <c r="B674" s="50">
        <v>45941.0</v>
      </c>
      <c r="C674" s="70"/>
      <c r="D674" s="64"/>
      <c r="E674" s="65" t="s">
        <v>2139</v>
      </c>
      <c r="F674" s="71" t="s">
        <v>2140</v>
      </c>
      <c r="G674" s="54" t="s">
        <v>2141</v>
      </c>
      <c r="H674" s="54" t="s">
        <v>2142</v>
      </c>
      <c r="I674" s="54" t="s">
        <v>2143</v>
      </c>
      <c r="J674" s="71" t="s">
        <v>113</v>
      </c>
      <c r="K674" s="56"/>
    </row>
    <row r="675" ht="12.75" customHeight="1">
      <c r="A675" s="69" t="s">
        <v>2144</v>
      </c>
      <c r="B675" s="11" t="s">
        <v>2145</v>
      </c>
      <c r="C675" s="70"/>
      <c r="D675" s="64"/>
      <c r="E675" s="65" t="s">
        <v>2146</v>
      </c>
      <c r="F675" s="71" t="s">
        <v>2147</v>
      </c>
      <c r="G675" s="54" t="s">
        <v>2148</v>
      </c>
      <c r="H675" s="54" t="s">
        <v>2149</v>
      </c>
      <c r="I675" s="54" t="s">
        <v>2150</v>
      </c>
      <c r="J675" s="71" t="e">
        <v>#N/A</v>
      </c>
      <c r="K675" s="56"/>
    </row>
    <row r="676" ht="12.75" customHeight="1">
      <c r="A676" s="69" t="s">
        <v>2151</v>
      </c>
      <c r="B676" s="11" t="s">
        <v>2145</v>
      </c>
      <c r="C676" s="70"/>
      <c r="D676" s="64"/>
      <c r="E676" s="65" t="s">
        <v>2152</v>
      </c>
      <c r="F676" s="71" t="s">
        <v>2153</v>
      </c>
      <c r="G676" s="54">
        <v>359.87</v>
      </c>
      <c r="H676" s="54">
        <v>786.486</v>
      </c>
      <c r="I676" s="54" t="s">
        <v>2154</v>
      </c>
      <c r="J676" s="71" t="s">
        <v>113</v>
      </c>
      <c r="K676" s="56"/>
    </row>
    <row r="677" ht="12.75" customHeight="1">
      <c r="A677" s="69" t="s">
        <v>2155</v>
      </c>
      <c r="B677" s="11" t="s">
        <v>2145</v>
      </c>
      <c r="C677" s="70"/>
      <c r="D677" s="64"/>
      <c r="E677" s="65" t="s">
        <v>2152</v>
      </c>
      <c r="F677" s="71" t="s">
        <v>2156</v>
      </c>
      <c r="G677" s="54">
        <v>799.24</v>
      </c>
      <c r="H677" s="54" t="s">
        <v>2157</v>
      </c>
      <c r="I677" s="54" t="s">
        <v>2158</v>
      </c>
      <c r="J677" s="71" t="e">
        <v>#N/A</v>
      </c>
      <c r="K677" s="56"/>
    </row>
    <row r="678" ht="12.75" customHeight="1">
      <c r="A678" s="69" t="s">
        <v>2159</v>
      </c>
      <c r="B678" s="11" t="s">
        <v>2145</v>
      </c>
      <c r="C678" s="70"/>
      <c r="D678" s="64"/>
      <c r="E678" s="65" t="s">
        <v>2160</v>
      </c>
      <c r="F678" s="71" t="s">
        <v>2161</v>
      </c>
      <c r="G678" s="54" t="s">
        <v>2162</v>
      </c>
      <c r="H678" s="54" t="s">
        <v>2163</v>
      </c>
      <c r="I678" s="54" t="s">
        <v>2164</v>
      </c>
      <c r="J678" s="71" t="e">
        <v>#N/A</v>
      </c>
      <c r="K678" s="56"/>
    </row>
    <row r="679" ht="12.75" customHeight="1">
      <c r="A679" s="69" t="s">
        <v>2165</v>
      </c>
      <c r="B679" s="11" t="s">
        <v>2145</v>
      </c>
      <c r="C679" s="70"/>
      <c r="D679" s="64"/>
      <c r="E679" s="65" t="s">
        <v>2166</v>
      </c>
      <c r="F679" s="71" t="s">
        <v>2167</v>
      </c>
      <c r="G679" s="54">
        <v>182.32</v>
      </c>
      <c r="H679" s="54">
        <v>398.455</v>
      </c>
      <c r="I679" s="54" t="s">
        <v>2168</v>
      </c>
      <c r="J679" s="71" t="e">
        <v>#N/A</v>
      </c>
      <c r="K679" s="56"/>
    </row>
    <row r="680" ht="12.75" customHeight="1">
      <c r="A680" s="69" t="s">
        <v>2169</v>
      </c>
      <c r="B680" s="11" t="s">
        <v>2145</v>
      </c>
      <c r="C680" s="70"/>
      <c r="D680" s="64"/>
      <c r="E680" s="65" t="s">
        <v>2170</v>
      </c>
      <c r="F680" s="71" t="s">
        <v>2171</v>
      </c>
      <c r="G680" s="54" t="s">
        <v>2172</v>
      </c>
      <c r="H680" s="54" t="s">
        <v>2173</v>
      </c>
      <c r="I680" s="54" t="s">
        <v>2174</v>
      </c>
      <c r="J680" s="71" t="s">
        <v>113</v>
      </c>
      <c r="K680" s="56"/>
    </row>
    <row r="681" ht="12.75" customHeight="1">
      <c r="A681" s="69" t="s">
        <v>2175</v>
      </c>
      <c r="B681" s="11" t="s">
        <v>2145</v>
      </c>
      <c r="C681" s="70"/>
      <c r="D681" s="64"/>
      <c r="E681" s="65" t="s">
        <v>2176</v>
      </c>
      <c r="F681" s="71" t="s">
        <v>2177</v>
      </c>
      <c r="G681" s="54" t="s">
        <v>2178</v>
      </c>
      <c r="H681" s="54" t="s">
        <v>2179</v>
      </c>
      <c r="I681" s="54" t="s">
        <v>2180</v>
      </c>
      <c r="J681" s="71" t="s">
        <v>113</v>
      </c>
      <c r="K681" s="56"/>
    </row>
    <row r="682" ht="12.75" customHeight="1">
      <c r="A682" s="69" t="s">
        <v>2181</v>
      </c>
      <c r="B682" s="11" t="s">
        <v>2145</v>
      </c>
      <c r="C682" s="70"/>
      <c r="D682" s="64"/>
      <c r="E682" s="65" t="s">
        <v>2182</v>
      </c>
      <c r="F682" s="71" t="s">
        <v>2183</v>
      </c>
      <c r="G682" s="54" t="s">
        <v>2184</v>
      </c>
      <c r="H682" s="54" t="s">
        <v>2185</v>
      </c>
      <c r="I682" s="54" t="s">
        <v>2186</v>
      </c>
      <c r="J682" s="71" t="s">
        <v>113</v>
      </c>
      <c r="K682" s="56"/>
    </row>
    <row r="683" ht="12.75" customHeight="1">
      <c r="A683" s="69" t="s">
        <v>2187</v>
      </c>
      <c r="B683" s="11" t="s">
        <v>2145</v>
      </c>
      <c r="C683" s="70"/>
      <c r="D683" s="64"/>
      <c r="E683" s="65" t="s">
        <v>2188</v>
      </c>
      <c r="F683" s="71" t="s">
        <v>2189</v>
      </c>
      <c r="G683" s="54" t="s">
        <v>2190</v>
      </c>
      <c r="H683" s="54" t="s">
        <v>2191</v>
      </c>
      <c r="I683" s="54" t="s">
        <v>2192</v>
      </c>
      <c r="J683" s="71" t="s">
        <v>113</v>
      </c>
      <c r="K683" s="56"/>
    </row>
    <row r="684" ht="12.75" customHeight="1">
      <c r="A684" s="69" t="s">
        <v>2193</v>
      </c>
      <c r="B684" s="11" t="s">
        <v>2194</v>
      </c>
      <c r="C684" s="70"/>
      <c r="D684" s="64"/>
      <c r="E684" s="65" t="s">
        <v>2195</v>
      </c>
      <c r="F684" s="71" t="s">
        <v>2196</v>
      </c>
      <c r="G684" s="54" t="s">
        <v>2197</v>
      </c>
      <c r="H684" s="54" t="s">
        <v>2198</v>
      </c>
      <c r="I684" s="54" t="s">
        <v>2199</v>
      </c>
      <c r="J684" s="71" t="s">
        <v>113</v>
      </c>
      <c r="K684" s="56"/>
    </row>
    <row r="685" ht="12.75" customHeight="1">
      <c r="A685" s="69" t="s">
        <v>2200</v>
      </c>
      <c r="B685" s="11" t="s">
        <v>2194</v>
      </c>
      <c r="C685" s="70"/>
      <c r="D685" s="64"/>
      <c r="E685" s="65" t="s">
        <v>2201</v>
      </c>
      <c r="F685" s="71" t="s">
        <v>2202</v>
      </c>
      <c r="G685" s="54" t="s">
        <v>2203</v>
      </c>
      <c r="H685" s="54" t="s">
        <v>2204</v>
      </c>
      <c r="I685" s="54" t="s">
        <v>2205</v>
      </c>
      <c r="J685" s="71" t="s">
        <v>113</v>
      </c>
      <c r="K685" s="56"/>
    </row>
    <row r="686" ht="12.75" customHeight="1">
      <c r="A686" s="69" t="s">
        <v>2206</v>
      </c>
      <c r="B686" s="11" t="s">
        <v>2194</v>
      </c>
      <c r="C686" s="70"/>
      <c r="D686" s="64"/>
      <c r="E686" s="65" t="s">
        <v>2207</v>
      </c>
      <c r="F686" s="71" t="s">
        <v>1278</v>
      </c>
      <c r="G686" s="54">
        <v>420.804</v>
      </c>
      <c r="H686" s="54">
        <v>844.365</v>
      </c>
      <c r="I686" s="54" t="s">
        <v>1279</v>
      </c>
      <c r="J686" s="71" t="s">
        <v>113</v>
      </c>
      <c r="K686" s="56"/>
    </row>
    <row r="687" ht="12.75" customHeight="1">
      <c r="A687" s="69" t="s">
        <v>2208</v>
      </c>
      <c r="B687" s="11" t="s">
        <v>2194</v>
      </c>
      <c r="C687" s="70"/>
      <c r="D687" s="64"/>
      <c r="E687" s="65" t="s">
        <v>2209</v>
      </c>
      <c r="F687" s="71" t="s">
        <v>2210</v>
      </c>
      <c r="G687" s="54" t="s">
        <v>2211</v>
      </c>
      <c r="H687" s="54" t="s">
        <v>2212</v>
      </c>
      <c r="I687" s="54" t="s">
        <v>2213</v>
      </c>
      <c r="J687" s="71" t="e">
        <v>#N/A</v>
      </c>
      <c r="K687" s="56"/>
    </row>
    <row r="688" ht="12.75" customHeight="1">
      <c r="A688" s="69" t="s">
        <v>2214</v>
      </c>
      <c r="B688" s="11" t="s">
        <v>2194</v>
      </c>
      <c r="C688" s="70"/>
      <c r="D688" s="64"/>
      <c r="E688" s="65" t="s">
        <v>2215</v>
      </c>
      <c r="F688" s="71" t="s">
        <v>2216</v>
      </c>
      <c r="G688" s="54" t="s">
        <v>2217</v>
      </c>
      <c r="H688" s="54" t="s">
        <v>2218</v>
      </c>
      <c r="I688" s="54" t="s">
        <v>2219</v>
      </c>
      <c r="J688" s="71" t="s">
        <v>113</v>
      </c>
      <c r="K688" s="56"/>
    </row>
    <row r="689" ht="12.75" customHeight="1">
      <c r="A689" s="69" t="s">
        <v>2220</v>
      </c>
      <c r="B689" s="11" t="s">
        <v>2194</v>
      </c>
      <c r="C689" s="70"/>
      <c r="D689" s="64"/>
      <c r="E689" s="65" t="s">
        <v>2221</v>
      </c>
      <c r="F689" s="71" t="s">
        <v>2222</v>
      </c>
      <c r="G689" s="54" t="s">
        <v>2223</v>
      </c>
      <c r="H689" s="54" t="s">
        <v>2224</v>
      </c>
      <c r="I689" s="54" t="s">
        <v>2225</v>
      </c>
      <c r="J689" s="71" t="s">
        <v>113</v>
      </c>
      <c r="K689" s="56"/>
    </row>
    <row r="690" ht="12.75" customHeight="1">
      <c r="A690" s="69" t="s">
        <v>2226</v>
      </c>
      <c r="B690" s="11" t="s">
        <v>2194</v>
      </c>
      <c r="C690" s="70"/>
      <c r="D690" s="64"/>
      <c r="E690" s="65" t="s">
        <v>2227</v>
      </c>
      <c r="F690" s="71" t="s">
        <v>2228</v>
      </c>
      <c r="G690" s="54">
        <v>741.152</v>
      </c>
      <c r="H690" s="54" t="s">
        <v>2229</v>
      </c>
      <c r="I690" s="54" t="s">
        <v>2230</v>
      </c>
      <c r="J690" s="71" t="s">
        <v>113</v>
      </c>
      <c r="K690" s="56"/>
    </row>
    <row r="691" ht="12.75" customHeight="1">
      <c r="A691" s="69" t="s">
        <v>2231</v>
      </c>
      <c r="B691" s="11" t="s">
        <v>2194</v>
      </c>
      <c r="C691" s="70"/>
      <c r="D691" s="64"/>
      <c r="E691" s="65" t="s">
        <v>2232</v>
      </c>
      <c r="F691" s="71" t="s">
        <v>2233</v>
      </c>
      <c r="G691" s="54" t="s">
        <v>2234</v>
      </c>
      <c r="H691" s="54" t="s">
        <v>2235</v>
      </c>
      <c r="I691" s="54" t="s">
        <v>2236</v>
      </c>
      <c r="J691" s="71" t="s">
        <v>113</v>
      </c>
      <c r="K691" s="56"/>
    </row>
    <row r="692" ht="12.75" customHeight="1">
      <c r="A692" s="69" t="s">
        <v>2237</v>
      </c>
      <c r="B692" s="11" t="s">
        <v>2194</v>
      </c>
      <c r="C692" s="70"/>
      <c r="D692" s="64"/>
      <c r="E692" s="65" t="s">
        <v>2238</v>
      </c>
      <c r="F692" s="71" t="s">
        <v>2239</v>
      </c>
      <c r="G692" s="54" t="s">
        <v>2240</v>
      </c>
      <c r="H692" s="54" t="s">
        <v>2241</v>
      </c>
      <c r="I692" s="54" t="s">
        <v>2242</v>
      </c>
      <c r="J692" s="71" t="e">
        <v>#N/A</v>
      </c>
      <c r="K692" s="56"/>
    </row>
    <row r="693" ht="12.75" customHeight="1">
      <c r="A693" s="69" t="s">
        <v>2243</v>
      </c>
      <c r="B693" s="11" t="s">
        <v>2194</v>
      </c>
      <c r="C693" s="70"/>
      <c r="D693" s="64"/>
      <c r="E693" s="65" t="s">
        <v>2244</v>
      </c>
      <c r="F693" s="71" t="s">
        <v>2245</v>
      </c>
      <c r="G693" s="54" t="s">
        <v>2246</v>
      </c>
      <c r="H693" s="54" t="s">
        <v>2247</v>
      </c>
      <c r="I693" s="54" t="s">
        <v>2248</v>
      </c>
      <c r="J693" s="71" t="s">
        <v>113</v>
      </c>
      <c r="K693" s="56"/>
    </row>
    <row r="694" ht="12.75" customHeight="1">
      <c r="A694" s="69" t="s">
        <v>2249</v>
      </c>
      <c r="B694" s="11" t="s">
        <v>2194</v>
      </c>
      <c r="C694" s="70"/>
      <c r="D694" s="64"/>
      <c r="E694" s="65" t="s">
        <v>2250</v>
      </c>
      <c r="F694" s="71" t="s">
        <v>2251</v>
      </c>
      <c r="G694" s="57"/>
      <c r="H694" s="54">
        <v>0.0</v>
      </c>
      <c r="I694" s="54" t="s">
        <v>2251</v>
      </c>
      <c r="J694" s="71" t="s">
        <v>113</v>
      </c>
      <c r="K694" s="56"/>
    </row>
    <row r="695" ht="12.75" customHeight="1">
      <c r="A695" s="69" t="s">
        <v>2252</v>
      </c>
      <c r="B695" s="11" t="s">
        <v>2194</v>
      </c>
      <c r="C695" s="70"/>
      <c r="D695" s="64"/>
      <c r="E695" s="65" t="s">
        <v>2253</v>
      </c>
      <c r="F695" s="71" t="s">
        <v>2254</v>
      </c>
      <c r="G695" s="54" t="s">
        <v>2255</v>
      </c>
      <c r="H695" s="54" t="s">
        <v>2256</v>
      </c>
      <c r="I695" s="54" t="s">
        <v>2257</v>
      </c>
      <c r="J695" s="71" t="s">
        <v>113</v>
      </c>
      <c r="K695" s="56"/>
    </row>
    <row r="696" ht="12.75" customHeight="1">
      <c r="A696" s="69" t="s">
        <v>2258</v>
      </c>
      <c r="B696" s="11" t="s">
        <v>2194</v>
      </c>
      <c r="C696" s="70"/>
      <c r="D696" s="64"/>
      <c r="E696" s="65" t="s">
        <v>2259</v>
      </c>
      <c r="F696" s="71" t="s">
        <v>2260</v>
      </c>
      <c r="G696" s="54" t="s">
        <v>2261</v>
      </c>
      <c r="H696" s="54" t="s">
        <v>2262</v>
      </c>
      <c r="I696" s="54" t="s">
        <v>2263</v>
      </c>
      <c r="J696" s="71" t="s">
        <v>113</v>
      </c>
      <c r="K696" s="56"/>
    </row>
    <row r="697" ht="12.75" customHeight="1">
      <c r="A697" s="69" t="s">
        <v>2264</v>
      </c>
      <c r="B697" s="11" t="s">
        <v>2194</v>
      </c>
      <c r="C697" s="70"/>
      <c r="D697" s="64"/>
      <c r="E697" s="65" t="s">
        <v>2265</v>
      </c>
      <c r="F697" s="71" t="s">
        <v>2266</v>
      </c>
      <c r="G697" s="54" t="s">
        <v>2267</v>
      </c>
      <c r="H697" s="54" t="s">
        <v>2268</v>
      </c>
      <c r="I697" s="54" t="s">
        <v>2269</v>
      </c>
      <c r="J697" s="71" t="s">
        <v>113</v>
      </c>
      <c r="K697" s="56"/>
    </row>
    <row r="698" ht="12.75" customHeight="1">
      <c r="A698" s="69" t="s">
        <v>2270</v>
      </c>
      <c r="B698" s="11" t="s">
        <v>2194</v>
      </c>
      <c r="C698" s="70"/>
      <c r="D698" s="64"/>
      <c r="E698" s="65" t="s">
        <v>2271</v>
      </c>
      <c r="F698" s="71" t="s">
        <v>2272</v>
      </c>
      <c r="G698" s="54" t="s">
        <v>2273</v>
      </c>
      <c r="H698" s="54" t="s">
        <v>2274</v>
      </c>
      <c r="I698" s="54" t="s">
        <v>2275</v>
      </c>
      <c r="J698" s="71" t="e">
        <v>#N/A</v>
      </c>
      <c r="K698" s="56"/>
    </row>
    <row r="699" ht="12.75" customHeight="1">
      <c r="A699" s="69" t="s">
        <v>2276</v>
      </c>
      <c r="B699" s="11" t="s">
        <v>2194</v>
      </c>
      <c r="C699" s="70"/>
      <c r="D699" s="52" t="s">
        <v>2277</v>
      </c>
      <c r="E699" s="65" t="s">
        <v>2278</v>
      </c>
      <c r="F699" s="71" t="s">
        <v>2279</v>
      </c>
      <c r="G699" s="57"/>
      <c r="H699" s="54" t="s">
        <v>2280</v>
      </c>
      <c r="I699" s="54" t="s">
        <v>2281</v>
      </c>
      <c r="J699" s="71" t="e">
        <v>#N/A</v>
      </c>
      <c r="K699" s="56"/>
    </row>
    <row r="700" ht="12.75" customHeight="1">
      <c r="A700" s="69" t="s">
        <v>2282</v>
      </c>
      <c r="B700" s="11" t="s">
        <v>2194</v>
      </c>
      <c r="C700" s="70"/>
      <c r="D700" s="52" t="s">
        <v>2277</v>
      </c>
      <c r="E700" s="65" t="s">
        <v>2283</v>
      </c>
      <c r="F700" s="71" t="s">
        <v>2284</v>
      </c>
      <c r="G700" s="57"/>
      <c r="H700" s="54" t="s">
        <v>2285</v>
      </c>
      <c r="I700" s="54" t="s">
        <v>2286</v>
      </c>
      <c r="J700" s="71" t="e">
        <v>#N/A</v>
      </c>
      <c r="K700" s="56"/>
    </row>
    <row r="701" ht="12.75" customHeight="1">
      <c r="A701" s="69" t="s">
        <v>2287</v>
      </c>
      <c r="B701" s="11" t="s">
        <v>2194</v>
      </c>
      <c r="C701" s="70"/>
      <c r="D701" s="52" t="s">
        <v>2277</v>
      </c>
      <c r="E701" s="65" t="s">
        <v>2288</v>
      </c>
      <c r="F701" s="71" t="s">
        <v>2289</v>
      </c>
      <c r="G701" s="57"/>
      <c r="H701" s="54" t="s">
        <v>2290</v>
      </c>
      <c r="I701" s="54" t="s">
        <v>2291</v>
      </c>
      <c r="J701" s="71" t="e">
        <v>#N/A</v>
      </c>
      <c r="K701" s="56"/>
    </row>
    <row r="702" ht="12.75" customHeight="1">
      <c r="A702" s="69" t="s">
        <v>2292</v>
      </c>
      <c r="B702" s="11" t="s">
        <v>2194</v>
      </c>
      <c r="C702" s="70"/>
      <c r="D702" s="52" t="s">
        <v>2277</v>
      </c>
      <c r="E702" s="65" t="s">
        <v>2293</v>
      </c>
      <c r="F702" s="71" t="s">
        <v>2294</v>
      </c>
      <c r="G702" s="57"/>
      <c r="H702" s="54" t="s">
        <v>2295</v>
      </c>
      <c r="I702" s="54" t="s">
        <v>2296</v>
      </c>
      <c r="J702" s="71" t="e">
        <v>#N/A</v>
      </c>
      <c r="K702" s="56"/>
    </row>
    <row r="703" ht="12.75" customHeight="1">
      <c r="A703" s="69" t="s">
        <v>2297</v>
      </c>
      <c r="B703" s="11" t="s">
        <v>2194</v>
      </c>
      <c r="C703" s="70"/>
      <c r="D703" s="52" t="s">
        <v>2277</v>
      </c>
      <c r="E703" s="65" t="s">
        <v>2298</v>
      </c>
      <c r="F703" s="71" t="s">
        <v>2299</v>
      </c>
      <c r="G703" s="57"/>
      <c r="H703" s="54" t="s">
        <v>2300</v>
      </c>
      <c r="I703" s="54" t="s">
        <v>2301</v>
      </c>
      <c r="J703" s="71" t="e">
        <v>#N/A</v>
      </c>
      <c r="K703" s="56"/>
    </row>
    <row r="704" ht="12.75" customHeight="1">
      <c r="A704" s="69" t="s">
        <v>2302</v>
      </c>
      <c r="B704" s="11" t="s">
        <v>2194</v>
      </c>
      <c r="C704" s="70"/>
      <c r="D704" s="52" t="s">
        <v>2277</v>
      </c>
      <c r="E704" s="65" t="s">
        <v>2303</v>
      </c>
      <c r="F704" s="71" t="s">
        <v>2304</v>
      </c>
      <c r="G704" s="57"/>
      <c r="H704" s="54" t="s">
        <v>2305</v>
      </c>
      <c r="I704" s="54" t="s">
        <v>2306</v>
      </c>
      <c r="J704" s="71" t="e">
        <v>#N/A</v>
      </c>
      <c r="K704" s="56"/>
    </row>
    <row r="705" ht="12.75" customHeight="1">
      <c r="A705" s="69" t="s">
        <v>2307</v>
      </c>
      <c r="B705" s="11" t="s">
        <v>2194</v>
      </c>
      <c r="C705" s="70"/>
      <c r="D705" s="64"/>
      <c r="E705" s="65" t="s">
        <v>2308</v>
      </c>
      <c r="F705" s="71" t="s">
        <v>2309</v>
      </c>
      <c r="G705" s="54" t="s">
        <v>2310</v>
      </c>
      <c r="H705" s="54" t="s">
        <v>2311</v>
      </c>
      <c r="I705" s="54" t="s">
        <v>2312</v>
      </c>
      <c r="J705" s="71" t="s">
        <v>113</v>
      </c>
      <c r="K705" s="56"/>
    </row>
    <row r="706" ht="12.75" customHeight="1">
      <c r="A706" s="69" t="s">
        <v>2313</v>
      </c>
      <c r="B706" s="11" t="s">
        <v>2194</v>
      </c>
      <c r="C706" s="70"/>
      <c r="D706" s="64"/>
      <c r="E706" s="65" t="s">
        <v>2314</v>
      </c>
      <c r="F706" s="71" t="s">
        <v>2315</v>
      </c>
      <c r="G706" s="54" t="s">
        <v>2316</v>
      </c>
      <c r="H706" s="54" t="s">
        <v>2317</v>
      </c>
      <c r="I706" s="54" t="s">
        <v>2318</v>
      </c>
      <c r="J706" s="71" t="e">
        <v>#N/A</v>
      </c>
      <c r="K706" s="56"/>
    </row>
    <row r="707" ht="12.75" customHeight="1">
      <c r="A707" s="69" t="s">
        <v>2319</v>
      </c>
      <c r="B707" s="11" t="s">
        <v>2194</v>
      </c>
      <c r="C707" s="70"/>
      <c r="D707" s="64"/>
      <c r="E707" s="65" t="s">
        <v>2320</v>
      </c>
      <c r="F707" s="71" t="s">
        <v>1306</v>
      </c>
      <c r="G707" s="54" t="s">
        <v>1307</v>
      </c>
      <c r="H707" s="54" t="s">
        <v>1308</v>
      </c>
      <c r="I707" s="54" t="s">
        <v>1309</v>
      </c>
      <c r="J707" s="71" t="e">
        <v>#N/A</v>
      </c>
      <c r="K707" s="56"/>
    </row>
    <row r="708" ht="12.75" customHeight="1">
      <c r="A708" s="69" t="s">
        <v>2321</v>
      </c>
      <c r="B708" s="11" t="s">
        <v>2194</v>
      </c>
      <c r="C708" s="70"/>
      <c r="D708" s="64"/>
      <c r="E708" s="65" t="s">
        <v>2322</v>
      </c>
      <c r="F708" s="71" t="s">
        <v>2323</v>
      </c>
      <c r="G708" s="54" t="s">
        <v>2324</v>
      </c>
      <c r="H708" s="54" t="s">
        <v>2325</v>
      </c>
      <c r="I708" s="54" t="s">
        <v>2326</v>
      </c>
      <c r="J708" s="71" t="s">
        <v>113</v>
      </c>
      <c r="K708" s="56"/>
    </row>
    <row r="709" ht="12.75" customHeight="1">
      <c r="A709" s="69" t="s">
        <v>2327</v>
      </c>
      <c r="B709" s="11" t="s">
        <v>2194</v>
      </c>
      <c r="C709" s="70"/>
      <c r="D709" s="64"/>
      <c r="E709" s="65" t="s">
        <v>2328</v>
      </c>
      <c r="F709" s="71" t="s">
        <v>2329</v>
      </c>
      <c r="G709" s="54" t="s">
        <v>2330</v>
      </c>
      <c r="H709" s="54" t="s">
        <v>2331</v>
      </c>
      <c r="I709" s="54" t="s">
        <v>2332</v>
      </c>
      <c r="J709" s="71" t="s">
        <v>113</v>
      </c>
      <c r="K709" s="56"/>
    </row>
    <row r="710" ht="12.75" customHeight="1">
      <c r="A710" s="69" t="s">
        <v>2333</v>
      </c>
      <c r="B710" s="50">
        <v>45669.0</v>
      </c>
      <c r="C710" s="70"/>
      <c r="D710" s="64"/>
      <c r="E710" s="65" t="s">
        <v>2334</v>
      </c>
      <c r="F710" s="71" t="s">
        <v>2335</v>
      </c>
      <c r="G710" s="54" t="s">
        <v>2336</v>
      </c>
      <c r="H710" s="54" t="s">
        <v>2337</v>
      </c>
      <c r="I710" s="54" t="s">
        <v>2338</v>
      </c>
      <c r="J710" s="71" t="s">
        <v>113</v>
      </c>
      <c r="K710" s="56"/>
    </row>
    <row r="711" ht="12.75" customHeight="1">
      <c r="A711" s="69" t="s">
        <v>2339</v>
      </c>
      <c r="B711" s="50">
        <v>45669.0</v>
      </c>
      <c r="C711" s="70"/>
      <c r="D711" s="64"/>
      <c r="E711" s="65" t="s">
        <v>2340</v>
      </c>
      <c r="F711" s="71" t="s">
        <v>2341</v>
      </c>
      <c r="G711" s="54" t="s">
        <v>2342</v>
      </c>
      <c r="H711" s="54" t="s">
        <v>2343</v>
      </c>
      <c r="I711" s="54" t="s">
        <v>2344</v>
      </c>
      <c r="J711" s="71" t="s">
        <v>113</v>
      </c>
      <c r="K711" s="56"/>
    </row>
    <row r="712" ht="12.75" customHeight="1">
      <c r="A712" s="69" t="s">
        <v>2345</v>
      </c>
      <c r="B712" s="50">
        <v>45669.0</v>
      </c>
      <c r="C712" s="70"/>
      <c r="D712" s="64"/>
      <c r="E712" s="65" t="s">
        <v>2346</v>
      </c>
      <c r="F712" s="71" t="s">
        <v>2079</v>
      </c>
      <c r="G712" s="54" t="s">
        <v>2080</v>
      </c>
      <c r="H712" s="54" t="s">
        <v>2081</v>
      </c>
      <c r="I712" s="54" t="s">
        <v>2082</v>
      </c>
      <c r="J712" s="71" t="s">
        <v>113</v>
      </c>
      <c r="K712" s="56"/>
    </row>
    <row r="713" ht="12.75" customHeight="1">
      <c r="A713" s="69" t="s">
        <v>2347</v>
      </c>
      <c r="B713" s="50">
        <v>45669.0</v>
      </c>
      <c r="C713" s="70"/>
      <c r="D713" s="64"/>
      <c r="E713" s="65" t="s">
        <v>2348</v>
      </c>
      <c r="F713" s="71" t="s">
        <v>2349</v>
      </c>
      <c r="G713" s="57"/>
      <c r="H713" s="54" t="s">
        <v>2350</v>
      </c>
      <c r="I713" s="54" t="s">
        <v>2351</v>
      </c>
      <c r="J713" s="71" t="s">
        <v>113</v>
      </c>
      <c r="K713" s="56"/>
    </row>
    <row r="714" ht="12.75" customHeight="1">
      <c r="A714" s="69" t="s">
        <v>2352</v>
      </c>
      <c r="B714" s="50">
        <v>45700.0</v>
      </c>
      <c r="C714" s="70"/>
      <c r="D714" s="64"/>
      <c r="E714" s="65" t="s">
        <v>2353</v>
      </c>
      <c r="F714" s="71" t="s">
        <v>1148</v>
      </c>
      <c r="G714" s="54">
        <v>646.268</v>
      </c>
      <c r="H714" s="54" t="s">
        <v>1149</v>
      </c>
      <c r="I714" s="54" t="s">
        <v>1150</v>
      </c>
      <c r="J714" s="71" t="s">
        <v>113</v>
      </c>
      <c r="K714" s="56"/>
    </row>
    <row r="715" ht="12.75" customHeight="1">
      <c r="A715" s="69" t="s">
        <v>2354</v>
      </c>
      <c r="B715" s="50">
        <v>45700.0</v>
      </c>
      <c r="C715" s="70"/>
      <c r="D715" s="64"/>
      <c r="E715" s="65" t="s">
        <v>2355</v>
      </c>
      <c r="F715" s="71" t="s">
        <v>2356</v>
      </c>
      <c r="G715" s="54">
        <v>504.586</v>
      </c>
      <c r="H715" s="54">
        <v>795.564</v>
      </c>
      <c r="I715" s="54" t="s">
        <v>2357</v>
      </c>
      <c r="J715" s="71" t="s">
        <v>113</v>
      </c>
      <c r="K715" s="56"/>
    </row>
    <row r="716" ht="12.75" customHeight="1">
      <c r="A716" s="69" t="s">
        <v>2358</v>
      </c>
      <c r="B716" s="50">
        <v>45700.0</v>
      </c>
      <c r="C716" s="70"/>
      <c r="D716" s="64"/>
      <c r="E716" s="65" t="s">
        <v>2359</v>
      </c>
      <c r="F716" s="71" t="s">
        <v>1665</v>
      </c>
      <c r="G716" s="54" t="s">
        <v>1666</v>
      </c>
      <c r="H716" s="54" t="s">
        <v>1667</v>
      </c>
      <c r="I716" s="54" t="s">
        <v>1668</v>
      </c>
      <c r="J716" s="71" t="e">
        <v>#N/A</v>
      </c>
      <c r="K716" s="56"/>
    </row>
    <row r="717" ht="12.75" customHeight="1">
      <c r="A717" s="69" t="s">
        <v>2360</v>
      </c>
      <c r="B717" s="50">
        <v>45700.0</v>
      </c>
      <c r="C717" s="70"/>
      <c r="D717" s="64"/>
      <c r="E717" s="65" t="s">
        <v>2361</v>
      </c>
      <c r="F717" s="71" t="s">
        <v>1148</v>
      </c>
      <c r="G717" s="54">
        <v>646.268</v>
      </c>
      <c r="H717" s="54" t="s">
        <v>1149</v>
      </c>
      <c r="I717" s="54" t="s">
        <v>1150</v>
      </c>
      <c r="J717" s="71" t="s">
        <v>113</v>
      </c>
      <c r="K717" s="56"/>
    </row>
    <row r="718" ht="12.75" customHeight="1">
      <c r="A718" s="69" t="s">
        <v>2362</v>
      </c>
      <c r="B718" s="50">
        <v>45700.0</v>
      </c>
      <c r="C718" s="70"/>
      <c r="D718" s="64"/>
      <c r="E718" s="65" t="s">
        <v>2361</v>
      </c>
      <c r="F718" s="71" t="s">
        <v>1148</v>
      </c>
      <c r="G718" s="54">
        <v>646.268</v>
      </c>
      <c r="H718" s="54" t="s">
        <v>1149</v>
      </c>
      <c r="I718" s="54" t="s">
        <v>1150</v>
      </c>
      <c r="J718" s="71" t="s">
        <v>113</v>
      </c>
      <c r="K718" s="56"/>
    </row>
    <row r="719" ht="12.75" customHeight="1">
      <c r="A719" s="69" t="s">
        <v>2363</v>
      </c>
      <c r="B719" s="50">
        <v>45728.0</v>
      </c>
      <c r="C719" s="70"/>
      <c r="D719" s="64"/>
      <c r="E719" s="65" t="s">
        <v>2364</v>
      </c>
      <c r="F719" s="71" t="s">
        <v>2365</v>
      </c>
      <c r="G719" s="54" t="s">
        <v>2366</v>
      </c>
      <c r="H719" s="54" t="s">
        <v>2367</v>
      </c>
      <c r="I719" s="54" t="s">
        <v>2368</v>
      </c>
      <c r="J719" s="71" t="s">
        <v>113</v>
      </c>
      <c r="K719" s="56"/>
    </row>
    <row r="720" ht="12.75" customHeight="1">
      <c r="A720" s="69" t="s">
        <v>2369</v>
      </c>
      <c r="B720" s="50">
        <v>45728.0</v>
      </c>
      <c r="C720" s="70"/>
      <c r="D720" s="64"/>
      <c r="E720" s="65" t="s">
        <v>2370</v>
      </c>
      <c r="F720" s="71" t="s">
        <v>471</v>
      </c>
      <c r="G720" s="54" t="s">
        <v>472</v>
      </c>
      <c r="H720" s="54" t="s">
        <v>473</v>
      </c>
      <c r="I720" s="54" t="s">
        <v>474</v>
      </c>
      <c r="J720" s="71" t="e">
        <v>#N/A</v>
      </c>
      <c r="K720" s="56"/>
    </row>
    <row r="721" ht="12.75" customHeight="1">
      <c r="A721" s="69" t="s">
        <v>2371</v>
      </c>
      <c r="B721" s="50">
        <v>45728.0</v>
      </c>
      <c r="C721" s="70"/>
      <c r="D721" s="64"/>
      <c r="E721" s="65" t="s">
        <v>2372</v>
      </c>
      <c r="F721" s="71" t="s">
        <v>1324</v>
      </c>
      <c r="G721" s="54" t="s">
        <v>1325</v>
      </c>
      <c r="H721" s="54" t="s">
        <v>1326</v>
      </c>
      <c r="I721" s="54" t="s">
        <v>1327</v>
      </c>
      <c r="J721" s="71" t="s">
        <v>113</v>
      </c>
      <c r="K721" s="56"/>
    </row>
    <row r="722" ht="12.75" customHeight="1">
      <c r="A722" s="69" t="s">
        <v>2373</v>
      </c>
      <c r="B722" s="50">
        <v>45728.0</v>
      </c>
      <c r="C722" s="70"/>
      <c r="D722" s="64"/>
      <c r="E722" s="65" t="s">
        <v>2374</v>
      </c>
      <c r="F722" s="71" t="s">
        <v>2375</v>
      </c>
      <c r="G722" s="54" t="s">
        <v>2376</v>
      </c>
      <c r="H722" s="54" t="s">
        <v>2377</v>
      </c>
      <c r="I722" s="54" t="s">
        <v>2378</v>
      </c>
      <c r="J722" s="71" t="e">
        <v>#N/A</v>
      </c>
      <c r="K722" s="56"/>
    </row>
    <row r="723" ht="12.75" customHeight="1">
      <c r="A723" s="69" t="s">
        <v>2379</v>
      </c>
      <c r="B723" s="50">
        <v>45728.0</v>
      </c>
      <c r="C723" s="70"/>
      <c r="D723" s="64"/>
      <c r="E723" s="65" t="s">
        <v>2380</v>
      </c>
      <c r="F723" s="71" t="s">
        <v>2381</v>
      </c>
      <c r="G723" s="54" t="s">
        <v>2382</v>
      </c>
      <c r="H723" s="54" t="s">
        <v>2383</v>
      </c>
      <c r="I723" s="54" t="s">
        <v>2384</v>
      </c>
      <c r="J723" s="71" t="e">
        <v>#N/A</v>
      </c>
      <c r="K723" s="56"/>
    </row>
    <row r="724" ht="12.75" customHeight="1">
      <c r="A724" s="69" t="s">
        <v>2385</v>
      </c>
      <c r="B724" s="50">
        <v>45728.0</v>
      </c>
      <c r="C724" s="70"/>
      <c r="D724" s="64"/>
      <c r="E724" s="65" t="s">
        <v>2386</v>
      </c>
      <c r="F724" s="71" t="s">
        <v>2387</v>
      </c>
      <c r="G724" s="54" t="s">
        <v>2388</v>
      </c>
      <c r="H724" s="54" t="s">
        <v>2389</v>
      </c>
      <c r="I724" s="54" t="s">
        <v>2390</v>
      </c>
      <c r="J724" s="71" t="e">
        <v>#N/A</v>
      </c>
      <c r="K724" s="56"/>
    </row>
    <row r="725" ht="12.75" customHeight="1">
      <c r="A725" s="69" t="s">
        <v>2391</v>
      </c>
      <c r="B725" s="50">
        <v>45759.0</v>
      </c>
      <c r="C725" s="70"/>
      <c r="D725" s="64"/>
      <c r="E725" s="65" t="s">
        <v>2392</v>
      </c>
      <c r="F725" s="71" t="s">
        <v>2393</v>
      </c>
      <c r="G725" s="54" t="s">
        <v>2394</v>
      </c>
      <c r="H725" s="54" t="s">
        <v>2395</v>
      </c>
      <c r="I725" s="54" t="s">
        <v>2396</v>
      </c>
      <c r="J725" s="71" t="s">
        <v>113</v>
      </c>
      <c r="K725" s="56"/>
    </row>
    <row r="726" ht="12.75" customHeight="1">
      <c r="A726" s="69" t="s">
        <v>2397</v>
      </c>
      <c r="B726" s="50">
        <v>45728.0</v>
      </c>
      <c r="C726" s="70"/>
      <c r="D726" s="64"/>
      <c r="E726" s="65" t="s">
        <v>2398</v>
      </c>
      <c r="F726" s="71" t="s">
        <v>2399</v>
      </c>
      <c r="G726" s="54" t="s">
        <v>2400</v>
      </c>
      <c r="H726" s="54" t="s">
        <v>2401</v>
      </c>
      <c r="I726" s="54" t="s">
        <v>2402</v>
      </c>
      <c r="J726" s="71" t="e">
        <v>#N/A</v>
      </c>
      <c r="K726" s="56"/>
    </row>
    <row r="727" ht="12.75" customHeight="1">
      <c r="A727" s="69" t="s">
        <v>2403</v>
      </c>
      <c r="B727" s="50">
        <v>45789.0</v>
      </c>
      <c r="C727" s="70"/>
      <c r="D727" s="64"/>
      <c r="E727" s="65" t="s">
        <v>2404</v>
      </c>
      <c r="F727" s="71" t="s">
        <v>1507</v>
      </c>
      <c r="G727" s="54">
        <v>643.145</v>
      </c>
      <c r="H727" s="54" t="s">
        <v>1508</v>
      </c>
      <c r="I727" s="54" t="s">
        <v>1509</v>
      </c>
      <c r="J727" s="71" t="e">
        <v>#N/A</v>
      </c>
      <c r="K727" s="56"/>
    </row>
    <row r="728" ht="12.75" customHeight="1">
      <c r="A728" s="69" t="s">
        <v>2405</v>
      </c>
      <c r="B728" s="50">
        <v>45789.0</v>
      </c>
      <c r="C728" s="70"/>
      <c r="D728" s="64"/>
      <c r="E728" s="65" t="s">
        <v>2406</v>
      </c>
      <c r="F728" s="71" t="s">
        <v>2407</v>
      </c>
      <c r="G728" s="54">
        <v>0.0</v>
      </c>
      <c r="H728" s="54" t="s">
        <v>2408</v>
      </c>
      <c r="I728" s="54" t="s">
        <v>2409</v>
      </c>
      <c r="J728" s="71" t="e">
        <v>#N/A</v>
      </c>
      <c r="K728" s="56"/>
    </row>
    <row r="729" ht="12.75" customHeight="1">
      <c r="A729" s="69" t="s">
        <v>2410</v>
      </c>
      <c r="B729" s="50">
        <v>45789.0</v>
      </c>
      <c r="C729" s="70"/>
      <c r="D729" s="64"/>
      <c r="E729" s="65" t="s">
        <v>2406</v>
      </c>
      <c r="F729" s="71" t="s">
        <v>2407</v>
      </c>
      <c r="G729" s="54">
        <v>0.0</v>
      </c>
      <c r="H729" s="54" t="s">
        <v>2408</v>
      </c>
      <c r="I729" s="54" t="s">
        <v>2409</v>
      </c>
      <c r="J729" s="73"/>
      <c r="K729" s="56"/>
    </row>
    <row r="730" ht="12.75" customHeight="1">
      <c r="A730" s="69" t="s">
        <v>2411</v>
      </c>
      <c r="B730" s="50">
        <v>45789.0</v>
      </c>
      <c r="C730" s="70"/>
      <c r="D730" s="64"/>
      <c r="E730" s="65" t="s">
        <v>2406</v>
      </c>
      <c r="F730" s="71" t="s">
        <v>2407</v>
      </c>
      <c r="G730" s="54">
        <v>0.0</v>
      </c>
      <c r="H730" s="54" t="s">
        <v>2408</v>
      </c>
      <c r="I730" s="54" t="s">
        <v>2409</v>
      </c>
      <c r="J730" s="73"/>
      <c r="K730" s="56"/>
    </row>
    <row r="731" ht="12.75" customHeight="1">
      <c r="A731" s="69" t="s">
        <v>2412</v>
      </c>
      <c r="B731" s="50">
        <v>45789.0</v>
      </c>
      <c r="C731" s="70"/>
      <c r="D731" s="64"/>
      <c r="E731" s="65" t="s">
        <v>2413</v>
      </c>
      <c r="F731" s="71" t="s">
        <v>2414</v>
      </c>
      <c r="G731" s="54" t="s">
        <v>2415</v>
      </c>
      <c r="H731" s="54" t="s">
        <v>2416</v>
      </c>
      <c r="I731" s="54" t="s">
        <v>2417</v>
      </c>
      <c r="J731" s="71" t="s">
        <v>113</v>
      </c>
      <c r="K731" s="56"/>
    </row>
    <row r="732" ht="12.75" customHeight="1">
      <c r="A732" s="69" t="s">
        <v>2418</v>
      </c>
      <c r="B732" s="50">
        <v>45881.0</v>
      </c>
      <c r="C732" s="70"/>
      <c r="D732" s="64"/>
      <c r="E732" s="65" t="s">
        <v>2419</v>
      </c>
      <c r="F732" s="71" t="s">
        <v>2420</v>
      </c>
      <c r="G732" s="54" t="s">
        <v>2421</v>
      </c>
      <c r="H732" s="54" t="s">
        <v>2422</v>
      </c>
      <c r="I732" s="54" t="s">
        <v>2423</v>
      </c>
      <c r="J732" s="71" t="s">
        <v>113</v>
      </c>
      <c r="K732" s="56"/>
    </row>
    <row r="733" ht="12.75" customHeight="1">
      <c r="A733" s="69" t="s">
        <v>2424</v>
      </c>
      <c r="B733" s="50">
        <v>45881.0</v>
      </c>
      <c r="C733" s="70"/>
      <c r="D733" s="64"/>
      <c r="E733" s="65" t="s">
        <v>2425</v>
      </c>
      <c r="F733" s="71" t="s">
        <v>2426</v>
      </c>
      <c r="G733" s="57"/>
      <c r="H733" s="54" t="s">
        <v>2427</v>
      </c>
      <c r="I733" s="54" t="s">
        <v>2428</v>
      </c>
      <c r="J733" s="71" t="e">
        <v>#N/A</v>
      </c>
      <c r="K733" s="56"/>
    </row>
    <row r="734" ht="12.75" customHeight="1">
      <c r="A734" s="69" t="s">
        <v>2429</v>
      </c>
      <c r="B734" s="50">
        <v>45912.0</v>
      </c>
      <c r="C734" s="70"/>
      <c r="D734" s="64"/>
      <c r="E734" s="65" t="s">
        <v>2430</v>
      </c>
      <c r="F734" s="71" t="s">
        <v>2431</v>
      </c>
      <c r="G734" s="54" t="s">
        <v>2432</v>
      </c>
      <c r="H734" s="54" t="s">
        <v>2433</v>
      </c>
      <c r="I734" s="54" t="s">
        <v>2434</v>
      </c>
      <c r="J734" s="71" t="e">
        <v>#N/A</v>
      </c>
      <c r="K734" s="56"/>
    </row>
    <row r="735" ht="12.75" customHeight="1">
      <c r="A735" s="69" t="s">
        <v>2435</v>
      </c>
      <c r="B735" s="50">
        <v>45912.0</v>
      </c>
      <c r="C735" s="70"/>
      <c r="D735" s="52" t="e">
        <v>#N/A</v>
      </c>
      <c r="E735" s="65" t="s">
        <v>2436</v>
      </c>
      <c r="F735" s="71" t="s">
        <v>2437</v>
      </c>
      <c r="G735" s="57"/>
      <c r="H735" s="54" t="s">
        <v>2438</v>
      </c>
      <c r="I735" s="54" t="s">
        <v>2439</v>
      </c>
      <c r="J735" s="71" t="e">
        <v>#N/A</v>
      </c>
      <c r="K735" s="56"/>
    </row>
    <row r="736" ht="12.75" customHeight="1">
      <c r="A736" s="69" t="s">
        <v>2440</v>
      </c>
      <c r="B736" s="50">
        <v>45912.0</v>
      </c>
      <c r="C736" s="70"/>
      <c r="D736" s="52" t="e">
        <v>#N/A</v>
      </c>
      <c r="E736" s="65" t="s">
        <v>2441</v>
      </c>
      <c r="F736" s="71">
        <v>666.797</v>
      </c>
      <c r="G736" s="57"/>
      <c r="H736" s="54">
        <v>73.348</v>
      </c>
      <c r="I736" s="54">
        <v>740.145</v>
      </c>
      <c r="J736" s="71" t="e">
        <v>#N/A</v>
      </c>
      <c r="K736" s="56"/>
    </row>
    <row r="737" ht="12.75" customHeight="1">
      <c r="A737" s="69" t="s">
        <v>2442</v>
      </c>
      <c r="B737" s="50">
        <v>45912.0</v>
      </c>
      <c r="C737" s="70"/>
      <c r="D737" s="64"/>
      <c r="E737" s="65" t="s">
        <v>2443</v>
      </c>
      <c r="F737" s="71" t="s">
        <v>2444</v>
      </c>
      <c r="G737" s="54" t="s">
        <v>2445</v>
      </c>
      <c r="H737" s="54" t="s">
        <v>2446</v>
      </c>
      <c r="I737" s="54" t="s">
        <v>2447</v>
      </c>
      <c r="J737" s="71" t="e">
        <v>#N/A</v>
      </c>
      <c r="K737" s="56"/>
    </row>
    <row r="738" ht="12.75" customHeight="1">
      <c r="A738" s="69" t="s">
        <v>2448</v>
      </c>
      <c r="B738" s="50">
        <v>45912.0</v>
      </c>
      <c r="C738" s="70"/>
      <c r="D738" s="64"/>
      <c r="E738" s="65" t="s">
        <v>2449</v>
      </c>
      <c r="F738" s="71" t="s">
        <v>2450</v>
      </c>
      <c r="G738" s="54" t="s">
        <v>2451</v>
      </c>
      <c r="H738" s="54" t="s">
        <v>2452</v>
      </c>
      <c r="I738" s="54" t="s">
        <v>2453</v>
      </c>
      <c r="J738" s="71" t="s">
        <v>113</v>
      </c>
      <c r="K738" s="56"/>
    </row>
    <row r="739" ht="12.75" customHeight="1">
      <c r="A739" s="69" t="s">
        <v>2454</v>
      </c>
      <c r="B739" s="50">
        <v>45912.0</v>
      </c>
      <c r="C739" s="70"/>
      <c r="D739" s="64"/>
      <c r="E739" s="65" t="s">
        <v>2455</v>
      </c>
      <c r="F739" s="71" t="s">
        <v>2456</v>
      </c>
      <c r="G739" s="54">
        <v>0.0</v>
      </c>
      <c r="H739" s="54" t="s">
        <v>2457</v>
      </c>
      <c r="I739" s="54" t="s">
        <v>2458</v>
      </c>
      <c r="J739" s="71" t="e">
        <v>#N/A</v>
      </c>
      <c r="K739" s="56"/>
    </row>
    <row r="740" ht="12.75" customHeight="1">
      <c r="A740" s="69" t="s">
        <v>2459</v>
      </c>
      <c r="B740" s="50">
        <v>45912.0</v>
      </c>
      <c r="C740" s="70"/>
      <c r="D740" s="64"/>
      <c r="E740" s="65" t="s">
        <v>2455</v>
      </c>
      <c r="F740" s="71" t="s">
        <v>2460</v>
      </c>
      <c r="G740" s="54">
        <v>0.0</v>
      </c>
      <c r="H740" s="54" t="s">
        <v>2461</v>
      </c>
      <c r="I740" s="54" t="s">
        <v>2462</v>
      </c>
      <c r="J740" s="73"/>
      <c r="K740" s="56"/>
    </row>
    <row r="741" ht="12.75" customHeight="1">
      <c r="A741" s="69" t="s">
        <v>2463</v>
      </c>
      <c r="B741" s="50">
        <v>45973.0</v>
      </c>
      <c r="C741" s="70"/>
      <c r="D741" s="64"/>
      <c r="E741" s="65" t="s">
        <v>2464</v>
      </c>
      <c r="F741" s="71" t="s">
        <v>2465</v>
      </c>
      <c r="G741" s="54" t="s">
        <v>2466</v>
      </c>
      <c r="H741" s="54" t="s">
        <v>2467</v>
      </c>
      <c r="I741" s="54" t="s">
        <v>2468</v>
      </c>
      <c r="J741" s="73"/>
      <c r="K741" s="56"/>
    </row>
    <row r="742" ht="12.75" customHeight="1">
      <c r="A742" s="69" t="s">
        <v>2469</v>
      </c>
      <c r="B742" s="50">
        <v>45973.0</v>
      </c>
      <c r="C742" s="70"/>
      <c r="D742" s="64"/>
      <c r="E742" s="65" t="s">
        <v>2470</v>
      </c>
      <c r="F742" s="71" t="s">
        <v>2471</v>
      </c>
      <c r="G742" s="54" t="s">
        <v>2472</v>
      </c>
      <c r="H742" s="54" t="s">
        <v>2473</v>
      </c>
      <c r="I742" s="54" t="s">
        <v>2474</v>
      </c>
      <c r="J742" s="73"/>
      <c r="K742" s="56"/>
    </row>
    <row r="743" ht="12.75" customHeight="1">
      <c r="A743" s="69" t="s">
        <v>2475</v>
      </c>
      <c r="B743" s="50">
        <v>45973.0</v>
      </c>
      <c r="C743" s="70"/>
      <c r="D743" s="64"/>
      <c r="E743" s="65" t="s">
        <v>2476</v>
      </c>
      <c r="F743" s="71" t="s">
        <v>2477</v>
      </c>
      <c r="G743" s="54" t="s">
        <v>2478</v>
      </c>
      <c r="H743" s="54" t="s">
        <v>2479</v>
      </c>
      <c r="I743" s="54" t="s">
        <v>2480</v>
      </c>
      <c r="J743" s="73"/>
      <c r="K743" s="56"/>
    </row>
    <row r="744" ht="12.75" customHeight="1">
      <c r="A744" s="69" t="s">
        <v>2481</v>
      </c>
      <c r="B744" s="11" t="s">
        <v>2482</v>
      </c>
      <c r="C744" s="70"/>
      <c r="D744" s="64"/>
      <c r="E744" s="65" t="s">
        <v>2483</v>
      </c>
      <c r="F744" s="71" t="s">
        <v>2484</v>
      </c>
      <c r="G744" s="54" t="s">
        <v>2485</v>
      </c>
      <c r="H744" s="54" t="s">
        <v>2486</v>
      </c>
      <c r="I744" s="54" t="s">
        <v>2487</v>
      </c>
      <c r="J744" s="71" t="e">
        <v>#N/A</v>
      </c>
      <c r="K744" s="56"/>
    </row>
    <row r="745" ht="12.75" customHeight="1">
      <c r="A745" s="69" t="s">
        <v>2488</v>
      </c>
      <c r="B745" s="11" t="s">
        <v>2482</v>
      </c>
      <c r="C745" s="70"/>
      <c r="D745" s="52" t="s">
        <v>2489</v>
      </c>
      <c r="E745" s="65" t="s">
        <v>2490</v>
      </c>
      <c r="F745" s="71" t="s">
        <v>744</v>
      </c>
      <c r="G745" s="54" t="s">
        <v>745</v>
      </c>
      <c r="H745" s="54" t="s">
        <v>746</v>
      </c>
      <c r="I745" s="54" t="s">
        <v>747</v>
      </c>
      <c r="J745" s="73"/>
      <c r="K745" s="56"/>
    </row>
    <row r="746" ht="12.75" customHeight="1">
      <c r="A746" s="69" t="s">
        <v>2491</v>
      </c>
      <c r="B746" s="11" t="s">
        <v>2482</v>
      </c>
      <c r="C746" s="70"/>
      <c r="D746" s="52" t="s">
        <v>2489</v>
      </c>
      <c r="E746" s="65" t="s">
        <v>2492</v>
      </c>
      <c r="F746" s="71" t="s">
        <v>2099</v>
      </c>
      <c r="G746" s="54" t="s">
        <v>2100</v>
      </c>
      <c r="H746" s="54" t="s">
        <v>2101</v>
      </c>
      <c r="I746" s="54" t="s">
        <v>2102</v>
      </c>
      <c r="J746" s="73"/>
      <c r="K746" s="56"/>
    </row>
    <row r="747" ht="12.75" customHeight="1">
      <c r="A747" s="69" t="s">
        <v>2493</v>
      </c>
      <c r="B747" s="11" t="s">
        <v>2482</v>
      </c>
      <c r="C747" s="70"/>
      <c r="D747" s="52" t="s">
        <v>2489</v>
      </c>
      <c r="E747" s="65" t="s">
        <v>2494</v>
      </c>
      <c r="F747" s="71" t="s">
        <v>2495</v>
      </c>
      <c r="G747" s="54" t="s">
        <v>2496</v>
      </c>
      <c r="H747" s="54" t="s">
        <v>2497</v>
      </c>
      <c r="I747" s="54" t="s">
        <v>2498</v>
      </c>
      <c r="J747" s="73"/>
      <c r="K747" s="56"/>
    </row>
    <row r="748" ht="12.75" customHeight="1">
      <c r="A748" s="69" t="s">
        <v>2499</v>
      </c>
      <c r="B748" s="11" t="s">
        <v>2482</v>
      </c>
      <c r="C748" s="70"/>
      <c r="D748" s="52" t="s">
        <v>2489</v>
      </c>
      <c r="E748" s="65" t="s">
        <v>2500</v>
      </c>
      <c r="F748" s="71" t="s">
        <v>2501</v>
      </c>
      <c r="G748" s="54" t="s">
        <v>2502</v>
      </c>
      <c r="H748" s="54" t="s">
        <v>2503</v>
      </c>
      <c r="I748" s="54" t="s">
        <v>2504</v>
      </c>
      <c r="J748" s="73"/>
      <c r="K748" s="56"/>
    </row>
    <row r="749" ht="12.75" customHeight="1">
      <c r="A749" s="69" t="s">
        <v>2505</v>
      </c>
      <c r="B749" s="11" t="s">
        <v>2482</v>
      </c>
      <c r="C749" s="70"/>
      <c r="D749" s="52" t="s">
        <v>2489</v>
      </c>
      <c r="E749" s="65" t="s">
        <v>2506</v>
      </c>
      <c r="F749" s="71" t="s">
        <v>2507</v>
      </c>
      <c r="G749" s="54" t="s">
        <v>2508</v>
      </c>
      <c r="H749" s="54" t="s">
        <v>2509</v>
      </c>
      <c r="I749" s="54" t="s">
        <v>2510</v>
      </c>
      <c r="J749" s="73"/>
      <c r="K749" s="56"/>
    </row>
    <row r="750" ht="12.75" customHeight="1">
      <c r="A750" s="69" t="s">
        <v>2511</v>
      </c>
      <c r="B750" s="11" t="s">
        <v>2512</v>
      </c>
      <c r="C750" s="70"/>
      <c r="D750" s="64"/>
      <c r="E750" s="65" t="s">
        <v>2513</v>
      </c>
      <c r="F750" s="71" t="s">
        <v>2514</v>
      </c>
      <c r="G750" s="54">
        <v>691.923</v>
      </c>
      <c r="H750" s="54" t="s">
        <v>2515</v>
      </c>
      <c r="I750" s="54" t="s">
        <v>2516</v>
      </c>
      <c r="J750" s="71" t="e">
        <v>#N/A</v>
      </c>
      <c r="K750" s="56"/>
    </row>
    <row r="751" ht="12.75" customHeight="1">
      <c r="A751" s="69" t="s">
        <v>2517</v>
      </c>
      <c r="B751" s="11" t="s">
        <v>2512</v>
      </c>
      <c r="C751" s="70"/>
      <c r="D751" s="64"/>
      <c r="E751" s="65" t="s">
        <v>2518</v>
      </c>
      <c r="F751" s="71" t="s">
        <v>2519</v>
      </c>
      <c r="G751" s="54">
        <v>152.64</v>
      </c>
      <c r="H751" s="54">
        <v>333.59</v>
      </c>
      <c r="I751" s="54" t="s">
        <v>2520</v>
      </c>
      <c r="J751" s="71" t="e">
        <v>#N/A</v>
      </c>
      <c r="K751" s="56"/>
    </row>
    <row r="752" ht="12.75" customHeight="1">
      <c r="A752" s="69" t="s">
        <v>2521</v>
      </c>
      <c r="B752" s="11" t="s">
        <v>2512</v>
      </c>
      <c r="C752" s="70"/>
      <c r="D752" s="64"/>
      <c r="E752" s="65" t="s">
        <v>2522</v>
      </c>
      <c r="F752" s="71" t="s">
        <v>2523</v>
      </c>
      <c r="G752" s="54">
        <v>416.883</v>
      </c>
      <c r="H752" s="54">
        <v>911.086</v>
      </c>
      <c r="I752" s="54" t="s">
        <v>2524</v>
      </c>
      <c r="J752" s="71" t="e">
        <v>#N/A</v>
      </c>
      <c r="K752" s="56"/>
    </row>
    <row r="753" ht="12.75" customHeight="1">
      <c r="A753" s="69" t="s">
        <v>2525</v>
      </c>
      <c r="B753" s="11" t="s">
        <v>2526</v>
      </c>
      <c r="C753" s="70"/>
      <c r="D753" s="64"/>
      <c r="E753" s="65" t="s">
        <v>2527</v>
      </c>
      <c r="F753" s="71" t="s">
        <v>2528</v>
      </c>
      <c r="G753" s="54" t="s">
        <v>2529</v>
      </c>
      <c r="H753" s="54" t="s">
        <v>2530</v>
      </c>
      <c r="I753" s="54" t="s">
        <v>2531</v>
      </c>
      <c r="J753" s="73"/>
      <c r="K753" s="56"/>
    </row>
    <row r="754" ht="12.75" customHeight="1">
      <c r="A754" s="69" t="s">
        <v>2532</v>
      </c>
      <c r="B754" s="11" t="s">
        <v>2526</v>
      </c>
      <c r="C754" s="70"/>
      <c r="D754" s="64"/>
      <c r="E754" s="65" t="s">
        <v>2533</v>
      </c>
      <c r="F754" s="71" t="s">
        <v>2528</v>
      </c>
      <c r="G754" s="54" t="s">
        <v>2529</v>
      </c>
      <c r="H754" s="54" t="s">
        <v>2530</v>
      </c>
      <c r="I754" s="54" t="s">
        <v>2531</v>
      </c>
      <c r="J754" s="73"/>
      <c r="K754" s="56"/>
    </row>
    <row r="755" ht="12.75" customHeight="1">
      <c r="A755" s="69" t="s">
        <v>2534</v>
      </c>
      <c r="B755" s="11" t="s">
        <v>2526</v>
      </c>
      <c r="C755" s="70"/>
      <c r="D755" s="64"/>
      <c r="E755" s="65" t="s">
        <v>2535</v>
      </c>
      <c r="F755" s="71" t="s">
        <v>2536</v>
      </c>
      <c r="G755" s="54" t="s">
        <v>2537</v>
      </c>
      <c r="H755" s="54" t="s">
        <v>2538</v>
      </c>
      <c r="I755" s="54" t="s">
        <v>2539</v>
      </c>
      <c r="J755" s="73"/>
      <c r="K755" s="56"/>
    </row>
    <row r="756" ht="12.75" customHeight="1">
      <c r="A756" s="69" t="s">
        <v>2540</v>
      </c>
      <c r="B756" s="11" t="s">
        <v>2526</v>
      </c>
      <c r="C756" s="70"/>
      <c r="D756" s="64"/>
      <c r="E756" s="65" t="s">
        <v>2541</v>
      </c>
      <c r="F756" s="71" t="s">
        <v>2542</v>
      </c>
      <c r="G756" s="54">
        <v>584.94</v>
      </c>
      <c r="H756" s="54">
        <v>64.343</v>
      </c>
      <c r="I756" s="54" t="s">
        <v>2543</v>
      </c>
      <c r="J756" s="73"/>
      <c r="K756" s="56"/>
    </row>
    <row r="757" ht="12.75" customHeight="1">
      <c r="A757" s="69" t="s">
        <v>2544</v>
      </c>
      <c r="B757" s="11" t="s">
        <v>2526</v>
      </c>
      <c r="C757" s="70"/>
      <c r="D757" s="64"/>
      <c r="E757" s="65" t="s">
        <v>2545</v>
      </c>
      <c r="F757" s="71" t="s">
        <v>2546</v>
      </c>
      <c r="G757" s="54">
        <v>860.184</v>
      </c>
      <c r="H757" s="54">
        <v>94.62</v>
      </c>
      <c r="I757" s="54" t="s">
        <v>2547</v>
      </c>
      <c r="J757" s="73"/>
      <c r="K757" s="56"/>
    </row>
    <row r="758" ht="12.75" customHeight="1">
      <c r="A758" s="69" t="s">
        <v>2548</v>
      </c>
      <c r="B758" s="11" t="s">
        <v>2526</v>
      </c>
      <c r="C758" s="70"/>
      <c r="D758" s="64"/>
      <c r="E758" s="65" t="s">
        <v>2549</v>
      </c>
      <c r="F758" s="71" t="s">
        <v>2550</v>
      </c>
      <c r="G758" s="54" t="s">
        <v>2551</v>
      </c>
      <c r="H758" s="54">
        <v>335.333</v>
      </c>
      <c r="I758" s="54" t="s">
        <v>2552</v>
      </c>
      <c r="J758" s="73"/>
      <c r="K758" s="56"/>
    </row>
    <row r="759" ht="12.75" customHeight="1">
      <c r="A759" s="69" t="s">
        <v>2553</v>
      </c>
      <c r="B759" s="11" t="s">
        <v>2526</v>
      </c>
      <c r="C759" s="70"/>
      <c r="D759" s="64"/>
      <c r="E759" s="65" t="s">
        <v>2554</v>
      </c>
      <c r="F759" s="71" t="s">
        <v>2555</v>
      </c>
      <c r="G759" s="57"/>
      <c r="H759" s="54">
        <v>0.0</v>
      </c>
      <c r="I759" s="54" t="s">
        <v>2555</v>
      </c>
      <c r="J759" s="73"/>
      <c r="K759" s="56"/>
    </row>
    <row r="760" ht="12.75" customHeight="1">
      <c r="A760" s="69" t="s">
        <v>2556</v>
      </c>
      <c r="B760" s="11" t="s">
        <v>2526</v>
      </c>
      <c r="C760" s="70"/>
      <c r="D760" s="64"/>
      <c r="E760" s="65" t="s">
        <v>2554</v>
      </c>
      <c r="F760" s="71" t="s">
        <v>2557</v>
      </c>
      <c r="G760" s="54">
        <v>819.748</v>
      </c>
      <c r="H760" s="54" t="s">
        <v>2558</v>
      </c>
      <c r="I760" s="54" t="s">
        <v>2559</v>
      </c>
      <c r="J760" s="73"/>
      <c r="K760" s="56"/>
    </row>
    <row r="761" ht="12.75" customHeight="1">
      <c r="A761" s="69" t="s">
        <v>2560</v>
      </c>
      <c r="B761" s="11" t="s">
        <v>2526</v>
      </c>
      <c r="C761" s="70"/>
      <c r="D761" s="64"/>
      <c r="E761" s="65" t="s">
        <v>2561</v>
      </c>
      <c r="F761" s="71" t="s">
        <v>2557</v>
      </c>
      <c r="G761" s="54">
        <v>819.748</v>
      </c>
      <c r="H761" s="54" t="s">
        <v>2558</v>
      </c>
      <c r="I761" s="54" t="s">
        <v>2559</v>
      </c>
      <c r="J761" s="73"/>
      <c r="K761" s="56"/>
    </row>
    <row r="762" ht="12.75" customHeight="1">
      <c r="A762" s="69" t="s">
        <v>2562</v>
      </c>
      <c r="B762" s="11" t="s">
        <v>2526</v>
      </c>
      <c r="C762" s="70"/>
      <c r="D762" s="64"/>
      <c r="E762" s="65" t="s">
        <v>2563</v>
      </c>
      <c r="F762" s="71" t="s">
        <v>2507</v>
      </c>
      <c r="G762" s="54" t="s">
        <v>2508</v>
      </c>
      <c r="H762" s="54" t="s">
        <v>2509</v>
      </c>
      <c r="I762" s="54" t="s">
        <v>2510</v>
      </c>
      <c r="J762" s="73"/>
      <c r="K762" s="56"/>
    </row>
    <row r="763" ht="12.75" customHeight="1">
      <c r="A763" s="69" t="s">
        <v>2564</v>
      </c>
      <c r="B763" s="11" t="s">
        <v>2526</v>
      </c>
      <c r="C763" s="70"/>
      <c r="D763" s="64"/>
      <c r="E763" s="65" t="s">
        <v>2565</v>
      </c>
      <c r="F763" s="71" t="s">
        <v>2566</v>
      </c>
      <c r="G763" s="54">
        <v>969.631</v>
      </c>
      <c r="H763" s="54" t="s">
        <v>2567</v>
      </c>
      <c r="I763" s="54" t="s">
        <v>2568</v>
      </c>
      <c r="J763" s="73"/>
      <c r="K763" s="56"/>
    </row>
    <row r="764" ht="12.75" customHeight="1">
      <c r="A764" s="69" t="s">
        <v>2569</v>
      </c>
      <c r="B764" s="11" t="s">
        <v>2570</v>
      </c>
      <c r="C764" s="70"/>
      <c r="D764" s="64"/>
      <c r="E764" s="65" t="s">
        <v>2571</v>
      </c>
      <c r="F764" s="71" t="s">
        <v>1148</v>
      </c>
      <c r="G764" s="57"/>
      <c r="H764" s="54">
        <v>947.86</v>
      </c>
      <c r="I764" s="54" t="s">
        <v>2572</v>
      </c>
      <c r="J764" s="73"/>
      <c r="K764" s="56"/>
    </row>
    <row r="765" ht="12.75" customHeight="1">
      <c r="A765" s="69" t="s">
        <v>2573</v>
      </c>
      <c r="B765" s="11" t="s">
        <v>2570</v>
      </c>
      <c r="C765" s="70"/>
      <c r="D765" s="64"/>
      <c r="E765" s="65" t="s">
        <v>2574</v>
      </c>
      <c r="F765" s="71" t="s">
        <v>1507</v>
      </c>
      <c r="G765" s="57"/>
      <c r="H765" s="54">
        <v>943.279</v>
      </c>
      <c r="I765" s="54" t="s">
        <v>2575</v>
      </c>
      <c r="J765" s="73"/>
      <c r="K765" s="56"/>
    </row>
    <row r="766" ht="12.75" customHeight="1">
      <c r="A766" s="69" t="s">
        <v>2576</v>
      </c>
      <c r="B766" s="11" t="s">
        <v>2570</v>
      </c>
      <c r="C766" s="70"/>
      <c r="D766" s="64"/>
      <c r="E766" s="65" t="s">
        <v>2577</v>
      </c>
      <c r="F766" s="71" t="s">
        <v>2578</v>
      </c>
      <c r="G766" s="54" t="s">
        <v>2579</v>
      </c>
      <c r="H766" s="54" t="s">
        <v>2580</v>
      </c>
      <c r="I766" s="54" t="s">
        <v>2581</v>
      </c>
      <c r="J766" s="73"/>
      <c r="K766" s="56"/>
    </row>
    <row r="767" ht="12.75" customHeight="1">
      <c r="A767" s="69" t="s">
        <v>2582</v>
      </c>
      <c r="B767" s="11" t="s">
        <v>2570</v>
      </c>
      <c r="C767" s="70"/>
      <c r="D767" s="64"/>
      <c r="E767" s="65" t="s">
        <v>2583</v>
      </c>
      <c r="F767" s="71" t="s">
        <v>2584</v>
      </c>
      <c r="G767" s="54" t="s">
        <v>2585</v>
      </c>
      <c r="H767" s="54" t="s">
        <v>2586</v>
      </c>
      <c r="I767" s="54" t="s">
        <v>2587</v>
      </c>
      <c r="J767" s="73"/>
      <c r="K767" s="56"/>
    </row>
    <row r="768" ht="12.75" customHeight="1">
      <c r="A768" s="69" t="s">
        <v>2588</v>
      </c>
      <c r="B768" s="11" t="s">
        <v>2570</v>
      </c>
      <c r="C768" s="70"/>
      <c r="D768" s="64"/>
      <c r="E768" s="65" t="s">
        <v>2589</v>
      </c>
      <c r="F768" s="71" t="s">
        <v>2590</v>
      </c>
      <c r="G768" s="54" t="s">
        <v>2591</v>
      </c>
      <c r="H768" s="54" t="s">
        <v>2592</v>
      </c>
      <c r="I768" s="54" t="s">
        <v>2593</v>
      </c>
      <c r="J768" s="73"/>
      <c r="K768" s="56"/>
    </row>
    <row r="769" ht="12.75" customHeight="1">
      <c r="A769" s="69" t="s">
        <v>2594</v>
      </c>
      <c r="B769" s="11" t="s">
        <v>2570</v>
      </c>
      <c r="C769" s="70"/>
      <c r="D769" s="64"/>
      <c r="E769" s="65" t="s">
        <v>2595</v>
      </c>
      <c r="F769" s="71" t="s">
        <v>1306</v>
      </c>
      <c r="G769" s="54" t="s">
        <v>1307</v>
      </c>
      <c r="H769" s="54" t="s">
        <v>1308</v>
      </c>
      <c r="I769" s="54" t="s">
        <v>1309</v>
      </c>
      <c r="J769" s="73"/>
      <c r="K769" s="56"/>
    </row>
    <row r="770" ht="12.75" customHeight="1">
      <c r="A770" s="69" t="s">
        <v>2596</v>
      </c>
      <c r="B770" s="11" t="s">
        <v>2570</v>
      </c>
      <c r="C770" s="70"/>
      <c r="D770" s="64"/>
      <c r="E770" s="65" t="s">
        <v>2597</v>
      </c>
      <c r="F770" s="71" t="s">
        <v>2323</v>
      </c>
      <c r="G770" s="54" t="s">
        <v>2324</v>
      </c>
      <c r="H770" s="54" t="s">
        <v>2325</v>
      </c>
      <c r="I770" s="54" t="s">
        <v>2326</v>
      </c>
      <c r="J770" s="73"/>
      <c r="K770" s="56"/>
    </row>
    <row r="771" ht="12.75" customHeight="1">
      <c r="A771" s="69" t="s">
        <v>2598</v>
      </c>
      <c r="B771" s="11" t="s">
        <v>2570</v>
      </c>
      <c r="C771" s="70"/>
      <c r="D771" s="64"/>
      <c r="E771" s="65" t="s">
        <v>2599</v>
      </c>
      <c r="F771" s="71" t="s">
        <v>2600</v>
      </c>
      <c r="G771" s="54" t="s">
        <v>2601</v>
      </c>
      <c r="H771" s="54" t="s">
        <v>2602</v>
      </c>
      <c r="I771" s="54" t="s">
        <v>2603</v>
      </c>
      <c r="J771" s="73"/>
      <c r="K771" s="56"/>
    </row>
    <row r="772" ht="12.75" customHeight="1">
      <c r="A772" s="69" t="s">
        <v>2604</v>
      </c>
      <c r="B772" s="11" t="s">
        <v>2570</v>
      </c>
      <c r="C772" s="70"/>
      <c r="D772" s="64"/>
      <c r="E772" s="65" t="s">
        <v>2605</v>
      </c>
      <c r="F772" s="71" t="s">
        <v>2606</v>
      </c>
      <c r="G772" s="57"/>
      <c r="H772" s="54" t="s">
        <v>2607</v>
      </c>
      <c r="I772" s="54" t="s">
        <v>2608</v>
      </c>
      <c r="J772" s="73"/>
      <c r="K772" s="56"/>
    </row>
    <row r="773" ht="12.75" customHeight="1">
      <c r="A773" s="69" t="s">
        <v>2609</v>
      </c>
      <c r="B773" s="11" t="s">
        <v>2570</v>
      </c>
      <c r="C773" s="70"/>
      <c r="D773" s="64"/>
      <c r="E773" s="65" t="s">
        <v>2610</v>
      </c>
      <c r="F773" s="71" t="s">
        <v>2611</v>
      </c>
      <c r="G773" s="54" t="s">
        <v>2612</v>
      </c>
      <c r="H773" s="54" t="s">
        <v>2613</v>
      </c>
      <c r="I773" s="54" t="s">
        <v>2614</v>
      </c>
      <c r="J773" s="73"/>
      <c r="K773" s="56"/>
    </row>
    <row r="774" ht="12.75" customHeight="1">
      <c r="A774" s="69" t="s">
        <v>2615</v>
      </c>
      <c r="B774" s="11" t="s">
        <v>2570</v>
      </c>
      <c r="C774" s="70"/>
      <c r="D774" s="64"/>
      <c r="E774" s="65" t="s">
        <v>2616</v>
      </c>
      <c r="F774" s="71" t="s">
        <v>2617</v>
      </c>
      <c r="G774" s="57"/>
      <c r="H774" s="54" t="s">
        <v>2618</v>
      </c>
      <c r="I774" s="54" t="s">
        <v>2619</v>
      </c>
      <c r="J774" s="73"/>
      <c r="K774" s="56"/>
    </row>
    <row r="775" ht="12.75" customHeight="1">
      <c r="A775" s="69" t="s">
        <v>2620</v>
      </c>
      <c r="B775" s="11" t="s">
        <v>2621</v>
      </c>
      <c r="C775" s="70"/>
      <c r="D775" s="64"/>
      <c r="E775" s="65" t="s">
        <v>2622</v>
      </c>
      <c r="F775" s="71" t="s">
        <v>2623</v>
      </c>
      <c r="G775" s="54">
        <v>316.98</v>
      </c>
      <c r="H775" s="54">
        <v>499.771</v>
      </c>
      <c r="I775" s="54" t="s">
        <v>2624</v>
      </c>
      <c r="J775" s="73"/>
      <c r="K775" s="56"/>
    </row>
    <row r="776" ht="12.75" customHeight="1">
      <c r="A776" s="69" t="s">
        <v>2625</v>
      </c>
      <c r="B776" s="11" t="s">
        <v>2621</v>
      </c>
      <c r="C776" s="70"/>
      <c r="D776" s="64"/>
      <c r="E776" s="65" t="s">
        <v>2626</v>
      </c>
      <c r="F776" s="71" t="s">
        <v>2627</v>
      </c>
      <c r="G776" s="54">
        <v>599.517</v>
      </c>
      <c r="H776" s="54">
        <v>945.238</v>
      </c>
      <c r="I776" s="54" t="s">
        <v>2628</v>
      </c>
      <c r="J776" s="73"/>
      <c r="K776" s="56"/>
    </row>
    <row r="777" ht="12.75" customHeight="1">
      <c r="A777" s="69" t="s">
        <v>2629</v>
      </c>
      <c r="B777" s="11" t="s">
        <v>2621</v>
      </c>
      <c r="C777" s="70"/>
      <c r="D777" s="64"/>
      <c r="E777" s="65" t="s">
        <v>2630</v>
      </c>
      <c r="F777" s="71" t="s">
        <v>2631</v>
      </c>
      <c r="G777" s="54">
        <v>666.947</v>
      </c>
      <c r="H777" s="54" t="s">
        <v>2632</v>
      </c>
      <c r="I777" s="54" t="s">
        <v>2633</v>
      </c>
      <c r="J777" s="73"/>
      <c r="K777" s="56"/>
    </row>
    <row r="778" ht="12.75" customHeight="1">
      <c r="A778" s="69" t="s">
        <v>2634</v>
      </c>
      <c r="B778" s="11" t="s">
        <v>2621</v>
      </c>
      <c r="C778" s="70"/>
      <c r="D778" s="64"/>
      <c r="E778" s="65" t="s">
        <v>2635</v>
      </c>
      <c r="F778" s="71" t="s">
        <v>2636</v>
      </c>
      <c r="G778" s="54">
        <v>510.192</v>
      </c>
      <c r="H778" s="54">
        <v>804.403</v>
      </c>
      <c r="I778" s="54" t="s">
        <v>2637</v>
      </c>
      <c r="J778" s="73"/>
      <c r="K778" s="56"/>
    </row>
    <row r="779" ht="12.75" customHeight="1">
      <c r="A779" s="69" t="s">
        <v>2638</v>
      </c>
      <c r="B779" s="11" t="s">
        <v>2639</v>
      </c>
      <c r="C779" s="70"/>
      <c r="D779" s="64"/>
      <c r="E779" s="65" t="s">
        <v>2640</v>
      </c>
      <c r="F779" s="71" t="s">
        <v>2641</v>
      </c>
      <c r="G779" s="54" t="s">
        <v>2642</v>
      </c>
      <c r="H779" s="54" t="s">
        <v>2643</v>
      </c>
      <c r="I779" s="54" t="s">
        <v>2644</v>
      </c>
      <c r="J779" s="73"/>
      <c r="K779" s="56"/>
    </row>
    <row r="780" ht="12.75" customHeight="1">
      <c r="A780" s="69" t="s">
        <v>2645</v>
      </c>
      <c r="B780" s="11" t="s">
        <v>2639</v>
      </c>
      <c r="C780" s="70"/>
      <c r="D780" s="64"/>
      <c r="E780" s="65" t="s">
        <v>2646</v>
      </c>
      <c r="F780" s="71" t="s">
        <v>2647</v>
      </c>
      <c r="G780" s="54" t="s">
        <v>2648</v>
      </c>
      <c r="H780" s="54" t="s">
        <v>2649</v>
      </c>
      <c r="I780" s="54" t="s">
        <v>2650</v>
      </c>
      <c r="J780" s="73"/>
      <c r="K780" s="56"/>
    </row>
    <row r="781" ht="12.75" customHeight="1">
      <c r="A781" s="69" t="s">
        <v>2651</v>
      </c>
      <c r="B781" s="11" t="s">
        <v>2639</v>
      </c>
      <c r="C781" s="70"/>
      <c r="D781" s="64"/>
      <c r="E781" s="65" t="s">
        <v>2652</v>
      </c>
      <c r="F781" s="71" t="s">
        <v>1717</v>
      </c>
      <c r="G781" s="54" t="s">
        <v>2653</v>
      </c>
      <c r="H781" s="54" t="s">
        <v>2654</v>
      </c>
      <c r="I781" s="54" t="s">
        <v>2655</v>
      </c>
      <c r="J781" s="73"/>
      <c r="K781" s="56"/>
    </row>
    <row r="782" ht="12.75" customHeight="1">
      <c r="A782" s="69" t="s">
        <v>2656</v>
      </c>
      <c r="B782" s="11" t="s">
        <v>2639</v>
      </c>
      <c r="C782" s="70"/>
      <c r="D782" s="64"/>
      <c r="E782" s="65" t="s">
        <v>2657</v>
      </c>
      <c r="F782" s="71" t="s">
        <v>2658</v>
      </c>
      <c r="G782" s="54">
        <v>112.5</v>
      </c>
      <c r="H782" s="54">
        <v>177.375</v>
      </c>
      <c r="I782" s="54" t="s">
        <v>2659</v>
      </c>
      <c r="J782" s="73"/>
      <c r="K782" s="56"/>
    </row>
    <row r="783" ht="12.75" customHeight="1">
      <c r="A783" s="69" t="s">
        <v>2660</v>
      </c>
      <c r="B783" s="11" t="s">
        <v>2639</v>
      </c>
      <c r="C783" s="70"/>
      <c r="D783" s="64"/>
      <c r="E783" s="65" t="s">
        <v>2661</v>
      </c>
      <c r="F783" s="71" t="s">
        <v>2662</v>
      </c>
      <c r="G783" s="54" t="s">
        <v>2663</v>
      </c>
      <c r="H783" s="54" t="s">
        <v>2664</v>
      </c>
      <c r="I783" s="54" t="s">
        <v>2665</v>
      </c>
      <c r="J783" s="73"/>
      <c r="K783" s="56"/>
    </row>
    <row r="784" ht="12.75" customHeight="1">
      <c r="A784" s="69" t="s">
        <v>2666</v>
      </c>
      <c r="B784" s="11" t="s">
        <v>2639</v>
      </c>
      <c r="C784" s="70"/>
      <c r="D784" s="64"/>
      <c r="E784" s="65" t="s">
        <v>2667</v>
      </c>
      <c r="F784" s="71" t="s">
        <v>2668</v>
      </c>
      <c r="G784" s="54" t="s">
        <v>2669</v>
      </c>
      <c r="H784" s="54" t="s">
        <v>2670</v>
      </c>
      <c r="I784" s="54" t="s">
        <v>2671</v>
      </c>
      <c r="J784" s="73"/>
      <c r="K784" s="56"/>
    </row>
    <row r="785" ht="12.75" customHeight="1">
      <c r="A785" s="69" t="s">
        <v>2672</v>
      </c>
      <c r="B785" s="11" t="s">
        <v>2639</v>
      </c>
      <c r="C785" s="70"/>
      <c r="D785" s="64"/>
      <c r="E785" s="65" t="s">
        <v>2673</v>
      </c>
      <c r="F785" s="71" t="s">
        <v>2674</v>
      </c>
      <c r="G785" s="54" t="s">
        <v>2675</v>
      </c>
      <c r="H785" s="54" t="s">
        <v>2676</v>
      </c>
      <c r="I785" s="54" t="s">
        <v>2677</v>
      </c>
      <c r="J785" s="73"/>
      <c r="K785" s="56"/>
    </row>
    <row r="786" ht="12.75" customHeight="1">
      <c r="A786" s="69" t="s">
        <v>2678</v>
      </c>
      <c r="B786" s="11" t="s">
        <v>2639</v>
      </c>
      <c r="C786" s="70"/>
      <c r="D786" s="64"/>
      <c r="E786" s="65" t="s">
        <v>2679</v>
      </c>
      <c r="F786" s="71" t="s">
        <v>2680</v>
      </c>
      <c r="G786" s="54" t="s">
        <v>2681</v>
      </c>
      <c r="H786" s="54">
        <v>424.961</v>
      </c>
      <c r="I786" s="54" t="s">
        <v>2682</v>
      </c>
      <c r="J786" s="73"/>
      <c r="K786" s="56"/>
    </row>
    <row r="787" ht="12.75" customHeight="1">
      <c r="A787" s="69" t="s">
        <v>2683</v>
      </c>
      <c r="B787" s="11" t="s">
        <v>2639</v>
      </c>
      <c r="C787" s="70"/>
      <c r="D787" s="64"/>
      <c r="E787" s="65" t="s">
        <v>2684</v>
      </c>
      <c r="F787" s="71" t="s">
        <v>2685</v>
      </c>
      <c r="G787" s="54">
        <v>793.5</v>
      </c>
      <c r="H787" s="54">
        <v>87.285</v>
      </c>
      <c r="I787" s="54" t="s">
        <v>2686</v>
      </c>
      <c r="J787" s="73"/>
      <c r="K787" s="56"/>
    </row>
    <row r="788" ht="12.75" customHeight="1">
      <c r="A788" s="69" t="s">
        <v>2687</v>
      </c>
      <c r="B788" s="11" t="s">
        <v>2639</v>
      </c>
      <c r="C788" s="70"/>
      <c r="D788" s="64"/>
      <c r="E788" s="65" t="s">
        <v>2688</v>
      </c>
      <c r="F788" s="71" t="s">
        <v>2689</v>
      </c>
      <c r="G788" s="54" t="s">
        <v>2690</v>
      </c>
      <c r="H788" s="54">
        <v>124.08</v>
      </c>
      <c r="I788" s="54" t="s">
        <v>2691</v>
      </c>
      <c r="J788" s="73"/>
      <c r="K788" s="56"/>
    </row>
    <row r="789" ht="12.75" customHeight="1">
      <c r="A789" s="69" t="s">
        <v>2692</v>
      </c>
      <c r="B789" s="11" t="s">
        <v>2693</v>
      </c>
      <c r="C789" s="70"/>
      <c r="D789" s="52" t="e">
        <v>#N/A</v>
      </c>
      <c r="E789" s="65" t="s">
        <v>2694</v>
      </c>
      <c r="F789" s="71" t="s">
        <v>2695</v>
      </c>
      <c r="G789" s="54" t="s">
        <v>2696</v>
      </c>
      <c r="H789" s="54" t="s">
        <v>2697</v>
      </c>
      <c r="I789" s="54" t="s">
        <v>2698</v>
      </c>
      <c r="J789" s="71" t="e">
        <v>#N/A</v>
      </c>
      <c r="K789" s="56"/>
    </row>
    <row r="790" ht="12.75" customHeight="1">
      <c r="A790" s="69" t="s">
        <v>2699</v>
      </c>
      <c r="B790" s="11" t="s">
        <v>2700</v>
      </c>
      <c r="C790" s="70"/>
      <c r="D790" s="52" t="e">
        <v>#N/A</v>
      </c>
      <c r="E790" s="65" t="s">
        <v>2701</v>
      </c>
      <c r="F790" s="71" t="s">
        <v>2702</v>
      </c>
      <c r="G790" s="54" t="s">
        <v>2703</v>
      </c>
      <c r="H790" s="54" t="s">
        <v>2704</v>
      </c>
      <c r="I790" s="54" t="s">
        <v>2705</v>
      </c>
      <c r="J790" s="73"/>
      <c r="K790" s="56"/>
    </row>
    <row r="791" ht="12.75" customHeight="1">
      <c r="A791" s="69" t="s">
        <v>2706</v>
      </c>
      <c r="B791" s="11" t="s">
        <v>2700</v>
      </c>
      <c r="C791" s="70"/>
      <c r="D791" s="52" t="e">
        <v>#N/A</v>
      </c>
      <c r="E791" s="65" t="s">
        <v>2707</v>
      </c>
      <c r="F791" s="71" t="s">
        <v>2708</v>
      </c>
      <c r="G791" s="54" t="s">
        <v>2709</v>
      </c>
      <c r="H791" s="54" t="s">
        <v>2710</v>
      </c>
      <c r="I791" s="54" t="s">
        <v>2711</v>
      </c>
      <c r="J791" s="73"/>
      <c r="K791" s="56"/>
    </row>
    <row r="792" ht="12.75" customHeight="1">
      <c r="A792" s="69" t="s">
        <v>2712</v>
      </c>
      <c r="B792" s="11" t="s">
        <v>2700</v>
      </c>
      <c r="C792" s="70"/>
      <c r="D792" s="52" t="e">
        <v>#N/A</v>
      </c>
      <c r="E792" s="65" t="s">
        <v>2713</v>
      </c>
      <c r="F792" s="71" t="s">
        <v>2714</v>
      </c>
      <c r="G792" s="54" t="s">
        <v>2715</v>
      </c>
      <c r="H792" s="54" t="s">
        <v>2716</v>
      </c>
      <c r="I792" s="54" t="s">
        <v>2717</v>
      </c>
      <c r="J792" s="73"/>
      <c r="K792" s="56"/>
    </row>
    <row r="793" ht="12.75" customHeight="1">
      <c r="A793" s="69" t="s">
        <v>2718</v>
      </c>
      <c r="B793" s="11" t="s">
        <v>2700</v>
      </c>
      <c r="C793" s="70"/>
      <c r="D793" s="52" t="e">
        <v>#N/A</v>
      </c>
      <c r="E793" s="65" t="s">
        <v>2719</v>
      </c>
      <c r="F793" s="71" t="s">
        <v>2053</v>
      </c>
      <c r="G793" s="54">
        <v>445.211</v>
      </c>
      <c r="H793" s="54">
        <v>893.338</v>
      </c>
      <c r="I793" s="54" t="s">
        <v>2720</v>
      </c>
      <c r="J793" s="73"/>
      <c r="K793" s="56"/>
    </row>
    <row r="794" ht="12.75" customHeight="1">
      <c r="A794" s="69" t="s">
        <v>2721</v>
      </c>
      <c r="B794" s="11" t="s">
        <v>2700</v>
      </c>
      <c r="C794" s="70"/>
      <c r="D794" s="52" t="e">
        <v>#N/A</v>
      </c>
      <c r="E794" s="65" t="s">
        <v>2722</v>
      </c>
      <c r="F794" s="71" t="s">
        <v>1148</v>
      </c>
      <c r="G794" s="54">
        <v>646.268</v>
      </c>
      <c r="H794" s="54" t="s">
        <v>1149</v>
      </c>
      <c r="I794" s="54" t="s">
        <v>1150</v>
      </c>
      <c r="J794" s="73"/>
      <c r="K794" s="56"/>
    </row>
    <row r="795" ht="12.75" customHeight="1">
      <c r="A795" s="69" t="s">
        <v>2723</v>
      </c>
      <c r="B795" s="11" t="s">
        <v>2700</v>
      </c>
      <c r="C795" s="70"/>
      <c r="D795" s="52" t="e">
        <v>#N/A</v>
      </c>
      <c r="E795" s="65" t="s">
        <v>2724</v>
      </c>
      <c r="F795" s="71" t="s">
        <v>2623</v>
      </c>
      <c r="G795" s="54">
        <v>316.98</v>
      </c>
      <c r="H795" s="54">
        <v>499.771</v>
      </c>
      <c r="I795" s="54" t="s">
        <v>2624</v>
      </c>
      <c r="J795" s="73"/>
      <c r="K795" s="56"/>
    </row>
    <row r="796" ht="12.75" customHeight="1">
      <c r="A796" s="69" t="s">
        <v>2725</v>
      </c>
      <c r="B796" s="11" t="s">
        <v>2726</v>
      </c>
      <c r="C796" s="70"/>
      <c r="D796" s="52" t="e">
        <v>#N/A</v>
      </c>
      <c r="E796" s="65" t="s">
        <v>2727</v>
      </c>
      <c r="F796" s="71" t="s">
        <v>2079</v>
      </c>
      <c r="G796" s="54" t="s">
        <v>2080</v>
      </c>
      <c r="H796" s="54" t="s">
        <v>2081</v>
      </c>
      <c r="I796" s="54" t="s">
        <v>2082</v>
      </c>
      <c r="J796" s="71" t="e">
        <v>#N/A</v>
      </c>
      <c r="K796" s="56"/>
    </row>
    <row r="797" ht="12.75" customHeight="1">
      <c r="A797" s="69" t="s">
        <v>2728</v>
      </c>
      <c r="B797" s="11" t="s">
        <v>2726</v>
      </c>
      <c r="C797" s="70"/>
      <c r="D797" s="52" t="e">
        <v>#N/A</v>
      </c>
      <c r="E797" s="65" t="s">
        <v>2729</v>
      </c>
      <c r="F797" s="71" t="s">
        <v>2730</v>
      </c>
      <c r="G797" s="54">
        <v>922.2</v>
      </c>
      <c r="H797" s="54" t="s">
        <v>2731</v>
      </c>
      <c r="I797" s="54" t="s">
        <v>2732</v>
      </c>
      <c r="J797" s="71" t="e">
        <v>#N/A</v>
      </c>
      <c r="K797" s="56"/>
    </row>
    <row r="798" ht="12.75" customHeight="1">
      <c r="A798" s="69" t="s">
        <v>2733</v>
      </c>
      <c r="B798" s="11" t="s">
        <v>2726</v>
      </c>
      <c r="C798" s="70"/>
      <c r="D798" s="52" t="e">
        <v>#N/A</v>
      </c>
      <c r="E798" s="65" t="s">
        <v>2734</v>
      </c>
      <c r="F798" s="71" t="s">
        <v>2735</v>
      </c>
      <c r="G798" s="54" t="s">
        <v>2736</v>
      </c>
      <c r="H798" s="54" t="s">
        <v>2737</v>
      </c>
      <c r="I798" s="54" t="s">
        <v>2738</v>
      </c>
      <c r="J798" s="73"/>
      <c r="K798" s="56"/>
    </row>
    <row r="799" ht="12.75" customHeight="1">
      <c r="A799" s="69" t="s">
        <v>2739</v>
      </c>
      <c r="B799" s="11" t="s">
        <v>2726</v>
      </c>
      <c r="C799" s="70"/>
      <c r="D799" s="52" t="e">
        <v>#N/A</v>
      </c>
      <c r="E799" s="65" t="s">
        <v>2740</v>
      </c>
      <c r="F799" s="71" t="s">
        <v>2741</v>
      </c>
      <c r="G799" s="54" t="s">
        <v>2742</v>
      </c>
      <c r="H799" s="54" t="s">
        <v>2743</v>
      </c>
      <c r="I799" s="54" t="s">
        <v>2744</v>
      </c>
      <c r="J799" s="73"/>
      <c r="K799" s="56"/>
    </row>
    <row r="800" ht="12.75" customHeight="1">
      <c r="A800" s="69" t="s">
        <v>2745</v>
      </c>
      <c r="B800" s="11" t="s">
        <v>2726</v>
      </c>
      <c r="C800" s="70"/>
      <c r="D800" s="52" t="e">
        <v>#N/A</v>
      </c>
      <c r="E800" s="65" t="s">
        <v>2746</v>
      </c>
      <c r="F800" s="71" t="s">
        <v>2747</v>
      </c>
      <c r="G800" s="54" t="s">
        <v>2748</v>
      </c>
      <c r="H800" s="54" t="s">
        <v>2749</v>
      </c>
      <c r="I800" s="54" t="s">
        <v>2750</v>
      </c>
      <c r="J800" s="71" t="e">
        <v>#N/A</v>
      </c>
      <c r="K800" s="56"/>
    </row>
    <row r="801" ht="12.75" customHeight="1">
      <c r="A801" s="69" t="s">
        <v>2751</v>
      </c>
      <c r="B801" s="11" t="s">
        <v>2726</v>
      </c>
      <c r="C801" s="70"/>
      <c r="D801" s="52" t="e">
        <v>#N/A</v>
      </c>
      <c r="E801" s="65" t="s">
        <v>2752</v>
      </c>
      <c r="F801" s="71" t="s">
        <v>1635</v>
      </c>
      <c r="G801" s="54" t="s">
        <v>1636</v>
      </c>
      <c r="H801" s="54" t="s">
        <v>1637</v>
      </c>
      <c r="I801" s="54" t="s">
        <v>1638</v>
      </c>
      <c r="J801" s="73"/>
      <c r="K801" s="56"/>
    </row>
    <row r="802" ht="12.75" customHeight="1">
      <c r="A802" s="69" t="s">
        <v>2753</v>
      </c>
      <c r="B802" s="11" t="s">
        <v>2726</v>
      </c>
      <c r="C802" s="70"/>
      <c r="D802" s="52" t="e">
        <v>#N/A</v>
      </c>
      <c r="E802" s="65" t="s">
        <v>2754</v>
      </c>
      <c r="F802" s="71" t="s">
        <v>2755</v>
      </c>
      <c r="G802" s="57"/>
      <c r="H802" s="54" t="s">
        <v>2756</v>
      </c>
      <c r="I802" s="54" t="s">
        <v>2757</v>
      </c>
      <c r="J802" s="73"/>
      <c r="K802" s="56"/>
    </row>
    <row r="803" ht="12.75" customHeight="1">
      <c r="A803" s="69" t="s">
        <v>2758</v>
      </c>
      <c r="B803" s="11" t="s">
        <v>2726</v>
      </c>
      <c r="C803" s="70"/>
      <c r="D803" s="52" t="e">
        <v>#N/A</v>
      </c>
      <c r="E803" s="65" t="s">
        <v>2759</v>
      </c>
      <c r="F803" s="71" t="s">
        <v>2760</v>
      </c>
      <c r="G803" s="54" t="s">
        <v>2761</v>
      </c>
      <c r="H803" s="54" t="s">
        <v>2762</v>
      </c>
      <c r="I803" s="54" t="s">
        <v>2763</v>
      </c>
      <c r="J803" s="73"/>
      <c r="K803" s="56"/>
    </row>
    <row r="804" ht="12.75" customHeight="1">
      <c r="A804" s="69" t="s">
        <v>2764</v>
      </c>
      <c r="B804" s="11" t="s">
        <v>2726</v>
      </c>
      <c r="C804" s="70"/>
      <c r="D804" s="52" t="e">
        <v>#N/A</v>
      </c>
      <c r="E804" s="65" t="s">
        <v>2765</v>
      </c>
      <c r="F804" s="71" t="s">
        <v>2766</v>
      </c>
      <c r="G804" s="54" t="s">
        <v>2767</v>
      </c>
      <c r="H804" s="54" t="s">
        <v>2768</v>
      </c>
      <c r="I804" s="54" t="s">
        <v>2769</v>
      </c>
      <c r="J804" s="73"/>
      <c r="K804" s="56"/>
    </row>
    <row r="805" ht="12.75" customHeight="1">
      <c r="A805" s="69" t="s">
        <v>2770</v>
      </c>
      <c r="B805" s="11" t="s">
        <v>2726</v>
      </c>
      <c r="C805" s="70"/>
      <c r="D805" s="52" t="e">
        <v>#N/A</v>
      </c>
      <c r="E805" s="65" t="s">
        <v>2771</v>
      </c>
      <c r="F805" s="71" t="s">
        <v>2772</v>
      </c>
      <c r="G805" s="54" t="s">
        <v>2773</v>
      </c>
      <c r="H805" s="54" t="s">
        <v>2774</v>
      </c>
      <c r="I805" s="54" t="s">
        <v>2775</v>
      </c>
      <c r="J805" s="73"/>
      <c r="K805" s="56"/>
    </row>
    <row r="806" ht="12.75" customHeight="1">
      <c r="A806" s="69" t="s">
        <v>2776</v>
      </c>
      <c r="B806" s="11" t="s">
        <v>2726</v>
      </c>
      <c r="C806" s="70"/>
      <c r="D806" s="52" t="e">
        <v>#N/A</v>
      </c>
      <c r="E806" s="65" t="s">
        <v>2777</v>
      </c>
      <c r="F806" s="71" t="s">
        <v>2778</v>
      </c>
      <c r="G806" s="54">
        <v>167.75</v>
      </c>
      <c r="H806" s="54">
        <v>353.953</v>
      </c>
      <c r="I806" s="54" t="s">
        <v>2779</v>
      </c>
      <c r="J806" s="71" t="e">
        <v>#N/A</v>
      </c>
      <c r="K806" s="56"/>
    </row>
    <row r="807" ht="12.75" customHeight="1">
      <c r="A807" s="69" t="s">
        <v>2780</v>
      </c>
      <c r="B807" s="11" t="s">
        <v>2726</v>
      </c>
      <c r="C807" s="70"/>
      <c r="D807" s="52" t="e">
        <v>#N/A</v>
      </c>
      <c r="E807" s="65" t="s">
        <v>2781</v>
      </c>
      <c r="F807" s="71" t="s">
        <v>2782</v>
      </c>
      <c r="G807" s="54" t="s">
        <v>2783</v>
      </c>
      <c r="H807" s="54" t="s">
        <v>2784</v>
      </c>
      <c r="I807" s="54" t="s">
        <v>2785</v>
      </c>
      <c r="J807" s="73"/>
      <c r="K807" s="56"/>
    </row>
    <row r="808" ht="12.75" customHeight="1">
      <c r="A808" s="69" t="s">
        <v>2786</v>
      </c>
      <c r="B808" s="11" t="s">
        <v>2726</v>
      </c>
      <c r="C808" s="70"/>
      <c r="D808" s="52" t="e">
        <v>#N/A</v>
      </c>
      <c r="E808" s="65" t="s">
        <v>2787</v>
      </c>
      <c r="F808" s="71" t="s">
        <v>2788</v>
      </c>
      <c r="G808" s="54" t="s">
        <v>2789</v>
      </c>
      <c r="H808" s="54" t="s">
        <v>2790</v>
      </c>
      <c r="I808" s="54" t="s">
        <v>2791</v>
      </c>
      <c r="J808" s="73"/>
      <c r="K808" s="56"/>
    </row>
    <row r="809" ht="12.75" customHeight="1">
      <c r="A809" s="69" t="s">
        <v>2792</v>
      </c>
      <c r="B809" s="11" t="s">
        <v>2726</v>
      </c>
      <c r="C809" s="70"/>
      <c r="D809" s="52" t="e">
        <v>#N/A</v>
      </c>
      <c r="E809" s="65" t="s">
        <v>2793</v>
      </c>
      <c r="F809" s="71" t="s">
        <v>2794</v>
      </c>
      <c r="G809" s="54">
        <v>393.686</v>
      </c>
      <c r="H809" s="54">
        <v>860.391</v>
      </c>
      <c r="I809" s="54" t="s">
        <v>2795</v>
      </c>
      <c r="J809" s="73"/>
      <c r="K809" s="56"/>
    </row>
    <row r="810" ht="12.75" customHeight="1">
      <c r="A810" s="69" t="s">
        <v>2796</v>
      </c>
      <c r="B810" s="11" t="s">
        <v>36</v>
      </c>
      <c r="C810" s="70"/>
      <c r="D810" s="52" t="e">
        <v>#N/A</v>
      </c>
      <c r="E810" s="65" t="s">
        <v>2797</v>
      </c>
      <c r="F810" s="71" t="s">
        <v>2798</v>
      </c>
      <c r="G810" s="57"/>
      <c r="H810" s="54">
        <v>0.0</v>
      </c>
      <c r="I810" s="54" t="s">
        <v>2798</v>
      </c>
      <c r="J810" s="71" t="e">
        <v>#N/A</v>
      </c>
      <c r="K810" s="56"/>
    </row>
    <row r="811" ht="12.75" customHeight="1">
      <c r="A811" s="69" t="s">
        <v>2799</v>
      </c>
      <c r="B811" s="11" t="s">
        <v>36</v>
      </c>
      <c r="C811" s="70"/>
      <c r="D811" s="52" t="e">
        <v>#N/A</v>
      </c>
      <c r="E811" s="65" t="s">
        <v>2800</v>
      </c>
      <c r="F811" s="71" t="s">
        <v>2801</v>
      </c>
      <c r="G811" s="57"/>
      <c r="H811" s="54" t="s">
        <v>2802</v>
      </c>
      <c r="I811" s="54" t="s">
        <v>2803</v>
      </c>
      <c r="J811" s="71" t="e">
        <v>#N/A</v>
      </c>
      <c r="K811" s="56"/>
    </row>
    <row r="812" ht="12.75" customHeight="1">
      <c r="A812" s="69" t="s">
        <v>2804</v>
      </c>
      <c r="B812" s="11" t="s">
        <v>36</v>
      </c>
      <c r="C812" s="70"/>
      <c r="D812" s="52" t="e">
        <v>#N/A</v>
      </c>
      <c r="E812" s="65" t="s">
        <v>2805</v>
      </c>
      <c r="F812" s="71" t="s">
        <v>2806</v>
      </c>
      <c r="G812" s="54">
        <v>151.681</v>
      </c>
      <c r="H812" s="54">
        <v>331.494</v>
      </c>
      <c r="I812" s="54" t="s">
        <v>2807</v>
      </c>
      <c r="J812" s="71" t="e">
        <v>#N/A</v>
      </c>
      <c r="K812" s="56"/>
    </row>
    <row r="813" ht="12.75" customHeight="1">
      <c r="A813" s="69" t="s">
        <v>2808</v>
      </c>
      <c r="B813" s="11" t="s">
        <v>36</v>
      </c>
      <c r="C813" s="70"/>
      <c r="D813" s="52" t="e">
        <v>#N/A</v>
      </c>
      <c r="E813" s="65" t="s">
        <v>2809</v>
      </c>
      <c r="F813" s="71" t="s">
        <v>2810</v>
      </c>
      <c r="G813" s="54">
        <v>168.019</v>
      </c>
      <c r="H813" s="54">
        <v>367.2</v>
      </c>
      <c r="I813" s="54" t="s">
        <v>2811</v>
      </c>
      <c r="J813" s="71" t="e">
        <v>#N/A</v>
      </c>
      <c r="K813" s="56"/>
    </row>
    <row r="814" ht="12.75" customHeight="1">
      <c r="A814" s="69" t="s">
        <v>2812</v>
      </c>
      <c r="B814" s="11" t="s">
        <v>36</v>
      </c>
      <c r="C814" s="70"/>
      <c r="D814" s="52" t="e">
        <v>#N/A</v>
      </c>
      <c r="E814" s="65" t="s">
        <v>2813</v>
      </c>
      <c r="F814" s="71" t="s">
        <v>2814</v>
      </c>
      <c r="G814" s="54" t="s">
        <v>2815</v>
      </c>
      <c r="H814" s="54" t="s">
        <v>2816</v>
      </c>
      <c r="I814" s="54" t="s">
        <v>2817</v>
      </c>
      <c r="J814" s="71" t="e">
        <v>#N/A</v>
      </c>
      <c r="K814" s="56"/>
    </row>
    <row r="815" ht="12.75" customHeight="1">
      <c r="A815" s="69" t="s">
        <v>2818</v>
      </c>
      <c r="B815" s="11" t="s">
        <v>36</v>
      </c>
      <c r="C815" s="70"/>
      <c r="D815" s="52" t="e">
        <v>#N/A</v>
      </c>
      <c r="E815" s="65" t="s">
        <v>2819</v>
      </c>
      <c r="F815" s="71" t="s">
        <v>2820</v>
      </c>
      <c r="G815" s="54" t="s">
        <v>2821</v>
      </c>
      <c r="H815" s="54" t="s">
        <v>2822</v>
      </c>
      <c r="I815" s="54" t="s">
        <v>2823</v>
      </c>
      <c r="J815" s="71" t="e">
        <v>#N/A</v>
      </c>
      <c r="K815" s="56"/>
    </row>
    <row r="816" ht="12.75" customHeight="1">
      <c r="A816" s="69" t="s">
        <v>2824</v>
      </c>
      <c r="B816" s="11" t="s">
        <v>36</v>
      </c>
      <c r="C816" s="70"/>
      <c r="D816" s="52" t="e">
        <v>#N/A</v>
      </c>
      <c r="E816" s="65" t="s">
        <v>2825</v>
      </c>
      <c r="F816" s="71" t="s">
        <v>2826</v>
      </c>
      <c r="G816" s="54">
        <v>161.385</v>
      </c>
      <c r="H816" s="54">
        <v>352.702</v>
      </c>
      <c r="I816" s="54" t="s">
        <v>2827</v>
      </c>
      <c r="J816" s="71" t="e">
        <v>#N/A</v>
      </c>
      <c r="K816" s="56"/>
    </row>
    <row r="817" ht="12.75" customHeight="1">
      <c r="A817" s="69" t="s">
        <v>2828</v>
      </c>
      <c r="B817" s="11" t="s">
        <v>36</v>
      </c>
      <c r="C817" s="70"/>
      <c r="D817" s="52" t="e">
        <v>#N/A</v>
      </c>
      <c r="E817" s="65" t="s">
        <v>2829</v>
      </c>
      <c r="F817" s="71" t="s">
        <v>2830</v>
      </c>
      <c r="G817" s="54">
        <v>507.687</v>
      </c>
      <c r="H817" s="54" t="s">
        <v>2831</v>
      </c>
      <c r="I817" s="54" t="s">
        <v>2832</v>
      </c>
      <c r="J817" s="71" t="e">
        <v>#N/A</v>
      </c>
      <c r="K817" s="56"/>
    </row>
    <row r="818" ht="12.75" customHeight="1">
      <c r="A818" s="69" t="s">
        <v>2833</v>
      </c>
      <c r="B818" s="11" t="s">
        <v>36</v>
      </c>
      <c r="C818" s="70"/>
      <c r="D818" s="52" t="e">
        <v>#N/A</v>
      </c>
      <c r="E818" s="65" t="s">
        <v>2834</v>
      </c>
      <c r="F818" s="71" t="s">
        <v>2835</v>
      </c>
      <c r="G818" s="54">
        <v>776.45</v>
      </c>
      <c r="H818" s="54" t="s">
        <v>2836</v>
      </c>
      <c r="I818" s="54" t="s">
        <v>2837</v>
      </c>
      <c r="J818" s="71" t="e">
        <v>#N/A</v>
      </c>
      <c r="K818" s="56"/>
    </row>
    <row r="819" ht="12.75" customHeight="1">
      <c r="A819" s="69" t="s">
        <v>2838</v>
      </c>
      <c r="B819" s="11" t="s">
        <v>36</v>
      </c>
      <c r="C819" s="70"/>
      <c r="D819" s="52" t="e">
        <v>#N/A</v>
      </c>
      <c r="E819" s="65" t="s">
        <v>2839</v>
      </c>
      <c r="F819" s="71" t="s">
        <v>2840</v>
      </c>
      <c r="G819" s="54" t="s">
        <v>2841</v>
      </c>
      <c r="H819" s="54" t="s">
        <v>2842</v>
      </c>
      <c r="I819" s="54" t="s">
        <v>2843</v>
      </c>
      <c r="J819" s="71" t="e">
        <v>#N/A</v>
      </c>
      <c r="K819" s="56"/>
    </row>
    <row r="820" ht="12.75" customHeight="1">
      <c r="A820" s="69" t="s">
        <v>2844</v>
      </c>
      <c r="B820" s="11" t="s">
        <v>36</v>
      </c>
      <c r="C820" s="70"/>
      <c r="D820" s="52" t="e">
        <v>#N/A</v>
      </c>
      <c r="E820" s="65" t="s">
        <v>2845</v>
      </c>
      <c r="F820" s="71" t="s">
        <v>2846</v>
      </c>
      <c r="G820" s="57"/>
      <c r="H820" s="54" t="s">
        <v>2847</v>
      </c>
      <c r="I820" s="54" t="s">
        <v>2848</v>
      </c>
      <c r="J820" s="71" t="e">
        <v>#N/A</v>
      </c>
      <c r="K820" s="56"/>
    </row>
    <row r="821" ht="12.75" customHeight="1">
      <c r="A821" s="69" t="s">
        <v>2849</v>
      </c>
      <c r="B821" s="11" t="s">
        <v>36</v>
      </c>
      <c r="C821" s="70"/>
      <c r="D821" s="52" t="e">
        <v>#N/A</v>
      </c>
      <c r="E821" s="65" t="s">
        <v>2850</v>
      </c>
      <c r="F821" s="71" t="s">
        <v>2851</v>
      </c>
      <c r="G821" s="54">
        <v>104.942</v>
      </c>
      <c r="H821" s="54">
        <v>194.775</v>
      </c>
      <c r="I821" s="54" t="s">
        <v>2852</v>
      </c>
      <c r="J821" s="71" t="e">
        <v>#N/A</v>
      </c>
      <c r="K821" s="56"/>
    </row>
    <row r="822" ht="12.75" customHeight="1">
      <c r="A822" s="69" t="s">
        <v>2853</v>
      </c>
      <c r="B822" s="11" t="s">
        <v>36</v>
      </c>
      <c r="C822" s="70"/>
      <c r="D822" s="52" t="e">
        <v>#N/A</v>
      </c>
      <c r="E822" s="65" t="s">
        <v>2854</v>
      </c>
      <c r="F822" s="71" t="s">
        <v>2855</v>
      </c>
      <c r="G822" s="54" t="s">
        <v>2856</v>
      </c>
      <c r="H822" s="54" t="s">
        <v>2857</v>
      </c>
      <c r="I822" s="54" t="s">
        <v>2858</v>
      </c>
      <c r="J822" s="71" t="e">
        <v>#N/A</v>
      </c>
      <c r="K822" s="56"/>
    </row>
    <row r="823" ht="12.75" customHeight="1">
      <c r="A823" s="69" t="s">
        <v>2859</v>
      </c>
      <c r="B823" s="11" t="s">
        <v>36</v>
      </c>
      <c r="C823" s="70"/>
      <c r="D823" s="52" t="e">
        <v>#N/A</v>
      </c>
      <c r="E823" s="65" t="s">
        <v>2860</v>
      </c>
      <c r="F823" s="71" t="s">
        <v>2861</v>
      </c>
      <c r="G823" s="54" t="s">
        <v>2862</v>
      </c>
      <c r="H823" s="54" t="s">
        <v>2863</v>
      </c>
      <c r="I823" s="54" t="s">
        <v>2864</v>
      </c>
      <c r="J823" s="71" t="e">
        <v>#N/A</v>
      </c>
      <c r="K823" s="56"/>
    </row>
    <row r="824" ht="12.75" customHeight="1">
      <c r="A824" s="69" t="s">
        <v>2865</v>
      </c>
      <c r="B824" s="11" t="s">
        <v>36</v>
      </c>
      <c r="C824" s="70"/>
      <c r="D824" s="52" t="e">
        <v>#N/A</v>
      </c>
      <c r="E824" s="65" t="s">
        <v>2866</v>
      </c>
      <c r="F824" s="71" t="s">
        <v>2867</v>
      </c>
      <c r="G824" s="54">
        <v>954.71</v>
      </c>
      <c r="H824" s="54" t="s">
        <v>2868</v>
      </c>
      <c r="I824" s="54" t="s">
        <v>2869</v>
      </c>
      <c r="J824" s="71" t="e">
        <v>#N/A</v>
      </c>
      <c r="K824" s="56"/>
    </row>
    <row r="825" ht="12.75" customHeight="1">
      <c r="A825" s="69" t="s">
        <v>2870</v>
      </c>
      <c r="B825" s="11" t="s">
        <v>36</v>
      </c>
      <c r="C825" s="70"/>
      <c r="D825" s="52" t="e">
        <v>#N/A</v>
      </c>
      <c r="E825" s="65" t="s">
        <v>2871</v>
      </c>
      <c r="F825" s="71" t="s">
        <v>2872</v>
      </c>
      <c r="G825" s="54" t="s">
        <v>2873</v>
      </c>
      <c r="H825" s="54" t="s">
        <v>2874</v>
      </c>
      <c r="I825" s="54" t="s">
        <v>2875</v>
      </c>
      <c r="J825" s="71" t="e">
        <v>#N/A</v>
      </c>
      <c r="K825" s="56"/>
    </row>
    <row r="826" ht="12.75" customHeight="1">
      <c r="A826" s="69" t="s">
        <v>2876</v>
      </c>
      <c r="B826" s="11" t="s">
        <v>36</v>
      </c>
      <c r="C826" s="70"/>
      <c r="D826" s="52" t="e">
        <v>#N/A</v>
      </c>
      <c r="E826" s="65" t="s">
        <v>2694</v>
      </c>
      <c r="F826" s="71" t="s">
        <v>2695</v>
      </c>
      <c r="G826" s="54" t="s">
        <v>2696</v>
      </c>
      <c r="H826" s="54" t="s">
        <v>2697</v>
      </c>
      <c r="I826" s="54" t="s">
        <v>2698</v>
      </c>
      <c r="J826" s="71" t="e">
        <v>#N/A</v>
      </c>
      <c r="K826" s="56"/>
    </row>
    <row r="827" ht="12.75" customHeight="1">
      <c r="A827" s="69" t="s">
        <v>2877</v>
      </c>
      <c r="B827" s="11" t="s">
        <v>36</v>
      </c>
      <c r="C827" s="70"/>
      <c r="D827" s="64"/>
      <c r="E827" s="65" t="s">
        <v>2878</v>
      </c>
      <c r="F827" s="71" t="s">
        <v>2879</v>
      </c>
      <c r="G827" s="54" t="s">
        <v>2880</v>
      </c>
      <c r="H827" s="54" t="s">
        <v>2881</v>
      </c>
      <c r="I827" s="54" t="s">
        <v>2882</v>
      </c>
      <c r="J827" s="73"/>
      <c r="K827" s="56"/>
    </row>
    <row r="828" ht="12.75" customHeight="1">
      <c r="A828" s="68"/>
      <c r="B828" s="66"/>
      <c r="C828" s="70"/>
      <c r="D828" s="64"/>
      <c r="E828" s="68"/>
      <c r="F828" s="73"/>
      <c r="G828" s="57"/>
      <c r="H828" s="57"/>
      <c r="I828" s="62"/>
      <c r="J828" s="68"/>
      <c r="K828" s="56"/>
    </row>
    <row r="829" ht="12.75" customHeight="1">
      <c r="B829" s="74"/>
      <c r="C829" s="75"/>
      <c r="D829" s="76"/>
      <c r="G829" s="46"/>
      <c r="H829" s="46"/>
      <c r="I829" s="46"/>
      <c r="K829" s="77"/>
    </row>
    <row r="830" ht="12.75" customHeight="1">
      <c r="B830" s="74"/>
      <c r="C830" s="75"/>
      <c r="D830" s="76"/>
      <c r="G830" s="46"/>
      <c r="H830" s="46"/>
      <c r="I830" s="46"/>
      <c r="K830" s="47"/>
    </row>
    <row r="831" ht="12.75" customHeight="1">
      <c r="B831" s="74"/>
      <c r="C831" s="75"/>
      <c r="D831" s="76"/>
      <c r="G831" s="46"/>
      <c r="H831" s="46"/>
      <c r="I831" s="46"/>
      <c r="K831" s="47"/>
    </row>
    <row r="832" ht="12.75" customHeight="1">
      <c r="B832" s="74"/>
      <c r="C832" s="75"/>
      <c r="D832" s="76"/>
      <c r="G832" s="46"/>
      <c r="H832" s="46"/>
      <c r="I832" s="46"/>
      <c r="K832" s="47"/>
    </row>
    <row r="833" ht="12.75" customHeight="1">
      <c r="B833" s="74"/>
      <c r="C833" s="75"/>
      <c r="D833" s="76"/>
      <c r="G833" s="46"/>
      <c r="H833" s="46"/>
      <c r="I833" s="46"/>
      <c r="K833" s="47"/>
    </row>
    <row r="834" ht="12.75" customHeight="1">
      <c r="B834" s="74"/>
      <c r="C834" s="75"/>
      <c r="D834" s="76"/>
      <c r="G834" s="46"/>
      <c r="H834" s="46"/>
      <c r="I834" s="46"/>
      <c r="K834" s="47"/>
    </row>
    <row r="835" ht="12.75" customHeight="1">
      <c r="B835" s="74"/>
      <c r="C835" s="75"/>
      <c r="D835" s="76"/>
      <c r="G835" s="46"/>
      <c r="H835" s="46"/>
      <c r="I835" s="46"/>
      <c r="K835" s="47"/>
    </row>
    <row r="836" ht="12.75" customHeight="1">
      <c r="B836" s="74"/>
      <c r="C836" s="75"/>
      <c r="D836" s="76"/>
      <c r="G836" s="46"/>
      <c r="H836" s="46"/>
      <c r="I836" s="46"/>
      <c r="K836" s="47"/>
    </row>
    <row r="837" ht="12.75" customHeight="1">
      <c r="B837" s="74"/>
      <c r="C837" s="75"/>
      <c r="D837" s="76"/>
      <c r="G837" s="46"/>
      <c r="H837" s="46"/>
      <c r="I837" s="46"/>
      <c r="K837" s="47"/>
    </row>
    <row r="838" ht="12.75" customHeight="1">
      <c r="B838" s="74"/>
      <c r="C838" s="75"/>
      <c r="D838" s="76"/>
      <c r="G838" s="46"/>
      <c r="H838" s="46"/>
      <c r="I838" s="46"/>
      <c r="K838" s="47"/>
    </row>
    <row r="839" ht="12.75" customHeight="1">
      <c r="B839" s="74"/>
      <c r="C839" s="75"/>
      <c r="D839" s="76"/>
      <c r="G839" s="46"/>
      <c r="H839" s="46"/>
      <c r="I839" s="46"/>
      <c r="K839" s="47"/>
    </row>
    <row r="840" ht="12.75" customHeight="1">
      <c r="B840" s="74"/>
      <c r="C840" s="75"/>
      <c r="D840" s="76"/>
      <c r="G840" s="46"/>
      <c r="H840" s="46"/>
      <c r="I840" s="46"/>
      <c r="K840" s="47"/>
    </row>
    <row r="841" ht="12.75" customHeight="1">
      <c r="B841" s="74"/>
      <c r="C841" s="75"/>
      <c r="D841" s="76"/>
      <c r="G841" s="46"/>
      <c r="H841" s="46"/>
      <c r="I841" s="46"/>
      <c r="K841" s="47"/>
    </row>
    <row r="842" ht="12.75" customHeight="1">
      <c r="B842" s="74"/>
      <c r="C842" s="75"/>
      <c r="D842" s="76"/>
      <c r="G842" s="46"/>
      <c r="H842" s="46"/>
      <c r="I842" s="46"/>
      <c r="K842" s="47"/>
    </row>
    <row r="843" ht="12.75" customHeight="1">
      <c r="B843" s="74"/>
      <c r="C843" s="75"/>
      <c r="D843" s="76"/>
      <c r="G843" s="46"/>
      <c r="H843" s="46"/>
      <c r="I843" s="46"/>
      <c r="K843" s="47"/>
    </row>
    <row r="844" ht="12.75" customHeight="1">
      <c r="B844" s="74"/>
      <c r="C844" s="75"/>
      <c r="D844" s="76"/>
      <c r="G844" s="46"/>
      <c r="H844" s="46"/>
      <c r="I844" s="46"/>
      <c r="K844" s="47"/>
    </row>
    <row r="845" ht="12.75" customHeight="1">
      <c r="B845" s="74"/>
      <c r="C845" s="75"/>
      <c r="D845" s="76"/>
      <c r="G845" s="46"/>
      <c r="H845" s="46"/>
      <c r="I845" s="46"/>
      <c r="K845" s="47"/>
    </row>
    <row r="846" ht="12.75" customHeight="1">
      <c r="B846" s="74"/>
      <c r="C846" s="75"/>
      <c r="D846" s="76"/>
      <c r="G846" s="46"/>
      <c r="H846" s="46"/>
      <c r="I846" s="46"/>
      <c r="K846" s="47"/>
    </row>
    <row r="847" ht="12.75" customHeight="1">
      <c r="B847" s="74"/>
      <c r="C847" s="75"/>
      <c r="D847" s="76"/>
      <c r="G847" s="46"/>
      <c r="H847" s="46"/>
      <c r="I847" s="46"/>
      <c r="K847" s="47"/>
    </row>
    <row r="848" ht="12.75" customHeight="1">
      <c r="B848" s="74"/>
      <c r="C848" s="75"/>
      <c r="D848" s="76"/>
      <c r="G848" s="46"/>
      <c r="H848" s="46"/>
      <c r="I848" s="46"/>
      <c r="K848" s="47"/>
    </row>
    <row r="849" ht="12.75" customHeight="1">
      <c r="B849" s="74"/>
      <c r="C849" s="75"/>
      <c r="D849" s="76"/>
      <c r="G849" s="46"/>
      <c r="H849" s="46"/>
      <c r="I849" s="46"/>
      <c r="K849" s="47"/>
    </row>
    <row r="850" ht="12.75" customHeight="1">
      <c r="B850" s="74"/>
      <c r="C850" s="75"/>
      <c r="D850" s="76"/>
      <c r="G850" s="46"/>
      <c r="H850" s="46"/>
      <c r="I850" s="46"/>
      <c r="K850" s="47"/>
    </row>
    <row r="851" ht="12.75" customHeight="1">
      <c r="B851" s="74"/>
      <c r="C851" s="75"/>
      <c r="D851" s="76"/>
      <c r="G851" s="46"/>
      <c r="H851" s="46"/>
      <c r="I851" s="46"/>
      <c r="K851" s="47"/>
    </row>
    <row r="852" ht="12.75" customHeight="1">
      <c r="B852" s="74"/>
      <c r="C852" s="75"/>
      <c r="D852" s="76"/>
      <c r="G852" s="46"/>
      <c r="H852" s="46"/>
      <c r="I852" s="46"/>
      <c r="K852" s="47"/>
    </row>
    <row r="853" ht="12.75" customHeight="1">
      <c r="B853" s="74"/>
      <c r="C853" s="75"/>
      <c r="D853" s="76"/>
      <c r="G853" s="46"/>
      <c r="H853" s="46"/>
      <c r="I853" s="46"/>
      <c r="K853" s="47"/>
    </row>
    <row r="854" ht="12.75" customHeight="1">
      <c r="B854" s="74"/>
      <c r="C854" s="75"/>
      <c r="D854" s="76"/>
      <c r="G854" s="46"/>
      <c r="H854" s="46"/>
      <c r="I854" s="46"/>
      <c r="K854" s="47"/>
    </row>
    <row r="855" ht="12.75" customHeight="1">
      <c r="B855" s="74"/>
      <c r="C855" s="75"/>
      <c r="D855" s="76"/>
      <c r="G855" s="46"/>
      <c r="H855" s="46"/>
      <c r="I855" s="46"/>
      <c r="K855" s="47"/>
    </row>
    <row r="856" ht="12.75" customHeight="1">
      <c r="B856" s="74"/>
      <c r="C856" s="75"/>
      <c r="D856" s="76"/>
      <c r="G856" s="46"/>
      <c r="H856" s="46"/>
      <c r="I856" s="46"/>
      <c r="K856" s="47"/>
    </row>
    <row r="857" ht="12.75" customHeight="1">
      <c r="B857" s="74"/>
      <c r="C857" s="75"/>
      <c r="D857" s="76"/>
      <c r="G857" s="46"/>
      <c r="H857" s="46"/>
      <c r="I857" s="46"/>
      <c r="K857" s="47"/>
    </row>
    <row r="858" ht="12.75" customHeight="1">
      <c r="B858" s="74"/>
      <c r="C858" s="75"/>
      <c r="D858" s="76"/>
      <c r="G858" s="46"/>
      <c r="H858" s="46"/>
      <c r="I858" s="46"/>
      <c r="K858" s="47"/>
    </row>
    <row r="859" ht="12.75" customHeight="1">
      <c r="B859" s="74"/>
      <c r="C859" s="75"/>
      <c r="D859" s="76"/>
      <c r="G859" s="46"/>
      <c r="H859" s="46"/>
      <c r="I859" s="46"/>
      <c r="K859" s="47"/>
    </row>
    <row r="860" ht="12.75" customHeight="1">
      <c r="B860" s="74"/>
      <c r="C860" s="75"/>
      <c r="D860" s="76"/>
      <c r="G860" s="46"/>
      <c r="H860" s="46"/>
      <c r="I860" s="46"/>
      <c r="K860" s="47"/>
    </row>
    <row r="861" ht="12.75" customHeight="1">
      <c r="B861" s="74"/>
      <c r="C861" s="75"/>
      <c r="D861" s="76"/>
      <c r="G861" s="46"/>
      <c r="H861" s="46"/>
      <c r="I861" s="46"/>
      <c r="K861" s="47"/>
    </row>
    <row r="862" ht="12.75" customHeight="1">
      <c r="B862" s="74"/>
      <c r="C862" s="75"/>
      <c r="D862" s="76"/>
      <c r="G862" s="46"/>
      <c r="H862" s="46"/>
      <c r="I862" s="46"/>
      <c r="K862" s="47"/>
    </row>
    <row r="863" ht="12.75" customHeight="1">
      <c r="B863" s="74"/>
      <c r="C863" s="75"/>
      <c r="D863" s="76"/>
      <c r="G863" s="46"/>
      <c r="H863" s="46"/>
      <c r="I863" s="46"/>
      <c r="K863" s="47"/>
    </row>
    <row r="864" ht="12.75" customHeight="1">
      <c r="B864" s="74"/>
      <c r="C864" s="75"/>
      <c r="D864" s="76"/>
      <c r="G864" s="46"/>
      <c r="H864" s="46"/>
      <c r="I864" s="46"/>
      <c r="K864" s="47"/>
    </row>
    <row r="865" ht="12.75" customHeight="1">
      <c r="B865" s="74"/>
      <c r="C865" s="75"/>
      <c r="D865" s="76"/>
      <c r="G865" s="46"/>
      <c r="H865" s="46"/>
      <c r="I865" s="46"/>
      <c r="K865" s="47"/>
    </row>
    <row r="866" ht="12.75" customHeight="1">
      <c r="B866" s="74"/>
      <c r="C866" s="75"/>
      <c r="D866" s="76"/>
      <c r="G866" s="46"/>
      <c r="H866" s="46"/>
      <c r="I866" s="46"/>
      <c r="K866" s="47"/>
    </row>
    <row r="867" ht="12.75" customHeight="1">
      <c r="B867" s="74"/>
      <c r="C867" s="75"/>
      <c r="D867" s="76"/>
      <c r="G867" s="46"/>
      <c r="H867" s="46"/>
      <c r="I867" s="46"/>
      <c r="K867" s="47"/>
    </row>
    <row r="868" ht="12.75" customHeight="1">
      <c r="B868" s="74"/>
      <c r="C868" s="75"/>
      <c r="D868" s="76"/>
      <c r="G868" s="46"/>
      <c r="H868" s="46"/>
      <c r="I868" s="46"/>
      <c r="K868" s="47"/>
    </row>
    <row r="869" ht="12.75" customHeight="1">
      <c r="B869" s="74"/>
      <c r="C869" s="75"/>
      <c r="D869" s="76"/>
      <c r="G869" s="46"/>
      <c r="H869" s="46"/>
      <c r="I869" s="46"/>
      <c r="K869" s="47"/>
    </row>
    <row r="870" ht="12.75" customHeight="1">
      <c r="B870" s="74"/>
      <c r="C870" s="75"/>
      <c r="D870" s="76"/>
      <c r="G870" s="46"/>
      <c r="H870" s="46"/>
      <c r="I870" s="46"/>
      <c r="K870" s="47"/>
    </row>
    <row r="871" ht="12.75" customHeight="1">
      <c r="B871" s="74"/>
      <c r="C871" s="75"/>
      <c r="D871" s="76"/>
      <c r="G871" s="46"/>
      <c r="H871" s="46"/>
      <c r="I871" s="46"/>
      <c r="K871" s="47"/>
    </row>
    <row r="872" ht="12.75" customHeight="1">
      <c r="B872" s="74"/>
      <c r="C872" s="75"/>
      <c r="D872" s="76"/>
      <c r="G872" s="46"/>
      <c r="H872" s="46"/>
      <c r="I872" s="46"/>
      <c r="K872" s="47"/>
    </row>
    <row r="873" ht="12.75" customHeight="1">
      <c r="B873" s="74"/>
      <c r="C873" s="75"/>
      <c r="D873" s="76"/>
      <c r="G873" s="46"/>
      <c r="H873" s="46"/>
      <c r="I873" s="46"/>
      <c r="K873" s="47"/>
    </row>
    <row r="874" ht="12.75" customHeight="1">
      <c r="B874" s="74"/>
      <c r="C874" s="75"/>
      <c r="D874" s="76"/>
      <c r="G874" s="46"/>
      <c r="H874" s="46"/>
      <c r="I874" s="46"/>
      <c r="K874" s="47"/>
    </row>
    <row r="875" ht="12.75" customHeight="1">
      <c r="B875" s="74"/>
      <c r="C875" s="75"/>
      <c r="D875" s="76"/>
      <c r="G875" s="46"/>
      <c r="H875" s="46"/>
      <c r="I875" s="46"/>
      <c r="K875" s="47"/>
    </row>
    <row r="876" ht="12.75" customHeight="1">
      <c r="B876" s="74"/>
      <c r="C876" s="75"/>
      <c r="D876" s="76"/>
      <c r="G876" s="46"/>
      <c r="H876" s="46"/>
      <c r="I876" s="46"/>
      <c r="K876" s="47"/>
    </row>
    <row r="877" ht="12.75" customHeight="1">
      <c r="B877" s="74"/>
      <c r="C877" s="75"/>
      <c r="D877" s="76"/>
      <c r="G877" s="46"/>
      <c r="H877" s="46"/>
      <c r="I877" s="46"/>
      <c r="K877" s="47"/>
    </row>
    <row r="878" ht="12.75" customHeight="1">
      <c r="B878" s="74"/>
      <c r="C878" s="75"/>
      <c r="D878" s="76"/>
      <c r="G878" s="46"/>
      <c r="H878" s="46"/>
      <c r="I878" s="46"/>
      <c r="K878" s="47"/>
    </row>
    <row r="879" ht="12.75" customHeight="1">
      <c r="B879" s="74"/>
      <c r="C879" s="75"/>
      <c r="D879" s="76"/>
      <c r="G879" s="46"/>
      <c r="H879" s="46"/>
      <c r="I879" s="46"/>
      <c r="K879" s="47"/>
    </row>
    <row r="880" ht="12.75" customHeight="1">
      <c r="B880" s="74"/>
      <c r="C880" s="75"/>
      <c r="D880" s="76"/>
      <c r="G880" s="46"/>
      <c r="H880" s="46"/>
      <c r="I880" s="46"/>
      <c r="K880" s="47"/>
    </row>
    <row r="881" ht="12.75" customHeight="1">
      <c r="B881" s="74"/>
      <c r="C881" s="75"/>
      <c r="D881" s="76"/>
      <c r="G881" s="46"/>
      <c r="H881" s="46"/>
      <c r="I881" s="46"/>
      <c r="K881" s="47"/>
    </row>
    <row r="882" ht="12.75" customHeight="1">
      <c r="B882" s="74"/>
      <c r="C882" s="75"/>
      <c r="D882" s="76"/>
      <c r="G882" s="46"/>
      <c r="H882" s="46"/>
      <c r="I882" s="46"/>
      <c r="K882" s="47"/>
    </row>
    <row r="883" ht="12.75" customHeight="1">
      <c r="B883" s="74"/>
      <c r="C883" s="75"/>
      <c r="D883" s="76"/>
      <c r="G883" s="46"/>
      <c r="H883" s="46"/>
      <c r="I883" s="46"/>
      <c r="K883" s="47"/>
    </row>
    <row r="884" ht="12.75" customHeight="1">
      <c r="B884" s="74"/>
      <c r="C884" s="75"/>
      <c r="D884" s="76"/>
      <c r="G884" s="46"/>
      <c r="H884" s="46"/>
      <c r="I884" s="46"/>
      <c r="K884" s="47"/>
    </row>
    <row r="885" ht="12.75" customHeight="1">
      <c r="B885" s="74"/>
      <c r="C885" s="75"/>
      <c r="D885" s="76"/>
      <c r="G885" s="46"/>
      <c r="H885" s="46"/>
      <c r="I885" s="46"/>
      <c r="K885" s="47"/>
    </row>
    <row r="886" ht="12.75" customHeight="1">
      <c r="B886" s="74"/>
      <c r="C886" s="75"/>
      <c r="D886" s="76"/>
      <c r="G886" s="46"/>
      <c r="H886" s="46"/>
      <c r="I886" s="46"/>
      <c r="K886" s="47"/>
    </row>
    <row r="887" ht="12.75" customHeight="1">
      <c r="B887" s="74"/>
      <c r="C887" s="75"/>
      <c r="D887" s="76"/>
      <c r="G887" s="46"/>
      <c r="H887" s="46"/>
      <c r="I887" s="46"/>
      <c r="K887" s="47"/>
    </row>
    <row r="888" ht="12.75" customHeight="1">
      <c r="B888" s="74"/>
      <c r="C888" s="75"/>
      <c r="D888" s="76"/>
      <c r="G888" s="46"/>
      <c r="H888" s="46"/>
      <c r="I888" s="46"/>
      <c r="K888" s="47"/>
    </row>
    <row r="889" ht="12.75" customHeight="1">
      <c r="B889" s="74"/>
      <c r="C889" s="75"/>
      <c r="D889" s="76"/>
      <c r="G889" s="46"/>
      <c r="H889" s="46"/>
      <c r="I889" s="46"/>
      <c r="K889" s="47"/>
    </row>
    <row r="890" ht="12.75" customHeight="1">
      <c r="B890" s="74"/>
      <c r="C890" s="75"/>
      <c r="D890" s="76"/>
      <c r="G890" s="46"/>
      <c r="H890" s="46"/>
      <c r="I890" s="46"/>
      <c r="K890" s="47"/>
    </row>
    <row r="891" ht="12.75" customHeight="1">
      <c r="B891" s="74"/>
      <c r="C891" s="75"/>
      <c r="D891" s="76"/>
      <c r="G891" s="46"/>
      <c r="H891" s="46"/>
      <c r="I891" s="46"/>
      <c r="K891" s="47"/>
    </row>
    <row r="892" ht="12.75" customHeight="1">
      <c r="B892" s="74"/>
      <c r="C892" s="75"/>
      <c r="D892" s="76"/>
      <c r="G892" s="46"/>
      <c r="H892" s="46"/>
      <c r="I892" s="46"/>
      <c r="K892" s="47"/>
    </row>
    <row r="893" ht="12.75" customHeight="1">
      <c r="B893" s="74"/>
      <c r="C893" s="75"/>
      <c r="D893" s="76"/>
      <c r="G893" s="46"/>
      <c r="H893" s="46"/>
      <c r="I893" s="46"/>
      <c r="K893" s="47"/>
    </row>
    <row r="894" ht="12.75" customHeight="1">
      <c r="B894" s="74"/>
      <c r="C894" s="75"/>
      <c r="D894" s="76"/>
      <c r="G894" s="46"/>
      <c r="H894" s="46"/>
      <c r="I894" s="46"/>
      <c r="K894" s="47"/>
    </row>
    <row r="895" ht="12.75" customHeight="1">
      <c r="B895" s="74"/>
      <c r="C895" s="75"/>
      <c r="D895" s="76"/>
      <c r="G895" s="46"/>
      <c r="H895" s="46"/>
      <c r="I895" s="46"/>
      <c r="K895" s="47"/>
    </row>
    <row r="896" ht="12.75" customHeight="1">
      <c r="B896" s="74"/>
      <c r="C896" s="75"/>
      <c r="D896" s="76"/>
      <c r="G896" s="46"/>
      <c r="H896" s="46"/>
      <c r="I896" s="46"/>
      <c r="K896" s="47"/>
    </row>
    <row r="897" ht="12.75" customHeight="1">
      <c r="B897" s="74"/>
      <c r="C897" s="75"/>
      <c r="D897" s="76"/>
      <c r="G897" s="46"/>
      <c r="H897" s="46"/>
      <c r="I897" s="46"/>
      <c r="K897" s="47"/>
    </row>
    <row r="898" ht="12.75" customHeight="1">
      <c r="B898" s="74"/>
      <c r="C898" s="75"/>
      <c r="D898" s="76"/>
      <c r="G898" s="46"/>
      <c r="H898" s="46"/>
      <c r="I898" s="46"/>
      <c r="K898" s="47"/>
    </row>
    <row r="899" ht="12.75" customHeight="1">
      <c r="B899" s="74"/>
      <c r="C899" s="75"/>
      <c r="D899" s="76"/>
      <c r="G899" s="46"/>
      <c r="H899" s="46"/>
      <c r="I899" s="46"/>
      <c r="K899" s="47"/>
    </row>
    <row r="900" ht="12.75" customHeight="1">
      <c r="B900" s="74"/>
      <c r="C900" s="75"/>
      <c r="D900" s="76"/>
      <c r="G900" s="46"/>
      <c r="H900" s="46"/>
      <c r="I900" s="46"/>
      <c r="K900" s="47"/>
    </row>
    <row r="901" ht="12.75" customHeight="1">
      <c r="B901" s="74"/>
      <c r="C901" s="75"/>
      <c r="D901" s="76"/>
      <c r="G901" s="46"/>
      <c r="H901" s="46"/>
      <c r="I901" s="46"/>
      <c r="K901" s="47"/>
    </row>
    <row r="902" ht="12.75" customHeight="1">
      <c r="B902" s="74"/>
      <c r="C902" s="75"/>
      <c r="D902" s="76"/>
      <c r="G902" s="46"/>
      <c r="H902" s="46"/>
      <c r="I902" s="46"/>
      <c r="K902" s="47"/>
    </row>
    <row r="903" ht="12.75" customHeight="1">
      <c r="B903" s="74"/>
      <c r="C903" s="75"/>
      <c r="D903" s="76"/>
      <c r="G903" s="46"/>
      <c r="H903" s="46"/>
      <c r="I903" s="46"/>
      <c r="K903" s="47"/>
    </row>
    <row r="904" ht="12.75" customHeight="1">
      <c r="B904" s="74"/>
      <c r="C904" s="75"/>
      <c r="D904" s="76"/>
      <c r="G904" s="46"/>
      <c r="H904" s="46"/>
      <c r="I904" s="46"/>
      <c r="K904" s="47"/>
    </row>
    <row r="905" ht="12.75" customHeight="1">
      <c r="B905" s="74"/>
      <c r="C905" s="75"/>
      <c r="D905" s="76"/>
      <c r="G905" s="46"/>
      <c r="H905" s="46"/>
      <c r="I905" s="46"/>
      <c r="K905" s="47"/>
    </row>
    <row r="906" ht="12.75" customHeight="1">
      <c r="B906" s="74"/>
      <c r="C906" s="75"/>
      <c r="D906" s="76"/>
      <c r="G906" s="46"/>
      <c r="H906" s="46"/>
      <c r="I906" s="46"/>
      <c r="K906" s="47"/>
    </row>
    <row r="907" ht="12.75" customHeight="1">
      <c r="B907" s="74"/>
      <c r="C907" s="75"/>
      <c r="D907" s="76"/>
      <c r="G907" s="46"/>
      <c r="H907" s="46"/>
      <c r="I907" s="46"/>
      <c r="K907" s="47"/>
    </row>
    <row r="908" ht="12.75" customHeight="1">
      <c r="B908" s="74"/>
      <c r="C908" s="75"/>
      <c r="D908" s="76"/>
      <c r="G908" s="46"/>
      <c r="H908" s="46"/>
      <c r="I908" s="46"/>
      <c r="K908" s="47"/>
    </row>
    <row r="909" ht="12.75" customHeight="1">
      <c r="B909" s="74"/>
      <c r="C909" s="75"/>
      <c r="D909" s="76"/>
      <c r="G909" s="46"/>
      <c r="H909" s="46"/>
      <c r="I909" s="46"/>
      <c r="K909" s="47"/>
    </row>
    <row r="910" ht="12.75" customHeight="1">
      <c r="B910" s="74"/>
      <c r="C910" s="75"/>
      <c r="D910" s="76"/>
      <c r="G910" s="46"/>
      <c r="H910" s="46"/>
      <c r="I910" s="46"/>
      <c r="K910" s="47"/>
    </row>
    <row r="911" ht="12.75" customHeight="1">
      <c r="B911" s="74"/>
      <c r="C911" s="75"/>
      <c r="D911" s="76"/>
      <c r="G911" s="46"/>
      <c r="H911" s="46"/>
      <c r="I911" s="46"/>
      <c r="K911" s="47"/>
    </row>
    <row r="912" ht="12.75" customHeight="1">
      <c r="B912" s="74"/>
      <c r="C912" s="75"/>
      <c r="D912" s="76"/>
      <c r="G912" s="46"/>
      <c r="H912" s="46"/>
      <c r="I912" s="46"/>
      <c r="K912" s="47"/>
    </row>
    <row r="913" ht="12.75" customHeight="1">
      <c r="B913" s="74"/>
      <c r="C913" s="75"/>
      <c r="D913" s="76"/>
      <c r="G913" s="46"/>
      <c r="H913" s="46"/>
      <c r="I913" s="46"/>
      <c r="K913" s="47"/>
    </row>
    <row r="914" ht="12.75" customHeight="1">
      <c r="B914" s="74"/>
      <c r="C914" s="75"/>
      <c r="D914" s="76"/>
      <c r="G914" s="46"/>
      <c r="H914" s="46"/>
      <c r="I914" s="46"/>
      <c r="K914" s="47"/>
    </row>
    <row r="915" ht="12.75" customHeight="1">
      <c r="B915" s="74"/>
      <c r="C915" s="75"/>
      <c r="D915" s="76"/>
      <c r="G915" s="46"/>
      <c r="H915" s="46"/>
      <c r="I915" s="46"/>
      <c r="K915" s="47"/>
    </row>
    <row r="916" ht="12.75" customHeight="1">
      <c r="B916" s="74"/>
      <c r="C916" s="75"/>
      <c r="D916" s="76"/>
      <c r="G916" s="46"/>
      <c r="H916" s="46"/>
      <c r="I916" s="46"/>
      <c r="K916" s="47"/>
    </row>
    <row r="917" ht="12.75" customHeight="1">
      <c r="B917" s="74"/>
      <c r="C917" s="75"/>
      <c r="D917" s="76"/>
      <c r="G917" s="46"/>
      <c r="H917" s="46"/>
      <c r="I917" s="46"/>
      <c r="K917" s="47"/>
    </row>
    <row r="918" ht="12.75" customHeight="1">
      <c r="B918" s="74"/>
      <c r="C918" s="75"/>
      <c r="D918" s="76"/>
      <c r="G918" s="46"/>
      <c r="H918" s="46"/>
      <c r="I918" s="46"/>
      <c r="K918" s="47"/>
    </row>
    <row r="919" ht="12.75" customHeight="1">
      <c r="B919" s="74"/>
      <c r="C919" s="75"/>
      <c r="D919" s="76"/>
      <c r="G919" s="46"/>
      <c r="H919" s="46"/>
      <c r="I919" s="46"/>
      <c r="K919" s="47"/>
    </row>
    <row r="920" ht="12.75" customHeight="1">
      <c r="B920" s="74"/>
      <c r="C920" s="75"/>
      <c r="D920" s="76"/>
      <c r="G920" s="46"/>
      <c r="H920" s="46"/>
      <c r="I920" s="46"/>
      <c r="K920" s="47"/>
    </row>
    <row r="921" ht="12.75" customHeight="1">
      <c r="B921" s="74"/>
      <c r="C921" s="75"/>
      <c r="D921" s="76"/>
      <c r="G921" s="46"/>
      <c r="H921" s="46"/>
      <c r="I921" s="46"/>
      <c r="K921" s="47"/>
    </row>
    <row r="922" ht="12.75" customHeight="1">
      <c r="B922" s="74"/>
      <c r="C922" s="75"/>
      <c r="D922" s="76"/>
      <c r="G922" s="46"/>
      <c r="H922" s="46"/>
      <c r="I922" s="46"/>
      <c r="K922" s="47"/>
    </row>
    <row r="923" ht="12.75" customHeight="1">
      <c r="B923" s="74"/>
      <c r="C923" s="75"/>
      <c r="D923" s="76"/>
      <c r="G923" s="46"/>
      <c r="H923" s="46"/>
      <c r="I923" s="46"/>
      <c r="K923" s="47"/>
    </row>
    <row r="924" ht="12.75" customHeight="1">
      <c r="B924" s="74"/>
      <c r="C924" s="75"/>
      <c r="D924" s="76"/>
      <c r="G924" s="46"/>
      <c r="H924" s="46"/>
      <c r="I924" s="46"/>
      <c r="K924" s="47"/>
    </row>
    <row r="925" ht="12.75" customHeight="1">
      <c r="B925" s="74"/>
      <c r="C925" s="75"/>
      <c r="D925" s="76"/>
      <c r="G925" s="46"/>
      <c r="H925" s="46"/>
      <c r="I925" s="46"/>
      <c r="K925" s="47"/>
    </row>
    <row r="926" ht="12.75" customHeight="1">
      <c r="B926" s="74"/>
      <c r="C926" s="75"/>
      <c r="D926" s="76"/>
      <c r="G926" s="46"/>
      <c r="H926" s="46"/>
      <c r="I926" s="46"/>
      <c r="K926" s="47"/>
    </row>
    <row r="927" ht="12.75" customHeight="1">
      <c r="B927" s="74"/>
      <c r="C927" s="75"/>
      <c r="D927" s="76"/>
      <c r="G927" s="46"/>
      <c r="H927" s="46"/>
      <c r="I927" s="46"/>
      <c r="K927" s="47"/>
    </row>
    <row r="928" ht="12.75" customHeight="1">
      <c r="B928" s="74"/>
      <c r="C928" s="75"/>
      <c r="D928" s="76"/>
      <c r="G928" s="46"/>
      <c r="H928" s="46"/>
      <c r="I928" s="46"/>
      <c r="K928" s="47"/>
    </row>
    <row r="929" ht="12.75" customHeight="1">
      <c r="B929" s="74"/>
      <c r="C929" s="75"/>
      <c r="D929" s="76"/>
      <c r="G929" s="46"/>
      <c r="H929" s="46"/>
      <c r="I929" s="46"/>
      <c r="K929" s="47"/>
    </row>
    <row r="930" ht="12.75" customHeight="1">
      <c r="B930" s="74"/>
      <c r="C930" s="75"/>
      <c r="D930" s="76"/>
      <c r="G930" s="46"/>
      <c r="H930" s="46"/>
      <c r="I930" s="46"/>
      <c r="K930" s="47"/>
    </row>
    <row r="931" ht="12.75" customHeight="1">
      <c r="B931" s="74"/>
      <c r="C931" s="75"/>
      <c r="D931" s="76"/>
      <c r="G931" s="46"/>
      <c r="H931" s="46"/>
      <c r="I931" s="46"/>
      <c r="K931" s="47"/>
    </row>
    <row r="932" ht="12.75" customHeight="1">
      <c r="B932" s="74"/>
      <c r="C932" s="75"/>
      <c r="D932" s="76"/>
      <c r="G932" s="46"/>
      <c r="H932" s="46"/>
      <c r="I932" s="46"/>
      <c r="K932" s="47"/>
    </row>
    <row r="933" ht="12.75" customHeight="1">
      <c r="B933" s="74"/>
      <c r="C933" s="75"/>
      <c r="D933" s="76"/>
      <c r="G933" s="46"/>
      <c r="H933" s="46"/>
      <c r="I933" s="46"/>
      <c r="K933" s="47"/>
    </row>
    <row r="934" ht="12.75" customHeight="1">
      <c r="B934" s="74"/>
      <c r="C934" s="75"/>
      <c r="D934" s="76"/>
      <c r="G934" s="46"/>
      <c r="H934" s="46"/>
      <c r="I934" s="46"/>
      <c r="K934" s="47"/>
    </row>
    <row r="935" ht="12.75" customHeight="1">
      <c r="B935" s="74"/>
      <c r="C935" s="75"/>
      <c r="D935" s="76"/>
      <c r="G935" s="46"/>
      <c r="H935" s="46"/>
      <c r="I935" s="46"/>
      <c r="K935" s="47"/>
    </row>
    <row r="936" ht="12.75" customHeight="1">
      <c r="B936" s="74"/>
      <c r="C936" s="75"/>
      <c r="D936" s="76"/>
      <c r="G936" s="46"/>
      <c r="H936" s="46"/>
      <c r="I936" s="46"/>
      <c r="K936" s="47"/>
    </row>
    <row r="937" ht="12.75" customHeight="1">
      <c r="B937" s="74"/>
      <c r="C937" s="75"/>
      <c r="D937" s="76"/>
      <c r="G937" s="46"/>
      <c r="H937" s="46"/>
      <c r="I937" s="46"/>
      <c r="K937" s="47"/>
    </row>
    <row r="938" ht="12.75" customHeight="1">
      <c r="B938" s="74"/>
      <c r="C938" s="75"/>
      <c r="D938" s="76"/>
      <c r="G938" s="46"/>
      <c r="H938" s="46"/>
      <c r="I938" s="46"/>
      <c r="K938" s="47"/>
    </row>
    <row r="939" ht="12.75" customHeight="1">
      <c r="B939" s="74"/>
      <c r="C939" s="75"/>
      <c r="D939" s="76"/>
      <c r="G939" s="46"/>
      <c r="H939" s="46"/>
      <c r="I939" s="46"/>
      <c r="K939" s="47"/>
    </row>
    <row r="940" ht="12.75" customHeight="1">
      <c r="B940" s="74"/>
      <c r="C940" s="75"/>
      <c r="D940" s="76"/>
      <c r="G940" s="46"/>
      <c r="H940" s="46"/>
      <c r="I940" s="46"/>
      <c r="K940" s="47"/>
    </row>
    <row r="941" ht="12.75" customHeight="1">
      <c r="B941" s="74"/>
      <c r="C941" s="75"/>
      <c r="D941" s="76"/>
      <c r="G941" s="46"/>
      <c r="H941" s="46"/>
      <c r="I941" s="46"/>
      <c r="K941" s="47"/>
    </row>
    <row r="942" ht="12.75" customHeight="1">
      <c r="B942" s="74"/>
      <c r="C942" s="75"/>
      <c r="D942" s="76"/>
      <c r="G942" s="46"/>
      <c r="H942" s="46"/>
      <c r="I942" s="46"/>
      <c r="K942" s="47"/>
    </row>
    <row r="943" ht="12.75" customHeight="1">
      <c r="B943" s="74"/>
      <c r="C943" s="75"/>
      <c r="D943" s="76"/>
      <c r="G943" s="46"/>
      <c r="H943" s="46"/>
      <c r="I943" s="46"/>
      <c r="K943" s="47"/>
    </row>
    <row r="944" ht="12.75" customHeight="1">
      <c r="B944" s="74"/>
      <c r="C944" s="75"/>
      <c r="D944" s="76"/>
      <c r="G944" s="46"/>
      <c r="H944" s="46"/>
      <c r="I944" s="46"/>
      <c r="K944" s="47"/>
    </row>
    <row r="945" ht="12.75" customHeight="1">
      <c r="B945" s="74"/>
      <c r="C945" s="75"/>
      <c r="D945" s="76"/>
      <c r="G945" s="46"/>
      <c r="H945" s="46"/>
      <c r="I945" s="46"/>
      <c r="K945" s="47"/>
    </row>
    <row r="946" ht="12.75" customHeight="1">
      <c r="B946" s="74"/>
      <c r="C946" s="75"/>
      <c r="D946" s="76"/>
      <c r="G946" s="46"/>
      <c r="H946" s="46"/>
      <c r="I946" s="46"/>
      <c r="K946" s="47"/>
    </row>
    <row r="947" ht="12.75" customHeight="1">
      <c r="B947" s="74"/>
      <c r="C947" s="75"/>
      <c r="D947" s="76"/>
      <c r="G947" s="46"/>
      <c r="H947" s="46"/>
      <c r="I947" s="46"/>
      <c r="K947" s="47"/>
    </row>
    <row r="948" ht="12.75" customHeight="1">
      <c r="B948" s="74"/>
      <c r="C948" s="75"/>
      <c r="D948" s="76"/>
      <c r="G948" s="46"/>
      <c r="H948" s="46"/>
      <c r="I948" s="46"/>
      <c r="K948" s="47"/>
    </row>
    <row r="949" ht="12.75" customHeight="1">
      <c r="B949" s="74"/>
      <c r="C949" s="75"/>
      <c r="D949" s="76"/>
      <c r="G949" s="46"/>
      <c r="H949" s="46"/>
      <c r="I949" s="46"/>
      <c r="K949" s="47"/>
    </row>
    <row r="950" ht="12.75" customHeight="1">
      <c r="B950" s="74"/>
      <c r="C950" s="75"/>
      <c r="D950" s="76"/>
      <c r="G950" s="46"/>
      <c r="H950" s="46"/>
      <c r="I950" s="46"/>
      <c r="K950" s="47"/>
    </row>
    <row r="951" ht="12.75" customHeight="1">
      <c r="B951" s="74"/>
      <c r="C951" s="75"/>
      <c r="D951" s="76"/>
      <c r="G951" s="46"/>
      <c r="H951" s="46"/>
      <c r="I951" s="46"/>
      <c r="K951" s="47"/>
    </row>
    <row r="952" ht="12.75" customHeight="1">
      <c r="B952" s="74"/>
      <c r="C952" s="75"/>
      <c r="D952" s="76"/>
      <c r="G952" s="46"/>
      <c r="H952" s="46"/>
      <c r="I952" s="46"/>
      <c r="K952" s="47"/>
    </row>
    <row r="953" ht="12.75" customHeight="1">
      <c r="B953" s="74"/>
      <c r="C953" s="75"/>
      <c r="D953" s="76"/>
      <c r="G953" s="46"/>
      <c r="H953" s="46"/>
      <c r="I953" s="46"/>
      <c r="K953" s="47"/>
    </row>
    <row r="954" ht="12.75" customHeight="1">
      <c r="B954" s="74"/>
      <c r="C954" s="75"/>
      <c r="D954" s="76"/>
      <c r="G954" s="46"/>
      <c r="H954" s="46"/>
      <c r="I954" s="46"/>
      <c r="K954" s="47"/>
    </row>
    <row r="955" ht="12.75" customHeight="1">
      <c r="B955" s="74"/>
      <c r="C955" s="75"/>
      <c r="D955" s="76"/>
      <c r="G955" s="46"/>
      <c r="H955" s="46"/>
      <c r="I955" s="46"/>
      <c r="K955" s="47"/>
    </row>
    <row r="956" ht="12.75" customHeight="1">
      <c r="B956" s="74"/>
      <c r="C956" s="75"/>
      <c r="D956" s="76"/>
      <c r="G956" s="46"/>
      <c r="H956" s="46"/>
      <c r="I956" s="46"/>
      <c r="K956" s="47"/>
    </row>
    <row r="957" ht="12.75" customHeight="1">
      <c r="B957" s="74"/>
      <c r="C957" s="75"/>
      <c r="D957" s="76"/>
      <c r="G957" s="46"/>
      <c r="H957" s="46"/>
      <c r="I957" s="46"/>
      <c r="K957" s="47"/>
    </row>
    <row r="958" ht="12.75" customHeight="1">
      <c r="B958" s="74"/>
      <c r="C958" s="75"/>
      <c r="D958" s="76"/>
      <c r="G958" s="46"/>
      <c r="H958" s="46"/>
      <c r="I958" s="46"/>
      <c r="K958" s="47"/>
    </row>
    <row r="959" ht="12.75" customHeight="1">
      <c r="B959" s="74"/>
      <c r="C959" s="75"/>
      <c r="D959" s="76"/>
      <c r="G959" s="46"/>
      <c r="H959" s="46"/>
      <c r="I959" s="46"/>
      <c r="K959" s="47"/>
    </row>
    <row r="960" ht="12.75" customHeight="1">
      <c r="B960" s="74"/>
      <c r="C960" s="75"/>
      <c r="D960" s="76"/>
      <c r="G960" s="46"/>
      <c r="H960" s="46"/>
      <c r="I960" s="46"/>
      <c r="K960" s="47"/>
    </row>
    <row r="961" ht="12.75" customHeight="1">
      <c r="B961" s="74"/>
      <c r="C961" s="75"/>
      <c r="D961" s="76"/>
      <c r="G961" s="46"/>
      <c r="H961" s="46"/>
      <c r="I961" s="46"/>
      <c r="K961" s="47"/>
    </row>
    <row r="962" ht="12.75" customHeight="1">
      <c r="B962" s="74"/>
      <c r="C962" s="75"/>
      <c r="D962" s="76"/>
      <c r="G962" s="46"/>
      <c r="H962" s="46"/>
      <c r="I962" s="46"/>
      <c r="K962" s="47"/>
    </row>
    <row r="963" ht="12.75" customHeight="1">
      <c r="B963" s="74"/>
      <c r="C963" s="75"/>
      <c r="D963" s="76"/>
      <c r="G963" s="46"/>
      <c r="H963" s="46"/>
      <c r="I963" s="46"/>
      <c r="K963" s="47"/>
    </row>
    <row r="964" ht="12.75" customHeight="1">
      <c r="B964" s="74"/>
      <c r="C964" s="75"/>
      <c r="D964" s="76"/>
      <c r="G964" s="46"/>
      <c r="H964" s="46"/>
      <c r="I964" s="46"/>
      <c r="K964" s="47"/>
    </row>
    <row r="965" ht="12.75" customHeight="1">
      <c r="B965" s="74"/>
      <c r="C965" s="75"/>
      <c r="D965" s="76"/>
      <c r="G965" s="46"/>
      <c r="H965" s="46"/>
      <c r="I965" s="46"/>
      <c r="K965" s="47"/>
    </row>
    <row r="966" ht="12.75" customHeight="1">
      <c r="B966" s="74"/>
      <c r="C966" s="75"/>
      <c r="D966" s="76"/>
      <c r="G966" s="46"/>
      <c r="H966" s="46"/>
      <c r="I966" s="46"/>
      <c r="K966" s="47"/>
    </row>
    <row r="967" ht="12.75" customHeight="1">
      <c r="B967" s="74"/>
      <c r="C967" s="75"/>
      <c r="D967" s="76"/>
      <c r="G967" s="46"/>
      <c r="H967" s="46"/>
      <c r="I967" s="46"/>
      <c r="K967" s="47"/>
    </row>
    <row r="968" ht="12.75" customHeight="1">
      <c r="B968" s="74"/>
      <c r="C968" s="75"/>
      <c r="D968" s="76"/>
      <c r="G968" s="46"/>
      <c r="H968" s="46"/>
      <c r="I968" s="46"/>
      <c r="K968" s="47"/>
    </row>
    <row r="969" ht="12.75" customHeight="1">
      <c r="B969" s="74"/>
      <c r="C969" s="75"/>
      <c r="D969" s="76"/>
      <c r="G969" s="46"/>
      <c r="H969" s="46"/>
      <c r="I969" s="46"/>
      <c r="K969" s="47"/>
    </row>
    <row r="970" ht="12.75" customHeight="1">
      <c r="B970" s="74"/>
      <c r="C970" s="75"/>
      <c r="D970" s="76"/>
      <c r="G970" s="46"/>
      <c r="H970" s="46"/>
      <c r="I970" s="46"/>
      <c r="K970" s="47"/>
    </row>
    <row r="971" ht="12.75" customHeight="1">
      <c r="B971" s="74"/>
      <c r="C971" s="75"/>
      <c r="D971" s="76"/>
      <c r="G971" s="46"/>
      <c r="H971" s="46"/>
      <c r="I971" s="46"/>
      <c r="K971" s="47"/>
    </row>
    <row r="972" ht="12.75" customHeight="1">
      <c r="B972" s="74"/>
      <c r="C972" s="75"/>
      <c r="D972" s="76"/>
      <c r="G972" s="46"/>
      <c r="H972" s="46"/>
      <c r="I972" s="46"/>
      <c r="K972" s="47"/>
    </row>
    <row r="973" ht="12.75" customHeight="1">
      <c r="B973" s="74"/>
      <c r="C973" s="75"/>
      <c r="D973" s="76"/>
      <c r="G973" s="46"/>
      <c r="H973" s="46"/>
      <c r="I973" s="46"/>
      <c r="K973" s="47"/>
    </row>
    <row r="974" ht="12.75" customHeight="1">
      <c r="B974" s="74"/>
      <c r="C974" s="75"/>
      <c r="D974" s="76"/>
      <c r="G974" s="46"/>
      <c r="H974" s="46"/>
      <c r="I974" s="46"/>
      <c r="K974" s="47"/>
    </row>
    <row r="975" ht="12.75" customHeight="1">
      <c r="B975" s="74"/>
      <c r="C975" s="75"/>
      <c r="D975" s="76"/>
      <c r="G975" s="46"/>
      <c r="H975" s="46"/>
      <c r="I975" s="46"/>
      <c r="K975" s="47"/>
    </row>
    <row r="976" ht="12.75" customHeight="1">
      <c r="B976" s="74"/>
      <c r="C976" s="75"/>
      <c r="D976" s="76"/>
      <c r="G976" s="46"/>
      <c r="H976" s="46"/>
      <c r="I976" s="46"/>
      <c r="K976" s="47"/>
    </row>
    <row r="977" ht="12.75" customHeight="1">
      <c r="B977" s="74"/>
      <c r="C977" s="75"/>
      <c r="D977" s="76"/>
      <c r="G977" s="46"/>
      <c r="H977" s="46"/>
      <c r="I977" s="46"/>
      <c r="K977" s="47"/>
    </row>
    <row r="978" ht="12.75" customHeight="1">
      <c r="B978" s="74"/>
      <c r="C978" s="75"/>
      <c r="D978" s="76"/>
      <c r="G978" s="46"/>
      <c r="H978" s="46"/>
      <c r="I978" s="46"/>
      <c r="K978" s="47"/>
    </row>
    <row r="979" ht="12.75" customHeight="1">
      <c r="B979" s="74"/>
      <c r="C979" s="75"/>
      <c r="D979" s="76"/>
      <c r="G979" s="46"/>
      <c r="H979" s="46"/>
      <c r="I979" s="46"/>
      <c r="K979" s="47"/>
    </row>
    <row r="980" ht="12.75" customHeight="1">
      <c r="B980" s="74"/>
      <c r="C980" s="75"/>
      <c r="D980" s="76"/>
      <c r="G980" s="46"/>
      <c r="H980" s="46"/>
      <c r="I980" s="46"/>
      <c r="K980" s="47"/>
    </row>
    <row r="981" ht="12.75" customHeight="1">
      <c r="B981" s="74"/>
      <c r="C981" s="75"/>
      <c r="D981" s="76"/>
      <c r="G981" s="46"/>
      <c r="H981" s="46"/>
      <c r="I981" s="46"/>
      <c r="K981" s="47"/>
    </row>
    <row r="982" ht="12.75" customHeight="1">
      <c r="B982" s="74"/>
      <c r="C982" s="75"/>
      <c r="D982" s="76"/>
      <c r="G982" s="46"/>
      <c r="H982" s="46"/>
      <c r="I982" s="46"/>
      <c r="K982" s="47"/>
    </row>
    <row r="983" ht="12.75" customHeight="1">
      <c r="B983" s="74"/>
      <c r="C983" s="75"/>
      <c r="D983" s="76"/>
      <c r="G983" s="46"/>
      <c r="H983" s="46"/>
      <c r="I983" s="46"/>
      <c r="K983" s="47"/>
    </row>
    <row r="984" ht="12.75" customHeight="1">
      <c r="B984" s="74"/>
      <c r="C984" s="75"/>
      <c r="D984" s="76"/>
      <c r="G984" s="46"/>
      <c r="H984" s="46"/>
      <c r="I984" s="46"/>
      <c r="K984" s="47"/>
    </row>
    <row r="985" ht="12.75" customHeight="1">
      <c r="B985" s="74"/>
      <c r="C985" s="75"/>
      <c r="D985" s="76"/>
      <c r="G985" s="46"/>
      <c r="H985" s="46"/>
      <c r="I985" s="46"/>
      <c r="K985" s="47"/>
    </row>
    <row r="986" ht="12.75" customHeight="1">
      <c r="B986" s="74"/>
      <c r="C986" s="75"/>
      <c r="D986" s="76"/>
      <c r="G986" s="46"/>
      <c r="H986" s="46"/>
      <c r="I986" s="46"/>
      <c r="K986" s="47"/>
    </row>
    <row r="987" ht="12.75" customHeight="1">
      <c r="B987" s="74"/>
      <c r="C987" s="75"/>
      <c r="D987" s="76"/>
      <c r="G987" s="46"/>
      <c r="H987" s="46"/>
      <c r="I987" s="46"/>
      <c r="K987" s="47"/>
    </row>
    <row r="988" ht="12.75" customHeight="1">
      <c r="B988" s="74"/>
      <c r="C988" s="75"/>
      <c r="D988" s="76"/>
      <c r="G988" s="46"/>
      <c r="H988" s="46"/>
      <c r="I988" s="46"/>
      <c r="K988" s="47"/>
    </row>
    <row r="989" ht="12.75" customHeight="1">
      <c r="B989" s="74"/>
      <c r="C989" s="75"/>
      <c r="D989" s="76"/>
      <c r="G989" s="46"/>
      <c r="H989" s="46"/>
      <c r="I989" s="46"/>
      <c r="K989" s="47"/>
    </row>
    <row r="990" ht="12.75" customHeight="1">
      <c r="B990" s="74"/>
      <c r="C990" s="75"/>
      <c r="D990" s="76"/>
      <c r="G990" s="46"/>
      <c r="H990" s="46"/>
      <c r="I990" s="46"/>
      <c r="K990" s="47"/>
    </row>
    <row r="991" ht="12.75" customHeight="1">
      <c r="B991" s="74"/>
      <c r="C991" s="75"/>
      <c r="D991" s="76"/>
      <c r="G991" s="46"/>
      <c r="H991" s="46"/>
      <c r="I991" s="46"/>
      <c r="K991" s="47"/>
    </row>
    <row r="992" ht="12.75" customHeight="1">
      <c r="B992" s="74"/>
      <c r="C992" s="75"/>
      <c r="D992" s="76"/>
      <c r="G992" s="46"/>
      <c r="H992" s="46"/>
      <c r="I992" s="46"/>
      <c r="K992" s="47"/>
    </row>
    <row r="993" ht="12.75" customHeight="1">
      <c r="B993" s="74"/>
      <c r="C993" s="75"/>
      <c r="D993" s="76"/>
      <c r="G993" s="46"/>
      <c r="H993" s="46"/>
      <c r="I993" s="46"/>
      <c r="K993" s="47"/>
    </row>
    <row r="994" ht="12.75" customHeight="1">
      <c r="B994" s="74"/>
      <c r="C994" s="75"/>
      <c r="D994" s="76"/>
      <c r="G994" s="46"/>
      <c r="H994" s="46"/>
      <c r="I994" s="46"/>
      <c r="K994" s="47"/>
    </row>
    <row r="995" ht="12.75" customHeight="1">
      <c r="B995" s="74"/>
      <c r="C995" s="75"/>
      <c r="D995" s="76"/>
      <c r="G995" s="46"/>
      <c r="H995" s="46"/>
      <c r="I995" s="46"/>
      <c r="K995" s="47"/>
    </row>
    <row r="996" ht="12.75" customHeight="1">
      <c r="B996" s="74"/>
      <c r="C996" s="75"/>
      <c r="D996" s="76"/>
      <c r="G996" s="46"/>
      <c r="H996" s="46"/>
      <c r="I996" s="46"/>
      <c r="K996" s="47"/>
    </row>
    <row r="997" ht="12.75" customHeight="1">
      <c r="B997" s="74"/>
      <c r="C997" s="75"/>
      <c r="D997" s="76"/>
      <c r="G997" s="46"/>
      <c r="H997" s="46"/>
      <c r="I997" s="46"/>
      <c r="K997" s="47"/>
    </row>
    <row r="998" ht="12.75" customHeight="1">
      <c r="B998" s="74"/>
      <c r="C998" s="75"/>
      <c r="D998" s="76"/>
      <c r="G998" s="46"/>
      <c r="H998" s="46"/>
      <c r="I998" s="46"/>
      <c r="K998" s="47"/>
    </row>
    <row r="999" ht="12.75" customHeight="1">
      <c r="B999" s="74"/>
      <c r="C999" s="75"/>
      <c r="D999" s="76"/>
      <c r="G999" s="46"/>
      <c r="H999" s="46"/>
      <c r="I999" s="46"/>
      <c r="K999" s="47"/>
    </row>
    <row r="1000" ht="12.75" customHeight="1">
      <c r="B1000" s="74"/>
      <c r="C1000" s="75"/>
      <c r="D1000" s="76"/>
      <c r="G1000" s="46"/>
      <c r="H1000" s="46"/>
      <c r="I1000" s="46"/>
      <c r="K1000" s="47"/>
    </row>
  </sheetData>
  <autoFilter ref="$A$1:$Z$405">
    <filterColumn colId="2">
      <filters>
        <filter val=" KP182"/>
        <filter val="4600003949"/>
        <filter val="NO.SPK 001/PGE134-2025-S0"/>
        <filter val="NO.SPK 010/PGE134-2025-S0"/>
        <filter val="NO.SPK 078/PGE323/2024-S4"/>
        <filter val="Pengadaan Barang &amp; Jasa"/>
        <filter val="Kontrak belum Jadi"/>
      </filters>
    </filterColumn>
  </autoFilter>
  <printOptions/>
  <pageMargins bottom="1.05277777777778" footer="0.0" header="0.0" left="0.7875" right="0.7875" top="1.05277777777778"/>
  <pageSetup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6.0"/>
    <col customWidth="1" min="3" max="3" width="7.0"/>
    <col customWidth="1" min="4" max="4" width="10.38"/>
    <col customWidth="1" min="5" max="5" width="13.5"/>
    <col customWidth="1" min="6" max="6" width="32.75"/>
    <col customWidth="1" min="7" max="7" width="22.13"/>
    <col customWidth="1" min="8" max="8" width="5.38"/>
    <col customWidth="1" min="9" max="9" width="16.38"/>
    <col customWidth="1" min="10" max="10" width="50.63"/>
    <col customWidth="1" min="11" max="11" width="14.5"/>
    <col customWidth="1" min="12" max="12" width="11.75"/>
    <col customWidth="1" min="13" max="13" width="12.75"/>
    <col customWidth="1" min="14" max="14" width="11.75"/>
    <col customWidth="1" min="15" max="15" width="12.25"/>
    <col customWidth="1" min="16" max="16" width="14.0"/>
    <col customWidth="1" min="17" max="17" width="9.25"/>
    <col customWidth="1" min="18" max="18" width="26.5"/>
    <col customWidth="1" min="19" max="19" width="10.88"/>
    <col customWidth="1" min="20" max="20" width="10.38"/>
    <col customWidth="1" min="21" max="21" width="9.88"/>
    <col customWidth="1" min="22" max="22" width="4.75"/>
    <col customWidth="1" min="23" max="23" width="87.0"/>
    <col customWidth="1" min="24" max="24" width="25.25"/>
    <col customWidth="1" min="25" max="25" width="8.38"/>
    <col customWidth="1" min="26" max="26" width="6.0"/>
  </cols>
  <sheetData>
    <row r="1" ht="31.5" customHeight="1">
      <c r="A1" s="78" t="s">
        <v>2883</v>
      </c>
      <c r="B1" s="78" t="s">
        <v>2884</v>
      </c>
      <c r="C1" s="78" t="s">
        <v>2885</v>
      </c>
      <c r="D1" s="78" t="s">
        <v>2886</v>
      </c>
      <c r="E1" s="79" t="s">
        <v>100</v>
      </c>
      <c r="F1" s="80" t="s">
        <v>2887</v>
      </c>
      <c r="G1" s="81" t="s">
        <v>2888</v>
      </c>
      <c r="H1" s="82" t="s">
        <v>2889</v>
      </c>
      <c r="I1" s="82" t="s">
        <v>2890</v>
      </c>
      <c r="J1" s="83" t="s">
        <v>2891</v>
      </c>
      <c r="K1" s="84" t="s">
        <v>2892</v>
      </c>
      <c r="L1" s="85" t="s">
        <v>104</v>
      </c>
      <c r="M1" s="85" t="s">
        <v>2893</v>
      </c>
      <c r="N1" s="85" t="s">
        <v>105</v>
      </c>
      <c r="O1" s="85" t="s">
        <v>2894</v>
      </c>
      <c r="P1" s="78" t="s">
        <v>2895</v>
      </c>
      <c r="Q1" s="86" t="s">
        <v>2896</v>
      </c>
      <c r="R1" s="87" t="s">
        <v>2897</v>
      </c>
      <c r="S1" s="87" t="s">
        <v>107</v>
      </c>
      <c r="T1" s="78" t="s">
        <v>2886</v>
      </c>
      <c r="U1" s="88" t="s">
        <v>2898</v>
      </c>
      <c r="V1" s="88" t="s">
        <v>2899</v>
      </c>
      <c r="W1" s="89"/>
      <c r="X1" s="89"/>
      <c r="Y1" s="89"/>
      <c r="Z1" s="89"/>
    </row>
    <row r="2" ht="49.5" customHeight="1">
      <c r="A2" s="90">
        <v>1.0</v>
      </c>
      <c r="B2" s="90" t="s">
        <v>2900</v>
      </c>
      <c r="C2" s="91" t="s">
        <v>14</v>
      </c>
      <c r="D2" s="92" t="str">
        <f t="shared" ref="D2:D405" si="1">B2&amp;C2</f>
        <v>PP25-001</v>
      </c>
      <c r="E2" s="92">
        <v>45659.0</v>
      </c>
      <c r="F2" s="93">
        <v>4.650017814E9</v>
      </c>
      <c r="G2" s="93" t="s">
        <v>2901</v>
      </c>
      <c r="H2" s="94" t="s">
        <v>19</v>
      </c>
      <c r="I2" s="94" t="s">
        <v>2902</v>
      </c>
      <c r="J2" s="95" t="s">
        <v>112</v>
      </c>
      <c r="K2" s="96">
        <v>1.8616665E7</v>
      </c>
      <c r="L2" s="97">
        <f t="shared" ref="L2:L4" si="2">K2*6%</f>
        <v>1116999.9</v>
      </c>
      <c r="M2" s="97">
        <f t="shared" ref="M2:M110" si="3">K2+L2</f>
        <v>19733664.9</v>
      </c>
      <c r="N2" s="98">
        <f t="shared" ref="N2:N27" si="4">M2*11%</f>
        <v>2170703.139</v>
      </c>
      <c r="O2" s="97">
        <f t="shared" ref="O2:O140" si="5">M2+N2</f>
        <v>21904368.04</v>
      </c>
      <c r="P2" s="99"/>
      <c r="Q2" s="90" t="s">
        <v>2903</v>
      </c>
      <c r="R2" s="100" t="str">
        <f t="shared" ref="R2:R59" si="6">VLOOKUP(D2,'[1]NSFP KPPE'!$A$5:$E$1000,5,FALSE)</f>
        <v>#REF!</v>
      </c>
      <c r="S2" s="101" t="str">
        <f t="shared" ref="S2:S394" si="7">VLOOKUP(D2,'[1]TARIKAN MY SAP'!$J$3:$O$1000,6,FALSE)</f>
        <v>#REF!</v>
      </c>
      <c r="T2" s="102" t="str">
        <f t="shared" ref="T2:T462" si="8">D2</f>
        <v>PP25-001</v>
      </c>
      <c r="U2" s="95"/>
      <c r="V2" s="95"/>
      <c r="W2" s="103"/>
      <c r="X2" s="103"/>
      <c r="Y2" s="103"/>
      <c r="Z2" s="104"/>
    </row>
    <row r="3" ht="49.5" customHeight="1">
      <c r="A3" s="90">
        <v>2.0</v>
      </c>
      <c r="B3" s="90" t="s">
        <v>2900</v>
      </c>
      <c r="C3" s="105" t="s">
        <v>23</v>
      </c>
      <c r="D3" s="92" t="str">
        <f t="shared" si="1"/>
        <v>PP25-002</v>
      </c>
      <c r="E3" s="92">
        <v>45659.0</v>
      </c>
      <c r="F3" s="93">
        <v>4.650017814E9</v>
      </c>
      <c r="G3" s="93" t="s">
        <v>2901</v>
      </c>
      <c r="H3" s="94" t="s">
        <v>19</v>
      </c>
      <c r="I3" s="94" t="s">
        <v>2904</v>
      </c>
      <c r="J3" s="95" t="s">
        <v>116</v>
      </c>
      <c r="K3" s="106">
        <v>2.8480668E7</v>
      </c>
      <c r="L3" s="97">
        <f t="shared" si="2"/>
        <v>1708840.08</v>
      </c>
      <c r="M3" s="97">
        <f t="shared" si="3"/>
        <v>30189508.08</v>
      </c>
      <c r="N3" s="98">
        <f t="shared" si="4"/>
        <v>3320845.889</v>
      </c>
      <c r="O3" s="97">
        <f t="shared" si="5"/>
        <v>33510353.97</v>
      </c>
      <c r="P3" s="99"/>
      <c r="Q3" s="90" t="s">
        <v>2903</v>
      </c>
      <c r="R3" s="100" t="str">
        <f t="shared" si="6"/>
        <v>#REF!</v>
      </c>
      <c r="S3" s="101" t="str">
        <f t="shared" si="7"/>
        <v>#REF!</v>
      </c>
      <c r="T3" s="102" t="str">
        <f t="shared" si="8"/>
        <v>PP25-002</v>
      </c>
      <c r="U3" s="95"/>
      <c r="V3" s="95"/>
      <c r="W3" s="103"/>
      <c r="X3" s="103"/>
      <c r="Y3" s="103"/>
      <c r="Z3" s="104"/>
    </row>
    <row r="4" ht="49.5" customHeight="1">
      <c r="A4" s="90">
        <v>3.0</v>
      </c>
      <c r="B4" s="90" t="s">
        <v>2900</v>
      </c>
      <c r="C4" s="92" t="s">
        <v>32</v>
      </c>
      <c r="D4" s="92" t="str">
        <f t="shared" si="1"/>
        <v>PP25-003</v>
      </c>
      <c r="E4" s="92">
        <v>45659.0</v>
      </c>
      <c r="F4" s="93">
        <v>4.650017814E9</v>
      </c>
      <c r="G4" s="93" t="s">
        <v>2901</v>
      </c>
      <c r="H4" s="94" t="s">
        <v>19</v>
      </c>
      <c r="I4" s="94" t="s">
        <v>2905</v>
      </c>
      <c r="J4" s="95" t="s">
        <v>119</v>
      </c>
      <c r="K4" s="106">
        <v>2.60741541E8</v>
      </c>
      <c r="L4" s="97">
        <f t="shared" si="2"/>
        <v>15644492.46</v>
      </c>
      <c r="M4" s="97">
        <f t="shared" si="3"/>
        <v>276386033.5</v>
      </c>
      <c r="N4" s="98">
        <f t="shared" si="4"/>
        <v>30402463.68</v>
      </c>
      <c r="O4" s="97">
        <f t="shared" si="5"/>
        <v>306788497.1</v>
      </c>
      <c r="P4" s="99"/>
      <c r="Q4" s="90" t="s">
        <v>2903</v>
      </c>
      <c r="R4" s="100" t="str">
        <f t="shared" si="6"/>
        <v>#REF!</v>
      </c>
      <c r="S4" s="101" t="str">
        <f t="shared" si="7"/>
        <v>#REF!</v>
      </c>
      <c r="T4" s="102" t="str">
        <f t="shared" si="8"/>
        <v>PP25-003</v>
      </c>
      <c r="U4" s="95"/>
      <c r="V4" s="95"/>
      <c r="W4" s="103"/>
      <c r="X4" s="103"/>
      <c r="Y4" s="103"/>
      <c r="Z4" s="104"/>
    </row>
    <row r="5" ht="58.5" customHeight="1">
      <c r="A5" s="90">
        <v>4.0</v>
      </c>
      <c r="B5" s="90" t="s">
        <v>2900</v>
      </c>
      <c r="C5" s="90" t="s">
        <v>40</v>
      </c>
      <c r="D5" s="92" t="str">
        <f t="shared" si="1"/>
        <v>PP25-004</v>
      </c>
      <c r="E5" s="92">
        <v>45659.0</v>
      </c>
      <c r="F5" s="107" t="s">
        <v>125</v>
      </c>
      <c r="G5" s="93" t="s">
        <v>2901</v>
      </c>
      <c r="H5" s="94" t="s">
        <v>19</v>
      </c>
      <c r="I5" s="94" t="s">
        <v>2906</v>
      </c>
      <c r="J5" s="99" t="s">
        <v>121</v>
      </c>
      <c r="K5" s="108">
        <v>3.38680067E8</v>
      </c>
      <c r="L5" s="97">
        <f t="shared" ref="L5:L6" si="9">K5*5.4%</f>
        <v>18288723.62</v>
      </c>
      <c r="M5" s="97">
        <f t="shared" si="3"/>
        <v>356968790.6</v>
      </c>
      <c r="N5" s="98">
        <f t="shared" si="4"/>
        <v>39266566.97</v>
      </c>
      <c r="O5" s="97">
        <f t="shared" si="5"/>
        <v>396235357.6</v>
      </c>
      <c r="P5" s="99"/>
      <c r="Q5" s="90" t="s">
        <v>2907</v>
      </c>
      <c r="R5" s="100" t="str">
        <f t="shared" si="6"/>
        <v>#REF!</v>
      </c>
      <c r="S5" s="101" t="str">
        <f t="shared" si="7"/>
        <v>#REF!</v>
      </c>
      <c r="T5" s="102" t="str">
        <f t="shared" si="8"/>
        <v>PP25-004</v>
      </c>
      <c r="U5" s="95"/>
      <c r="V5" s="95"/>
      <c r="W5" s="103"/>
      <c r="X5" s="103"/>
      <c r="Y5" s="103"/>
      <c r="Z5" s="104"/>
    </row>
    <row r="6" ht="69.0" customHeight="1">
      <c r="A6" s="90">
        <v>5.0</v>
      </c>
      <c r="B6" s="90" t="s">
        <v>2900</v>
      </c>
      <c r="C6" s="92" t="s">
        <v>47</v>
      </c>
      <c r="D6" s="92" t="str">
        <f t="shared" si="1"/>
        <v>PP25-005</v>
      </c>
      <c r="E6" s="92">
        <v>45659.0</v>
      </c>
      <c r="F6" s="107" t="s">
        <v>125</v>
      </c>
      <c r="G6" s="93" t="s">
        <v>2901</v>
      </c>
      <c r="H6" s="94" t="s">
        <v>19</v>
      </c>
      <c r="I6" s="94" t="s">
        <v>2906</v>
      </c>
      <c r="J6" s="99" t="s">
        <v>123</v>
      </c>
      <c r="K6" s="108">
        <v>1.28196743E8</v>
      </c>
      <c r="L6" s="97">
        <f t="shared" si="9"/>
        <v>6922624.122</v>
      </c>
      <c r="M6" s="97">
        <f t="shared" si="3"/>
        <v>135119367.1</v>
      </c>
      <c r="N6" s="98">
        <f t="shared" si="4"/>
        <v>14863130.38</v>
      </c>
      <c r="O6" s="97">
        <f t="shared" si="5"/>
        <v>149982497.5</v>
      </c>
      <c r="P6" s="99"/>
      <c r="Q6" s="90" t="s">
        <v>2907</v>
      </c>
      <c r="R6" s="100" t="str">
        <f t="shared" si="6"/>
        <v>#REF!</v>
      </c>
      <c r="S6" s="101" t="str">
        <f t="shared" si="7"/>
        <v>#REF!</v>
      </c>
      <c r="T6" s="102" t="str">
        <f t="shared" si="8"/>
        <v>PP25-005</v>
      </c>
      <c r="U6" s="95"/>
      <c r="V6" s="95"/>
      <c r="W6" s="103"/>
      <c r="X6" s="103"/>
      <c r="Y6" s="103"/>
      <c r="Z6" s="104"/>
    </row>
    <row r="7" ht="49.5" customHeight="1">
      <c r="A7" s="90">
        <v>6.0</v>
      </c>
      <c r="B7" s="90" t="s">
        <v>2900</v>
      </c>
      <c r="C7" s="90" t="s">
        <v>54</v>
      </c>
      <c r="D7" s="92" t="str">
        <f t="shared" si="1"/>
        <v>PP25-006</v>
      </c>
      <c r="E7" s="92">
        <v>45659.0</v>
      </c>
      <c r="F7" s="107" t="s">
        <v>125</v>
      </c>
      <c r="G7" s="93" t="s">
        <v>2901</v>
      </c>
      <c r="H7" s="94" t="s">
        <v>19</v>
      </c>
      <c r="I7" s="94" t="s">
        <v>2906</v>
      </c>
      <c r="J7" s="95" t="s">
        <v>126</v>
      </c>
      <c r="K7" s="96">
        <v>1.821839E7</v>
      </c>
      <c r="L7" s="97"/>
      <c r="M7" s="97">
        <f t="shared" si="3"/>
        <v>18218390</v>
      </c>
      <c r="N7" s="98">
        <f t="shared" si="4"/>
        <v>2004022.9</v>
      </c>
      <c r="O7" s="97">
        <f t="shared" si="5"/>
        <v>20222412.9</v>
      </c>
      <c r="P7" s="99"/>
      <c r="Q7" s="90" t="s">
        <v>2907</v>
      </c>
      <c r="R7" s="100" t="str">
        <f t="shared" si="6"/>
        <v>#REF!</v>
      </c>
      <c r="S7" s="101" t="str">
        <f t="shared" si="7"/>
        <v>#REF!</v>
      </c>
      <c r="T7" s="102" t="str">
        <f t="shared" si="8"/>
        <v>PP25-006</v>
      </c>
      <c r="U7" s="95"/>
      <c r="V7" s="95"/>
      <c r="W7" s="103"/>
      <c r="X7" s="103"/>
      <c r="Y7" s="103"/>
      <c r="Z7" s="104"/>
    </row>
    <row r="8" ht="49.5" customHeight="1">
      <c r="A8" s="90">
        <v>7.0</v>
      </c>
      <c r="B8" s="90" t="s">
        <v>2900</v>
      </c>
      <c r="C8" s="92" t="s">
        <v>60</v>
      </c>
      <c r="D8" s="92" t="str">
        <f t="shared" si="1"/>
        <v>PP25-007</v>
      </c>
      <c r="E8" s="92">
        <v>45659.0</v>
      </c>
      <c r="F8" s="107" t="s">
        <v>125</v>
      </c>
      <c r="G8" s="93" t="s">
        <v>2901</v>
      </c>
      <c r="H8" s="94" t="s">
        <v>19</v>
      </c>
      <c r="I8" s="94" t="s">
        <v>2906</v>
      </c>
      <c r="J8" s="95" t="s">
        <v>128</v>
      </c>
      <c r="K8" s="96">
        <v>5786460.0</v>
      </c>
      <c r="L8" s="97"/>
      <c r="M8" s="97">
        <f t="shared" si="3"/>
        <v>5786460</v>
      </c>
      <c r="N8" s="98">
        <f t="shared" si="4"/>
        <v>636510.6</v>
      </c>
      <c r="O8" s="97">
        <f t="shared" si="5"/>
        <v>6422970.6</v>
      </c>
      <c r="P8" s="99"/>
      <c r="Q8" s="90" t="s">
        <v>2907</v>
      </c>
      <c r="R8" s="100" t="str">
        <f t="shared" si="6"/>
        <v>#REF!</v>
      </c>
      <c r="S8" s="101" t="str">
        <f t="shared" si="7"/>
        <v>#REF!</v>
      </c>
      <c r="T8" s="102" t="str">
        <f t="shared" si="8"/>
        <v>PP25-007</v>
      </c>
      <c r="U8" s="95"/>
      <c r="V8" s="95"/>
      <c r="W8" s="103"/>
      <c r="X8" s="103"/>
      <c r="Y8" s="103"/>
      <c r="Z8" s="104"/>
    </row>
    <row r="9" ht="49.5" customHeight="1">
      <c r="A9" s="90">
        <v>8.0</v>
      </c>
      <c r="B9" s="90" t="s">
        <v>2900</v>
      </c>
      <c r="C9" s="90" t="s">
        <v>66</v>
      </c>
      <c r="D9" s="92" t="str">
        <f t="shared" si="1"/>
        <v>PP25-008</v>
      </c>
      <c r="E9" s="92">
        <v>45659.0</v>
      </c>
      <c r="F9" s="107" t="s">
        <v>125</v>
      </c>
      <c r="G9" s="93" t="s">
        <v>2901</v>
      </c>
      <c r="H9" s="94" t="s">
        <v>19</v>
      </c>
      <c r="I9" s="94" t="s">
        <v>2906</v>
      </c>
      <c r="J9" s="95" t="s">
        <v>130</v>
      </c>
      <c r="K9" s="96">
        <v>3335910.0</v>
      </c>
      <c r="L9" s="97"/>
      <c r="M9" s="97">
        <f t="shared" si="3"/>
        <v>3335910</v>
      </c>
      <c r="N9" s="98">
        <f t="shared" si="4"/>
        <v>366950.1</v>
      </c>
      <c r="O9" s="97">
        <f t="shared" si="5"/>
        <v>3702860.1</v>
      </c>
      <c r="P9" s="99"/>
      <c r="Q9" s="90" t="s">
        <v>2907</v>
      </c>
      <c r="R9" s="100" t="str">
        <f t="shared" si="6"/>
        <v>#REF!</v>
      </c>
      <c r="S9" s="101" t="str">
        <f t="shared" si="7"/>
        <v>#REF!</v>
      </c>
      <c r="T9" s="102" t="str">
        <f t="shared" si="8"/>
        <v>PP25-008</v>
      </c>
      <c r="U9" s="109"/>
      <c r="V9" s="95"/>
      <c r="W9" s="103"/>
      <c r="X9" s="103"/>
      <c r="Y9" s="103"/>
      <c r="Z9" s="104"/>
    </row>
    <row r="10" ht="49.5" customHeight="1">
      <c r="A10" s="90">
        <v>9.0</v>
      </c>
      <c r="B10" s="90" t="s">
        <v>2900</v>
      </c>
      <c r="C10" s="92" t="s">
        <v>71</v>
      </c>
      <c r="D10" s="92" t="str">
        <f t="shared" si="1"/>
        <v>PP25-009</v>
      </c>
      <c r="E10" s="92">
        <v>45659.0</v>
      </c>
      <c r="F10" s="107" t="s">
        <v>125</v>
      </c>
      <c r="G10" s="93" t="s">
        <v>2901</v>
      </c>
      <c r="H10" s="94" t="s">
        <v>19</v>
      </c>
      <c r="I10" s="94" t="s">
        <v>2906</v>
      </c>
      <c r="J10" s="95" t="s">
        <v>132</v>
      </c>
      <c r="K10" s="96">
        <v>963883.0</v>
      </c>
      <c r="L10" s="97"/>
      <c r="M10" s="97">
        <f t="shared" si="3"/>
        <v>963883</v>
      </c>
      <c r="N10" s="98">
        <f t="shared" si="4"/>
        <v>106027.13</v>
      </c>
      <c r="O10" s="97">
        <f t="shared" si="5"/>
        <v>1069910.13</v>
      </c>
      <c r="P10" s="99"/>
      <c r="Q10" s="90" t="s">
        <v>2907</v>
      </c>
      <c r="R10" s="100" t="str">
        <f t="shared" si="6"/>
        <v>#REF!</v>
      </c>
      <c r="S10" s="101" t="str">
        <f t="shared" si="7"/>
        <v>#REF!</v>
      </c>
      <c r="T10" s="102" t="str">
        <f t="shared" si="8"/>
        <v>PP25-009</v>
      </c>
      <c r="U10" s="109"/>
      <c r="V10" s="95"/>
      <c r="W10" s="103"/>
      <c r="X10" s="103"/>
      <c r="Y10" s="103"/>
      <c r="Z10" s="104"/>
    </row>
    <row r="11" ht="49.5" customHeight="1">
      <c r="A11" s="90">
        <v>10.0</v>
      </c>
      <c r="B11" s="90" t="s">
        <v>2900</v>
      </c>
      <c r="C11" s="90" t="s">
        <v>79</v>
      </c>
      <c r="D11" s="92" t="str">
        <f t="shared" si="1"/>
        <v>PP25-010</v>
      </c>
      <c r="E11" s="92">
        <v>45659.0</v>
      </c>
      <c r="F11" s="110" t="s">
        <v>15</v>
      </c>
      <c r="G11" s="110" t="s">
        <v>194</v>
      </c>
      <c r="H11" s="94" t="s">
        <v>19</v>
      </c>
      <c r="I11" s="94" t="s">
        <v>2908</v>
      </c>
      <c r="J11" s="95" t="s">
        <v>136</v>
      </c>
      <c r="K11" s="96">
        <v>2.1865E8</v>
      </c>
      <c r="L11" s="97"/>
      <c r="M11" s="97">
        <f t="shared" si="3"/>
        <v>218650000</v>
      </c>
      <c r="N11" s="98">
        <f t="shared" si="4"/>
        <v>24051500</v>
      </c>
      <c r="O11" s="97">
        <f t="shared" si="5"/>
        <v>242701500</v>
      </c>
      <c r="P11" s="99"/>
      <c r="Q11" s="90" t="s">
        <v>2909</v>
      </c>
      <c r="R11" s="100" t="str">
        <f t="shared" si="6"/>
        <v>#REF!</v>
      </c>
      <c r="S11" s="101" t="str">
        <f t="shared" si="7"/>
        <v>#REF!</v>
      </c>
      <c r="T11" s="102" t="str">
        <f t="shared" si="8"/>
        <v>PP25-010</v>
      </c>
      <c r="U11" s="95"/>
      <c r="V11" s="95"/>
      <c r="W11" s="103"/>
      <c r="X11" s="103"/>
      <c r="Y11" s="103"/>
      <c r="Z11" s="104"/>
    </row>
    <row r="12" ht="49.5" customHeight="1">
      <c r="A12" s="90">
        <v>11.0</v>
      </c>
      <c r="B12" s="90" t="s">
        <v>2900</v>
      </c>
      <c r="C12" s="92" t="s">
        <v>86</v>
      </c>
      <c r="D12" s="92" t="str">
        <f t="shared" si="1"/>
        <v>PP25-011</v>
      </c>
      <c r="E12" s="92">
        <v>45659.0</v>
      </c>
      <c r="F12" s="93">
        <v>4.600003949E9</v>
      </c>
      <c r="G12" s="93" t="s">
        <v>2901</v>
      </c>
      <c r="H12" s="94" t="s">
        <v>19</v>
      </c>
      <c r="I12" s="94" t="s">
        <v>2910</v>
      </c>
      <c r="J12" s="95" t="s">
        <v>199</v>
      </c>
      <c r="K12" s="96">
        <v>3.32692942E8</v>
      </c>
      <c r="L12" s="97"/>
      <c r="M12" s="97">
        <f t="shared" si="3"/>
        <v>332692942</v>
      </c>
      <c r="N12" s="98">
        <f t="shared" si="4"/>
        <v>36596223.62</v>
      </c>
      <c r="O12" s="97">
        <f t="shared" si="5"/>
        <v>369289165.6</v>
      </c>
      <c r="P12" s="99"/>
      <c r="Q12" s="111" t="s">
        <v>2911</v>
      </c>
      <c r="R12" s="100" t="str">
        <f t="shared" si="6"/>
        <v>#REF!</v>
      </c>
      <c r="S12" s="101" t="str">
        <f t="shared" si="7"/>
        <v>#REF!</v>
      </c>
      <c r="T12" s="102" t="str">
        <f t="shared" si="8"/>
        <v>PP25-011</v>
      </c>
      <c r="U12" s="95"/>
      <c r="V12" s="95"/>
      <c r="W12" s="103"/>
      <c r="X12" s="103"/>
      <c r="Y12" s="103"/>
      <c r="Z12" s="104"/>
    </row>
    <row r="13" ht="49.5" customHeight="1">
      <c r="A13" s="90">
        <v>12.0</v>
      </c>
      <c r="B13" s="90" t="s">
        <v>2900</v>
      </c>
      <c r="C13" s="90" t="s">
        <v>93</v>
      </c>
      <c r="D13" s="92" t="str">
        <f t="shared" si="1"/>
        <v>PP25-012</v>
      </c>
      <c r="E13" s="92">
        <v>45659.0</v>
      </c>
      <c r="F13" s="93">
        <v>4.600003949E9</v>
      </c>
      <c r="G13" s="93" t="s">
        <v>2901</v>
      </c>
      <c r="H13" s="94" t="s">
        <v>19</v>
      </c>
      <c r="I13" s="94" t="s">
        <v>2910</v>
      </c>
      <c r="J13" s="95" t="s">
        <v>204</v>
      </c>
      <c r="K13" s="96">
        <v>1.8126244E7</v>
      </c>
      <c r="L13" s="97"/>
      <c r="M13" s="97">
        <f t="shared" si="3"/>
        <v>18126244</v>
      </c>
      <c r="N13" s="98">
        <f t="shared" si="4"/>
        <v>1993886.84</v>
      </c>
      <c r="O13" s="97">
        <f t="shared" si="5"/>
        <v>20120130.84</v>
      </c>
      <c r="P13" s="99"/>
      <c r="Q13" s="111" t="s">
        <v>2911</v>
      </c>
      <c r="R13" s="100" t="str">
        <f t="shared" si="6"/>
        <v>#REF!</v>
      </c>
      <c r="S13" s="101" t="str">
        <f t="shared" si="7"/>
        <v>#REF!</v>
      </c>
      <c r="T13" s="102" t="str">
        <f t="shared" si="8"/>
        <v>PP25-012</v>
      </c>
      <c r="U13" s="95"/>
      <c r="V13" s="95"/>
      <c r="W13" s="103"/>
      <c r="X13" s="103"/>
      <c r="Y13" s="103"/>
      <c r="Z13" s="104"/>
    </row>
    <row r="14" ht="49.5" customHeight="1">
      <c r="A14" s="90">
        <v>13.0</v>
      </c>
      <c r="B14" s="90" t="s">
        <v>2900</v>
      </c>
      <c r="C14" s="92" t="s">
        <v>2912</v>
      </c>
      <c r="D14" s="92" t="str">
        <f t="shared" si="1"/>
        <v>PP25-013</v>
      </c>
      <c r="E14" s="92">
        <v>45659.0</v>
      </c>
      <c r="F14" s="93">
        <v>4.600003949E9</v>
      </c>
      <c r="G14" s="93" t="s">
        <v>2901</v>
      </c>
      <c r="H14" s="94" t="s">
        <v>19</v>
      </c>
      <c r="I14" s="94" t="s">
        <v>2910</v>
      </c>
      <c r="J14" s="95" t="s">
        <v>210</v>
      </c>
      <c r="K14" s="96">
        <v>6.0044325E7</v>
      </c>
      <c r="L14" s="97"/>
      <c r="M14" s="97">
        <f t="shared" si="3"/>
        <v>60044325</v>
      </c>
      <c r="N14" s="98">
        <f t="shared" si="4"/>
        <v>6604875.75</v>
      </c>
      <c r="O14" s="97">
        <f t="shared" si="5"/>
        <v>66649200.75</v>
      </c>
      <c r="P14" s="99"/>
      <c r="Q14" s="111" t="s">
        <v>2911</v>
      </c>
      <c r="R14" s="100" t="str">
        <f t="shared" si="6"/>
        <v>#REF!</v>
      </c>
      <c r="S14" s="101" t="str">
        <f t="shared" si="7"/>
        <v>#REF!</v>
      </c>
      <c r="T14" s="102" t="str">
        <f t="shared" si="8"/>
        <v>PP25-013</v>
      </c>
      <c r="U14" s="95"/>
      <c r="V14" s="95"/>
      <c r="W14" s="103"/>
      <c r="X14" s="103"/>
      <c r="Y14" s="103"/>
      <c r="Z14" s="104"/>
    </row>
    <row r="15" ht="49.5" customHeight="1">
      <c r="A15" s="90">
        <v>14.0</v>
      </c>
      <c r="B15" s="90" t="s">
        <v>2900</v>
      </c>
      <c r="C15" s="90" t="s">
        <v>2913</v>
      </c>
      <c r="D15" s="92" t="str">
        <f t="shared" si="1"/>
        <v>PP25-014</v>
      </c>
      <c r="E15" s="92">
        <v>45659.0</v>
      </c>
      <c r="F15" s="93">
        <v>4.600003949E9</v>
      </c>
      <c r="G15" s="93" t="s">
        <v>2901</v>
      </c>
      <c r="H15" s="94" t="s">
        <v>19</v>
      </c>
      <c r="I15" s="94" t="s">
        <v>2910</v>
      </c>
      <c r="J15" s="95" t="s">
        <v>215</v>
      </c>
      <c r="K15" s="96">
        <v>3.1708691E7</v>
      </c>
      <c r="L15" s="97"/>
      <c r="M15" s="97">
        <f t="shared" si="3"/>
        <v>31708691</v>
      </c>
      <c r="N15" s="98">
        <f t="shared" si="4"/>
        <v>3487956.01</v>
      </c>
      <c r="O15" s="97">
        <f t="shared" si="5"/>
        <v>35196647.01</v>
      </c>
      <c r="P15" s="99"/>
      <c r="Q15" s="111" t="s">
        <v>2911</v>
      </c>
      <c r="R15" s="100" t="str">
        <f t="shared" si="6"/>
        <v>#REF!</v>
      </c>
      <c r="S15" s="101" t="str">
        <f t="shared" si="7"/>
        <v>#REF!</v>
      </c>
      <c r="T15" s="102" t="str">
        <f t="shared" si="8"/>
        <v>PP25-014</v>
      </c>
      <c r="U15" s="95"/>
      <c r="V15" s="95"/>
      <c r="W15" s="103"/>
      <c r="X15" s="103"/>
      <c r="Y15" s="103"/>
      <c r="Z15" s="104"/>
    </row>
    <row r="16" ht="49.5" customHeight="1">
      <c r="A16" s="90">
        <v>15.0</v>
      </c>
      <c r="B16" s="90" t="s">
        <v>2900</v>
      </c>
      <c r="C16" s="92" t="s">
        <v>2914</v>
      </c>
      <c r="D16" s="92" t="str">
        <f t="shared" si="1"/>
        <v>PP25-015</v>
      </c>
      <c r="E16" s="92">
        <v>45659.0</v>
      </c>
      <c r="F16" s="93">
        <v>4.600003949E9</v>
      </c>
      <c r="G16" s="93" t="s">
        <v>2901</v>
      </c>
      <c r="H16" s="94" t="s">
        <v>19</v>
      </c>
      <c r="I16" s="94" t="s">
        <v>2910</v>
      </c>
      <c r="J16" s="95" t="s">
        <v>220</v>
      </c>
      <c r="K16" s="96">
        <v>2.154088E7</v>
      </c>
      <c r="L16" s="97"/>
      <c r="M16" s="97">
        <f t="shared" si="3"/>
        <v>21540880</v>
      </c>
      <c r="N16" s="98">
        <f t="shared" si="4"/>
        <v>2369496.8</v>
      </c>
      <c r="O16" s="97">
        <f t="shared" si="5"/>
        <v>23910376.8</v>
      </c>
      <c r="P16" s="99"/>
      <c r="Q16" s="111" t="s">
        <v>2911</v>
      </c>
      <c r="R16" s="100" t="str">
        <f t="shared" si="6"/>
        <v>#REF!</v>
      </c>
      <c r="S16" s="101" t="str">
        <f t="shared" si="7"/>
        <v>#REF!</v>
      </c>
      <c r="T16" s="102" t="str">
        <f t="shared" si="8"/>
        <v>PP25-015</v>
      </c>
      <c r="U16" s="95"/>
      <c r="V16" s="95"/>
      <c r="W16" s="103"/>
      <c r="X16" s="103"/>
      <c r="Y16" s="103"/>
      <c r="Z16" s="104"/>
    </row>
    <row r="17" ht="49.5" customHeight="1">
      <c r="A17" s="90">
        <v>16.0</v>
      </c>
      <c r="B17" s="90" t="s">
        <v>2900</v>
      </c>
      <c r="C17" s="90" t="s">
        <v>2915</v>
      </c>
      <c r="D17" s="92" t="str">
        <f t="shared" si="1"/>
        <v>PP25-016</v>
      </c>
      <c r="E17" s="92">
        <v>45659.0</v>
      </c>
      <c r="F17" s="93">
        <v>4.600003949E9</v>
      </c>
      <c r="G17" s="93" t="s">
        <v>2901</v>
      </c>
      <c r="H17" s="94" t="s">
        <v>19</v>
      </c>
      <c r="I17" s="94" t="s">
        <v>2910</v>
      </c>
      <c r="J17" s="95" t="s">
        <v>225</v>
      </c>
      <c r="K17" s="96">
        <v>1.3853324E7</v>
      </c>
      <c r="L17" s="97"/>
      <c r="M17" s="97">
        <f t="shared" si="3"/>
        <v>13853324</v>
      </c>
      <c r="N17" s="98">
        <f t="shared" si="4"/>
        <v>1523865.64</v>
      </c>
      <c r="O17" s="97">
        <f t="shared" si="5"/>
        <v>15377189.64</v>
      </c>
      <c r="P17" s="99"/>
      <c r="Q17" s="111" t="s">
        <v>2911</v>
      </c>
      <c r="R17" s="100" t="str">
        <f t="shared" si="6"/>
        <v>#REF!</v>
      </c>
      <c r="S17" s="101" t="str">
        <f t="shared" si="7"/>
        <v>#REF!</v>
      </c>
      <c r="T17" s="102" t="str">
        <f t="shared" si="8"/>
        <v>PP25-016</v>
      </c>
      <c r="U17" s="95"/>
      <c r="V17" s="95"/>
      <c r="W17" s="103"/>
      <c r="X17" s="103"/>
      <c r="Y17" s="103"/>
      <c r="Z17" s="104"/>
    </row>
    <row r="18" ht="49.5" customHeight="1">
      <c r="A18" s="90">
        <v>17.0</v>
      </c>
      <c r="B18" s="90" t="s">
        <v>2900</v>
      </c>
      <c r="C18" s="92" t="s">
        <v>2916</v>
      </c>
      <c r="D18" s="92" t="str">
        <f t="shared" si="1"/>
        <v>PP25-017</v>
      </c>
      <c r="E18" s="92">
        <v>45659.0</v>
      </c>
      <c r="F18" s="93">
        <v>4.600003949E9</v>
      </c>
      <c r="G18" s="93" t="s">
        <v>2901</v>
      </c>
      <c r="H18" s="94" t="s">
        <v>19</v>
      </c>
      <c r="I18" s="94" t="s">
        <v>2910</v>
      </c>
      <c r="J18" s="95" t="s">
        <v>231</v>
      </c>
      <c r="K18" s="96">
        <v>6.4970504E7</v>
      </c>
      <c r="L18" s="97"/>
      <c r="M18" s="97">
        <f t="shared" si="3"/>
        <v>64970504</v>
      </c>
      <c r="N18" s="98">
        <f t="shared" si="4"/>
        <v>7146755.44</v>
      </c>
      <c r="O18" s="97">
        <f t="shared" si="5"/>
        <v>72117259.44</v>
      </c>
      <c r="P18" s="99"/>
      <c r="Q18" s="111" t="s">
        <v>2911</v>
      </c>
      <c r="R18" s="100" t="str">
        <f t="shared" si="6"/>
        <v>#REF!</v>
      </c>
      <c r="S18" s="101" t="str">
        <f t="shared" si="7"/>
        <v>#REF!</v>
      </c>
      <c r="T18" s="102" t="str">
        <f t="shared" si="8"/>
        <v>PP25-017</v>
      </c>
      <c r="U18" s="95"/>
      <c r="V18" s="95"/>
      <c r="W18" s="103"/>
      <c r="X18" s="103"/>
      <c r="Y18" s="103"/>
      <c r="Z18" s="104"/>
    </row>
    <row r="19" ht="49.5" customHeight="1">
      <c r="A19" s="90">
        <v>18.0</v>
      </c>
      <c r="B19" s="90" t="s">
        <v>2900</v>
      </c>
      <c r="C19" s="90" t="s">
        <v>2917</v>
      </c>
      <c r="D19" s="92" t="str">
        <f t="shared" si="1"/>
        <v>PP25-018</v>
      </c>
      <c r="E19" s="92">
        <v>45659.0</v>
      </c>
      <c r="F19" s="93">
        <v>4.600003949E9</v>
      </c>
      <c r="G19" s="93" t="s">
        <v>2901</v>
      </c>
      <c r="H19" s="94" t="s">
        <v>19</v>
      </c>
      <c r="I19" s="94" t="s">
        <v>2910</v>
      </c>
      <c r="J19" s="95" t="s">
        <v>255</v>
      </c>
      <c r="K19" s="96">
        <v>7487584.0</v>
      </c>
      <c r="L19" s="97"/>
      <c r="M19" s="97">
        <f t="shared" si="3"/>
        <v>7487584</v>
      </c>
      <c r="N19" s="98">
        <f t="shared" si="4"/>
        <v>823634.24</v>
      </c>
      <c r="O19" s="97">
        <f t="shared" si="5"/>
        <v>8311218.24</v>
      </c>
      <c r="P19" s="99"/>
      <c r="Q19" s="111" t="s">
        <v>2911</v>
      </c>
      <c r="R19" s="100" t="str">
        <f t="shared" si="6"/>
        <v>#REF!</v>
      </c>
      <c r="S19" s="101" t="str">
        <f t="shared" si="7"/>
        <v>#REF!</v>
      </c>
      <c r="T19" s="102" t="str">
        <f t="shared" si="8"/>
        <v>PP25-018</v>
      </c>
      <c r="U19" s="95"/>
      <c r="V19" s="95"/>
      <c r="W19" s="103"/>
      <c r="X19" s="103"/>
      <c r="Y19" s="103"/>
      <c r="Z19" s="104"/>
    </row>
    <row r="20" ht="49.5" customHeight="1">
      <c r="A20" s="90">
        <v>19.0</v>
      </c>
      <c r="B20" s="90" t="s">
        <v>2900</v>
      </c>
      <c r="C20" s="92" t="s">
        <v>2918</v>
      </c>
      <c r="D20" s="92" t="str">
        <f t="shared" si="1"/>
        <v>PP25-019</v>
      </c>
      <c r="E20" s="92">
        <v>45659.0</v>
      </c>
      <c r="F20" s="93">
        <v>4.65001716E9</v>
      </c>
      <c r="G20" s="93" t="s">
        <v>2901</v>
      </c>
      <c r="H20" s="94" t="s">
        <v>19</v>
      </c>
      <c r="I20" s="94" t="s">
        <v>2919</v>
      </c>
      <c r="J20" s="95" t="s">
        <v>167</v>
      </c>
      <c r="K20" s="96">
        <v>7.94391914E8</v>
      </c>
      <c r="L20" s="97">
        <f>K20*5.5%</f>
        <v>43691555.27</v>
      </c>
      <c r="M20" s="97">
        <f t="shared" si="3"/>
        <v>838083469.3</v>
      </c>
      <c r="N20" s="98">
        <f t="shared" si="4"/>
        <v>92189181.62</v>
      </c>
      <c r="O20" s="97">
        <f t="shared" si="5"/>
        <v>930272650.9</v>
      </c>
      <c r="P20" s="99"/>
      <c r="Q20" s="90" t="s">
        <v>2903</v>
      </c>
      <c r="R20" s="100" t="str">
        <f t="shared" si="6"/>
        <v>#REF!</v>
      </c>
      <c r="S20" s="101" t="str">
        <f t="shared" si="7"/>
        <v>#REF!</v>
      </c>
      <c r="T20" s="102" t="str">
        <f t="shared" si="8"/>
        <v>PP25-019</v>
      </c>
      <c r="U20" s="95"/>
      <c r="V20" s="95"/>
      <c r="W20" s="103"/>
      <c r="X20" s="103"/>
      <c r="Y20" s="103"/>
      <c r="Z20" s="104"/>
    </row>
    <row r="21" ht="49.5" customHeight="1">
      <c r="A21" s="90">
        <v>20.0</v>
      </c>
      <c r="B21" s="90" t="s">
        <v>2900</v>
      </c>
      <c r="C21" s="90" t="s">
        <v>2920</v>
      </c>
      <c r="D21" s="92" t="str">
        <f t="shared" si="1"/>
        <v>PP25-020</v>
      </c>
      <c r="E21" s="92">
        <v>45693.0</v>
      </c>
      <c r="F21" s="93">
        <v>4.650017814E9</v>
      </c>
      <c r="G21" s="93" t="s">
        <v>2901</v>
      </c>
      <c r="H21" s="94" t="s">
        <v>19</v>
      </c>
      <c r="I21" s="94" t="s">
        <v>2902</v>
      </c>
      <c r="J21" s="95" t="s">
        <v>170</v>
      </c>
      <c r="K21" s="96">
        <v>5.8335639E7</v>
      </c>
      <c r="L21" s="97">
        <f t="shared" ref="L21:L23" si="10">K21*6%</f>
        <v>3500138.34</v>
      </c>
      <c r="M21" s="97">
        <f t="shared" si="3"/>
        <v>61835777.34</v>
      </c>
      <c r="N21" s="98">
        <f t="shared" si="4"/>
        <v>6801935.507</v>
      </c>
      <c r="O21" s="97">
        <f t="shared" si="5"/>
        <v>68637712.85</v>
      </c>
      <c r="P21" s="99"/>
      <c r="Q21" s="90" t="s">
        <v>2903</v>
      </c>
      <c r="R21" s="100" t="str">
        <f t="shared" si="6"/>
        <v>#REF!</v>
      </c>
      <c r="S21" s="101" t="str">
        <f t="shared" si="7"/>
        <v>#REF!</v>
      </c>
      <c r="T21" s="102" t="str">
        <f t="shared" si="8"/>
        <v>PP25-020</v>
      </c>
      <c r="U21" s="95"/>
      <c r="V21" s="95"/>
      <c r="W21" s="103"/>
      <c r="X21" s="103"/>
      <c r="Y21" s="103"/>
      <c r="Z21" s="103"/>
    </row>
    <row r="22" ht="49.5" customHeight="1">
      <c r="A22" s="90">
        <v>21.0</v>
      </c>
      <c r="B22" s="90" t="s">
        <v>2900</v>
      </c>
      <c r="C22" s="92" t="s">
        <v>2921</v>
      </c>
      <c r="D22" s="92" t="str">
        <f t="shared" si="1"/>
        <v>PP25-021</v>
      </c>
      <c r="E22" s="92">
        <v>45693.0</v>
      </c>
      <c r="F22" s="93">
        <v>4.650017814E9</v>
      </c>
      <c r="G22" s="93" t="s">
        <v>2901</v>
      </c>
      <c r="H22" s="94" t="s">
        <v>19</v>
      </c>
      <c r="I22" s="112" t="s">
        <v>2904</v>
      </c>
      <c r="J22" s="95" t="s">
        <v>173</v>
      </c>
      <c r="K22" s="96">
        <v>3.9290244E7</v>
      </c>
      <c r="L22" s="97">
        <f t="shared" si="10"/>
        <v>2357414.64</v>
      </c>
      <c r="M22" s="97">
        <f t="shared" si="3"/>
        <v>41647658.64</v>
      </c>
      <c r="N22" s="98">
        <f t="shared" si="4"/>
        <v>4581242.45</v>
      </c>
      <c r="O22" s="97">
        <f t="shared" si="5"/>
        <v>46228901.09</v>
      </c>
      <c r="P22" s="99"/>
      <c r="Q22" s="90" t="s">
        <v>2903</v>
      </c>
      <c r="R22" s="100" t="str">
        <f t="shared" si="6"/>
        <v>#REF!</v>
      </c>
      <c r="S22" s="101" t="str">
        <f t="shared" si="7"/>
        <v>#REF!</v>
      </c>
      <c r="T22" s="102" t="str">
        <f t="shared" si="8"/>
        <v>PP25-021</v>
      </c>
      <c r="U22" s="95"/>
      <c r="V22" s="95"/>
      <c r="W22" s="103"/>
      <c r="X22" s="103"/>
      <c r="Y22" s="103"/>
      <c r="Z22" s="104"/>
    </row>
    <row r="23" ht="49.5" customHeight="1">
      <c r="A23" s="90">
        <v>22.0</v>
      </c>
      <c r="B23" s="90" t="s">
        <v>2900</v>
      </c>
      <c r="C23" s="90" t="s">
        <v>2922</v>
      </c>
      <c r="D23" s="92" t="str">
        <f t="shared" si="1"/>
        <v>PP25-022</v>
      </c>
      <c r="E23" s="92">
        <v>45693.0</v>
      </c>
      <c r="F23" s="93">
        <v>4.650017814E9</v>
      </c>
      <c r="G23" s="93" t="s">
        <v>2901</v>
      </c>
      <c r="H23" s="94" t="s">
        <v>19</v>
      </c>
      <c r="I23" s="112" t="s">
        <v>2905</v>
      </c>
      <c r="J23" s="95" t="s">
        <v>176</v>
      </c>
      <c r="K23" s="113">
        <v>4.13307875E8</v>
      </c>
      <c r="L23" s="97">
        <f t="shared" si="10"/>
        <v>24798472.5</v>
      </c>
      <c r="M23" s="98">
        <f t="shared" si="3"/>
        <v>438106347.5</v>
      </c>
      <c r="N23" s="98">
        <f t="shared" si="4"/>
        <v>48191698.23</v>
      </c>
      <c r="O23" s="98">
        <f t="shared" si="5"/>
        <v>486298045.7</v>
      </c>
      <c r="P23" s="99"/>
      <c r="Q23" s="90" t="s">
        <v>2903</v>
      </c>
      <c r="R23" s="100" t="str">
        <f t="shared" si="6"/>
        <v>#REF!</v>
      </c>
      <c r="S23" s="101" t="str">
        <f t="shared" si="7"/>
        <v>#REF!</v>
      </c>
      <c r="T23" s="102" t="str">
        <f t="shared" si="8"/>
        <v>PP25-022</v>
      </c>
      <c r="U23" s="99"/>
      <c r="V23" s="99"/>
      <c r="W23" s="114"/>
      <c r="X23" s="114"/>
      <c r="Y23" s="114"/>
      <c r="Z23" s="115"/>
    </row>
    <row r="24" ht="49.5" customHeight="1">
      <c r="A24" s="90">
        <v>23.0</v>
      </c>
      <c r="B24" s="90" t="s">
        <v>2900</v>
      </c>
      <c r="C24" s="92" t="s">
        <v>2923</v>
      </c>
      <c r="D24" s="92" t="str">
        <f t="shared" si="1"/>
        <v>PP25-023</v>
      </c>
      <c r="E24" s="92">
        <v>45698.0</v>
      </c>
      <c r="F24" s="93" t="s">
        <v>295</v>
      </c>
      <c r="G24" s="93" t="s">
        <v>2901</v>
      </c>
      <c r="H24" s="94" t="s">
        <v>19</v>
      </c>
      <c r="I24" s="94" t="s">
        <v>2924</v>
      </c>
      <c r="J24" s="95" t="s">
        <v>296</v>
      </c>
      <c r="K24" s="96">
        <v>4.872333E7</v>
      </c>
      <c r="L24" s="97"/>
      <c r="M24" s="97">
        <f t="shared" si="3"/>
        <v>48723330</v>
      </c>
      <c r="N24" s="98">
        <f t="shared" si="4"/>
        <v>5359566.3</v>
      </c>
      <c r="O24" s="97">
        <f t="shared" si="5"/>
        <v>54082896.3</v>
      </c>
      <c r="P24" s="99"/>
      <c r="Q24" s="90" t="s">
        <v>2903</v>
      </c>
      <c r="R24" s="100" t="str">
        <f t="shared" si="6"/>
        <v>#REF!</v>
      </c>
      <c r="S24" s="101" t="str">
        <f t="shared" si="7"/>
        <v>#REF!</v>
      </c>
      <c r="T24" s="102" t="str">
        <f t="shared" si="8"/>
        <v>PP25-023</v>
      </c>
      <c r="U24" s="95"/>
      <c r="V24" s="95"/>
      <c r="W24" s="103"/>
      <c r="X24" s="103"/>
      <c r="Y24" s="103"/>
      <c r="Z24" s="104"/>
    </row>
    <row r="25" ht="49.5" customHeight="1">
      <c r="A25" s="90">
        <v>24.0</v>
      </c>
      <c r="B25" s="90" t="s">
        <v>2900</v>
      </c>
      <c r="C25" s="90" t="s">
        <v>2925</v>
      </c>
      <c r="D25" s="92" t="str">
        <f t="shared" si="1"/>
        <v>PP25-024</v>
      </c>
      <c r="E25" s="92">
        <v>45698.0</v>
      </c>
      <c r="F25" s="93">
        <v>4.650017814E9</v>
      </c>
      <c r="G25" s="93" t="s">
        <v>2901</v>
      </c>
      <c r="H25" s="94" t="s">
        <v>19</v>
      </c>
      <c r="I25" s="94" t="s">
        <v>2902</v>
      </c>
      <c r="J25" s="95" t="s">
        <v>180</v>
      </c>
      <c r="K25" s="96">
        <v>2.840158E7</v>
      </c>
      <c r="L25" s="97">
        <f t="shared" ref="L25:L27" si="11">K25*6%</f>
        <v>1704094.8</v>
      </c>
      <c r="M25" s="97">
        <f t="shared" si="3"/>
        <v>30105674.8</v>
      </c>
      <c r="N25" s="98">
        <f t="shared" si="4"/>
        <v>3311624.228</v>
      </c>
      <c r="O25" s="97">
        <f t="shared" si="5"/>
        <v>33417299.03</v>
      </c>
      <c r="P25" s="99"/>
      <c r="Q25" s="90" t="s">
        <v>2903</v>
      </c>
      <c r="R25" s="100" t="str">
        <f t="shared" si="6"/>
        <v>#REF!</v>
      </c>
      <c r="S25" s="101" t="str">
        <f t="shared" si="7"/>
        <v>#REF!</v>
      </c>
      <c r="T25" s="102" t="str">
        <f t="shared" si="8"/>
        <v>PP25-024</v>
      </c>
      <c r="U25" s="95"/>
      <c r="V25" s="95"/>
      <c r="W25" s="103"/>
      <c r="X25" s="103"/>
      <c r="Y25" s="103"/>
      <c r="Z25" s="104"/>
    </row>
    <row r="26" ht="49.5" customHeight="1">
      <c r="A26" s="90">
        <v>25.0</v>
      </c>
      <c r="B26" s="90" t="s">
        <v>2900</v>
      </c>
      <c r="C26" s="92" t="s">
        <v>2926</v>
      </c>
      <c r="D26" s="92" t="str">
        <f t="shared" si="1"/>
        <v>PP25-025</v>
      </c>
      <c r="E26" s="92">
        <v>45698.0</v>
      </c>
      <c r="F26" s="93">
        <v>4.650017814E9</v>
      </c>
      <c r="G26" s="93" t="s">
        <v>2901</v>
      </c>
      <c r="H26" s="94" t="s">
        <v>19</v>
      </c>
      <c r="I26" s="94" t="s">
        <v>2904</v>
      </c>
      <c r="J26" s="95" t="s">
        <v>183</v>
      </c>
      <c r="K26" s="96">
        <v>4.0100894E7</v>
      </c>
      <c r="L26" s="97">
        <f t="shared" si="11"/>
        <v>2406053.64</v>
      </c>
      <c r="M26" s="97">
        <f t="shared" si="3"/>
        <v>42506947.64</v>
      </c>
      <c r="N26" s="98">
        <f t="shared" si="4"/>
        <v>4675764.24</v>
      </c>
      <c r="O26" s="97">
        <f t="shared" si="5"/>
        <v>47182711.88</v>
      </c>
      <c r="P26" s="99"/>
      <c r="Q26" s="90" t="s">
        <v>2903</v>
      </c>
      <c r="R26" s="100" t="str">
        <f t="shared" si="6"/>
        <v>#REF!</v>
      </c>
      <c r="S26" s="101" t="str">
        <f t="shared" si="7"/>
        <v>#REF!</v>
      </c>
      <c r="T26" s="102" t="str">
        <f t="shared" si="8"/>
        <v>PP25-025</v>
      </c>
      <c r="U26" s="95"/>
      <c r="V26" s="95"/>
      <c r="W26" s="103"/>
      <c r="X26" s="103"/>
      <c r="Y26" s="103"/>
      <c r="Z26" s="104"/>
    </row>
    <row r="27" ht="49.5" customHeight="1">
      <c r="A27" s="90">
        <v>26.0</v>
      </c>
      <c r="B27" s="90" t="s">
        <v>2900</v>
      </c>
      <c r="C27" s="90" t="s">
        <v>2927</v>
      </c>
      <c r="D27" s="92" t="str">
        <f t="shared" si="1"/>
        <v>PP25-026</v>
      </c>
      <c r="E27" s="92">
        <v>45698.0</v>
      </c>
      <c r="F27" s="93">
        <v>4.650017814E9</v>
      </c>
      <c r="G27" s="93" t="s">
        <v>2901</v>
      </c>
      <c r="H27" s="94" t="s">
        <v>19</v>
      </c>
      <c r="I27" s="94" t="s">
        <v>2905</v>
      </c>
      <c r="J27" s="95" t="s">
        <v>185</v>
      </c>
      <c r="K27" s="96">
        <v>8.3102759E7</v>
      </c>
      <c r="L27" s="97">
        <f t="shared" si="11"/>
        <v>4986165.54</v>
      </c>
      <c r="M27" s="97">
        <f t="shared" si="3"/>
        <v>88088924.54</v>
      </c>
      <c r="N27" s="98">
        <f t="shared" si="4"/>
        <v>9689781.699</v>
      </c>
      <c r="O27" s="97">
        <f t="shared" si="5"/>
        <v>97778706.24</v>
      </c>
      <c r="P27" s="99"/>
      <c r="Q27" s="90" t="s">
        <v>2903</v>
      </c>
      <c r="R27" s="100" t="str">
        <f t="shared" si="6"/>
        <v>#REF!</v>
      </c>
      <c r="S27" s="101" t="str">
        <f t="shared" si="7"/>
        <v>#REF!</v>
      </c>
      <c r="T27" s="102" t="str">
        <f t="shared" si="8"/>
        <v>PP25-026</v>
      </c>
      <c r="U27" s="95"/>
      <c r="V27" s="95"/>
      <c r="W27" s="103"/>
      <c r="X27" s="103"/>
      <c r="Y27" s="103"/>
      <c r="Z27" s="104"/>
    </row>
    <row r="28" ht="49.5" customHeight="1">
      <c r="A28" s="90">
        <v>27.0</v>
      </c>
      <c r="B28" s="90" t="s">
        <v>2900</v>
      </c>
      <c r="C28" s="92" t="s">
        <v>2928</v>
      </c>
      <c r="D28" s="92" t="str">
        <f t="shared" si="1"/>
        <v>PP25-027</v>
      </c>
      <c r="E28" s="92">
        <v>45702.0</v>
      </c>
      <c r="F28" s="93">
        <v>4.65001716E9</v>
      </c>
      <c r="G28" s="93" t="s">
        <v>2901</v>
      </c>
      <c r="H28" s="94" t="s">
        <v>19</v>
      </c>
      <c r="I28" s="94" t="s">
        <v>2919</v>
      </c>
      <c r="J28" s="95" t="s">
        <v>187</v>
      </c>
      <c r="K28" s="96">
        <v>2.738832E7</v>
      </c>
      <c r="L28" s="97">
        <f t="shared" ref="L28:L29" si="12">K28*5.5%</f>
        <v>1506357.6</v>
      </c>
      <c r="M28" s="97">
        <f t="shared" si="3"/>
        <v>28894677.6</v>
      </c>
      <c r="N28" s="98">
        <f>L28*11%</f>
        <v>165699.336</v>
      </c>
      <c r="O28" s="97">
        <f t="shared" si="5"/>
        <v>29060376.94</v>
      </c>
      <c r="P28" s="99"/>
      <c r="Q28" s="90" t="s">
        <v>2903</v>
      </c>
      <c r="R28" s="100" t="str">
        <f t="shared" si="6"/>
        <v>#REF!</v>
      </c>
      <c r="S28" s="101" t="str">
        <f t="shared" si="7"/>
        <v>#REF!</v>
      </c>
      <c r="T28" s="102" t="str">
        <f t="shared" si="8"/>
        <v>PP25-027</v>
      </c>
      <c r="U28" s="95"/>
      <c r="V28" s="95"/>
      <c r="W28" s="103"/>
      <c r="X28" s="103"/>
      <c r="Y28" s="103"/>
      <c r="Z28" s="104"/>
    </row>
    <row r="29" ht="49.5" customHeight="1">
      <c r="A29" s="90">
        <v>28.0</v>
      </c>
      <c r="B29" s="90" t="s">
        <v>2900</v>
      </c>
      <c r="C29" s="90" t="s">
        <v>2929</v>
      </c>
      <c r="D29" s="92" t="str">
        <f t="shared" si="1"/>
        <v>PP25-028</v>
      </c>
      <c r="E29" s="92">
        <v>45702.0</v>
      </c>
      <c r="F29" s="93">
        <v>4.65001716E9</v>
      </c>
      <c r="G29" s="93" t="s">
        <v>2901</v>
      </c>
      <c r="H29" s="94" t="s">
        <v>19</v>
      </c>
      <c r="I29" s="94" t="s">
        <v>2919</v>
      </c>
      <c r="J29" s="95" t="s">
        <v>189</v>
      </c>
      <c r="K29" s="96">
        <v>1.552E8</v>
      </c>
      <c r="L29" s="97">
        <f t="shared" si="12"/>
        <v>8536000</v>
      </c>
      <c r="M29" s="97">
        <f t="shared" si="3"/>
        <v>163736000</v>
      </c>
      <c r="N29" s="98">
        <f t="shared" ref="N29:N58" si="13">M29*11%</f>
        <v>18010960</v>
      </c>
      <c r="O29" s="97">
        <f t="shared" si="5"/>
        <v>181746960</v>
      </c>
      <c r="P29" s="99"/>
      <c r="Q29" s="90" t="s">
        <v>2903</v>
      </c>
      <c r="R29" s="100" t="str">
        <f t="shared" si="6"/>
        <v>#REF!</v>
      </c>
      <c r="S29" s="101" t="str">
        <f t="shared" si="7"/>
        <v>#REF!</v>
      </c>
      <c r="T29" s="102" t="str">
        <f t="shared" si="8"/>
        <v>PP25-028</v>
      </c>
      <c r="U29" s="95"/>
      <c r="V29" s="95"/>
      <c r="W29" s="103"/>
      <c r="X29" s="103"/>
      <c r="Y29" s="103"/>
      <c r="Z29" s="104"/>
    </row>
    <row r="30" ht="49.5" customHeight="1">
      <c r="A30" s="90">
        <v>29.0</v>
      </c>
      <c r="B30" s="90" t="s">
        <v>2900</v>
      </c>
      <c r="C30" s="92" t="s">
        <v>2930</v>
      </c>
      <c r="D30" s="92" t="str">
        <f t="shared" si="1"/>
        <v>PP25-029</v>
      </c>
      <c r="E30" s="92">
        <v>45705.0</v>
      </c>
      <c r="F30" s="93">
        <v>3.900540206E9</v>
      </c>
      <c r="G30" s="93" t="s">
        <v>2901</v>
      </c>
      <c r="H30" s="94" t="s">
        <v>19</v>
      </c>
      <c r="I30" s="94" t="s">
        <v>2931</v>
      </c>
      <c r="J30" s="95" t="s">
        <v>191</v>
      </c>
      <c r="K30" s="96">
        <v>2.70152363E8</v>
      </c>
      <c r="L30" s="97">
        <f>K30*6.3%</f>
        <v>17019598.87</v>
      </c>
      <c r="M30" s="97">
        <f t="shared" si="3"/>
        <v>287171961.9</v>
      </c>
      <c r="N30" s="98">
        <f t="shared" si="13"/>
        <v>31588915.81</v>
      </c>
      <c r="O30" s="97">
        <f t="shared" si="5"/>
        <v>318760877.7</v>
      </c>
      <c r="P30" s="99"/>
      <c r="Q30" s="90" t="s">
        <v>2903</v>
      </c>
      <c r="R30" s="100" t="str">
        <f t="shared" si="6"/>
        <v>#REF!</v>
      </c>
      <c r="S30" s="101" t="str">
        <f t="shared" si="7"/>
        <v>#REF!</v>
      </c>
      <c r="T30" s="102" t="str">
        <f t="shared" si="8"/>
        <v>PP25-029</v>
      </c>
      <c r="U30" s="95"/>
      <c r="V30" s="95"/>
      <c r="W30" s="103"/>
      <c r="X30" s="103"/>
      <c r="Y30" s="103"/>
      <c r="Z30" s="104"/>
    </row>
    <row r="31" ht="49.5" customHeight="1">
      <c r="A31" s="90">
        <v>30.0</v>
      </c>
      <c r="B31" s="90" t="s">
        <v>2900</v>
      </c>
      <c r="C31" s="90" t="s">
        <v>2932</v>
      </c>
      <c r="D31" s="92" t="str">
        <f t="shared" si="1"/>
        <v>PP25-030</v>
      </c>
      <c r="E31" s="92">
        <v>45713.0</v>
      </c>
      <c r="F31" s="110" t="s">
        <v>15</v>
      </c>
      <c r="G31" s="110" t="s">
        <v>194</v>
      </c>
      <c r="H31" s="94" t="s">
        <v>19</v>
      </c>
      <c r="I31" s="94" t="s">
        <v>2908</v>
      </c>
      <c r="J31" s="95" t="s">
        <v>193</v>
      </c>
      <c r="K31" s="96">
        <v>2.1865E8</v>
      </c>
      <c r="L31" s="97"/>
      <c r="M31" s="97">
        <f t="shared" si="3"/>
        <v>218650000</v>
      </c>
      <c r="N31" s="98">
        <f t="shared" si="13"/>
        <v>24051500</v>
      </c>
      <c r="O31" s="97">
        <f t="shared" si="5"/>
        <v>242701500</v>
      </c>
      <c r="P31" s="99"/>
      <c r="Q31" s="90" t="s">
        <v>21</v>
      </c>
      <c r="R31" s="100" t="str">
        <f t="shared" si="6"/>
        <v>#REF!</v>
      </c>
      <c r="S31" s="101" t="str">
        <f t="shared" si="7"/>
        <v>#REF!</v>
      </c>
      <c r="T31" s="102" t="str">
        <f t="shared" si="8"/>
        <v>PP25-030</v>
      </c>
      <c r="U31" s="95"/>
      <c r="V31" s="95"/>
      <c r="W31" s="103"/>
      <c r="X31" s="103"/>
      <c r="Y31" s="103"/>
      <c r="Z31" s="103"/>
    </row>
    <row r="32" ht="49.5" customHeight="1">
      <c r="A32" s="90">
        <v>31.0</v>
      </c>
      <c r="B32" s="90" t="s">
        <v>2900</v>
      </c>
      <c r="C32" s="92" t="s">
        <v>2933</v>
      </c>
      <c r="D32" s="92" t="str">
        <f t="shared" si="1"/>
        <v>PP25-031</v>
      </c>
      <c r="E32" s="92">
        <v>45714.0</v>
      </c>
      <c r="F32" s="93">
        <v>4.600003949E9</v>
      </c>
      <c r="G32" s="93" t="s">
        <v>2901</v>
      </c>
      <c r="H32" s="94" t="s">
        <v>19</v>
      </c>
      <c r="I32" s="94" t="s">
        <v>2910</v>
      </c>
      <c r="J32" s="95" t="s">
        <v>337</v>
      </c>
      <c r="K32" s="96">
        <v>3.14502577E8</v>
      </c>
      <c r="L32" s="97">
        <f t="shared" ref="L32:L38" si="14">K32*5.8%</f>
        <v>18241149.47</v>
      </c>
      <c r="M32" s="97">
        <f t="shared" si="3"/>
        <v>332743726.5</v>
      </c>
      <c r="N32" s="98">
        <f t="shared" si="13"/>
        <v>36601809.91</v>
      </c>
      <c r="O32" s="97">
        <f t="shared" si="5"/>
        <v>369345536.4</v>
      </c>
      <c r="P32" s="99"/>
      <c r="Q32" s="90" t="s">
        <v>2934</v>
      </c>
      <c r="R32" s="100" t="str">
        <f t="shared" si="6"/>
        <v>#REF!</v>
      </c>
      <c r="S32" s="101" t="str">
        <f t="shared" si="7"/>
        <v>#REF!</v>
      </c>
      <c r="T32" s="102" t="str">
        <f t="shared" si="8"/>
        <v>PP25-031</v>
      </c>
      <c r="U32" s="95"/>
      <c r="V32" s="95"/>
      <c r="W32" s="103"/>
      <c r="X32" s="103"/>
      <c r="Y32" s="103"/>
      <c r="Z32" s="103"/>
    </row>
    <row r="33" ht="49.5" customHeight="1">
      <c r="A33" s="90">
        <v>32.0</v>
      </c>
      <c r="B33" s="90" t="s">
        <v>2900</v>
      </c>
      <c r="C33" s="90" t="s">
        <v>2935</v>
      </c>
      <c r="D33" s="92" t="str">
        <f t="shared" si="1"/>
        <v>PP25-032</v>
      </c>
      <c r="E33" s="92">
        <v>45714.0</v>
      </c>
      <c r="F33" s="93">
        <v>4.600003949E9</v>
      </c>
      <c r="G33" s="93" t="s">
        <v>2901</v>
      </c>
      <c r="H33" s="94" t="s">
        <v>19</v>
      </c>
      <c r="I33" s="94" t="s">
        <v>2910</v>
      </c>
      <c r="J33" s="95" t="s">
        <v>343</v>
      </c>
      <c r="K33" s="96">
        <v>1.7132556E7</v>
      </c>
      <c r="L33" s="97">
        <f t="shared" si="14"/>
        <v>993688.248</v>
      </c>
      <c r="M33" s="97">
        <f t="shared" si="3"/>
        <v>18126244.25</v>
      </c>
      <c r="N33" s="98">
        <f t="shared" si="13"/>
        <v>1993886.867</v>
      </c>
      <c r="O33" s="97">
        <f t="shared" si="5"/>
        <v>20120131.12</v>
      </c>
      <c r="P33" s="99"/>
      <c r="Q33" s="90" t="s">
        <v>2934</v>
      </c>
      <c r="R33" s="100" t="str">
        <f t="shared" si="6"/>
        <v>#REF!</v>
      </c>
      <c r="S33" s="101" t="str">
        <f t="shared" si="7"/>
        <v>#REF!</v>
      </c>
      <c r="T33" s="102" t="str">
        <f t="shared" si="8"/>
        <v>PP25-032</v>
      </c>
      <c r="U33" s="95"/>
      <c r="V33" s="95"/>
      <c r="W33" s="103"/>
      <c r="X33" s="103"/>
      <c r="Y33" s="103"/>
      <c r="Z33" s="104"/>
    </row>
    <row r="34" ht="49.5" customHeight="1">
      <c r="A34" s="90">
        <v>33.0</v>
      </c>
      <c r="B34" s="90" t="s">
        <v>2900</v>
      </c>
      <c r="C34" s="92" t="s">
        <v>2936</v>
      </c>
      <c r="D34" s="92" t="str">
        <f t="shared" si="1"/>
        <v>PP25-033</v>
      </c>
      <c r="E34" s="92">
        <v>45714.0</v>
      </c>
      <c r="F34" s="93">
        <v>4.600003949E9</v>
      </c>
      <c r="G34" s="93" t="s">
        <v>2901</v>
      </c>
      <c r="H34" s="94" t="s">
        <v>19</v>
      </c>
      <c r="I34" s="94" t="s">
        <v>2910</v>
      </c>
      <c r="J34" s="95" t="s">
        <v>346</v>
      </c>
      <c r="K34" s="96">
        <v>7.7207133E7</v>
      </c>
      <c r="L34" s="97">
        <f t="shared" si="14"/>
        <v>4478013.714</v>
      </c>
      <c r="M34" s="97">
        <f t="shared" si="3"/>
        <v>81685146.71</v>
      </c>
      <c r="N34" s="98">
        <f t="shared" si="13"/>
        <v>8985366.139</v>
      </c>
      <c r="O34" s="97">
        <f t="shared" si="5"/>
        <v>90670512.85</v>
      </c>
      <c r="P34" s="99"/>
      <c r="Q34" s="90" t="s">
        <v>2934</v>
      </c>
      <c r="R34" s="100" t="str">
        <f t="shared" si="6"/>
        <v>#REF!</v>
      </c>
      <c r="S34" s="101" t="str">
        <f t="shared" si="7"/>
        <v>#REF!</v>
      </c>
      <c r="T34" s="102" t="str">
        <f t="shared" si="8"/>
        <v>PP25-033</v>
      </c>
      <c r="U34" s="95"/>
      <c r="V34" s="95"/>
      <c r="W34" s="103"/>
      <c r="X34" s="103"/>
      <c r="Y34" s="103"/>
      <c r="Z34" s="104"/>
    </row>
    <row r="35" ht="49.5" customHeight="1">
      <c r="A35" s="90">
        <v>34.0</v>
      </c>
      <c r="B35" s="90" t="s">
        <v>2900</v>
      </c>
      <c r="C35" s="90" t="s">
        <v>2937</v>
      </c>
      <c r="D35" s="92" t="str">
        <f t="shared" si="1"/>
        <v>PP25-034</v>
      </c>
      <c r="E35" s="92">
        <v>45714.0</v>
      </c>
      <c r="F35" s="93">
        <v>4.600003949E9</v>
      </c>
      <c r="G35" s="93" t="s">
        <v>2901</v>
      </c>
      <c r="H35" s="94" t="s">
        <v>19</v>
      </c>
      <c r="I35" s="94" t="s">
        <v>2910</v>
      </c>
      <c r="J35" s="95" t="s">
        <v>352</v>
      </c>
      <c r="K35" s="96">
        <v>3.2142681E7</v>
      </c>
      <c r="L35" s="97">
        <f t="shared" si="14"/>
        <v>1864275.498</v>
      </c>
      <c r="M35" s="97">
        <f t="shared" si="3"/>
        <v>34006956.5</v>
      </c>
      <c r="N35" s="98">
        <f t="shared" si="13"/>
        <v>3740765.215</v>
      </c>
      <c r="O35" s="97">
        <f t="shared" si="5"/>
        <v>37747721.71</v>
      </c>
      <c r="P35" s="99"/>
      <c r="Q35" s="90" t="s">
        <v>2934</v>
      </c>
      <c r="R35" s="100" t="str">
        <f t="shared" si="6"/>
        <v>#REF!</v>
      </c>
      <c r="S35" s="101" t="str">
        <f t="shared" si="7"/>
        <v>#REF!</v>
      </c>
      <c r="T35" s="102" t="str">
        <f t="shared" si="8"/>
        <v>PP25-034</v>
      </c>
      <c r="U35" s="95"/>
      <c r="V35" s="95"/>
      <c r="W35" s="103"/>
      <c r="X35" s="103"/>
      <c r="Y35" s="103"/>
      <c r="Z35" s="104"/>
    </row>
    <row r="36" ht="49.5" customHeight="1">
      <c r="A36" s="90">
        <v>35.0</v>
      </c>
      <c r="B36" s="90" t="s">
        <v>2900</v>
      </c>
      <c r="C36" s="92" t="s">
        <v>2938</v>
      </c>
      <c r="D36" s="92" t="str">
        <f t="shared" si="1"/>
        <v>PP25-035</v>
      </c>
      <c r="E36" s="92">
        <v>45714.0</v>
      </c>
      <c r="F36" s="93">
        <v>4.600003949E9</v>
      </c>
      <c r="G36" s="93" t="s">
        <v>2901</v>
      </c>
      <c r="H36" s="94" t="s">
        <v>19</v>
      </c>
      <c r="I36" s="94" t="s">
        <v>2910</v>
      </c>
      <c r="J36" s="95" t="s">
        <v>352</v>
      </c>
      <c r="K36" s="96">
        <v>6.4476131E7</v>
      </c>
      <c r="L36" s="97">
        <f t="shared" si="14"/>
        <v>3739615.598</v>
      </c>
      <c r="M36" s="97">
        <f t="shared" si="3"/>
        <v>68215746.6</v>
      </c>
      <c r="N36" s="98">
        <f t="shared" si="13"/>
        <v>7503732.126</v>
      </c>
      <c r="O36" s="97">
        <f t="shared" si="5"/>
        <v>75719478.72</v>
      </c>
      <c r="P36" s="99"/>
      <c r="Q36" s="90" t="s">
        <v>2934</v>
      </c>
      <c r="R36" s="100" t="str">
        <f t="shared" si="6"/>
        <v>#REF!</v>
      </c>
      <c r="S36" s="101" t="str">
        <f t="shared" si="7"/>
        <v>#REF!</v>
      </c>
      <c r="T36" s="102" t="str">
        <f t="shared" si="8"/>
        <v>PP25-035</v>
      </c>
      <c r="U36" s="95"/>
      <c r="V36" s="95"/>
      <c r="W36" s="103"/>
      <c r="X36" s="103"/>
      <c r="Y36" s="103"/>
      <c r="Z36" s="104"/>
    </row>
    <row r="37" ht="49.5" customHeight="1">
      <c r="A37" s="90">
        <v>36.0</v>
      </c>
      <c r="B37" s="90" t="s">
        <v>2900</v>
      </c>
      <c r="C37" s="90" t="s">
        <v>2939</v>
      </c>
      <c r="D37" s="92" t="str">
        <f t="shared" si="1"/>
        <v>PP25-036</v>
      </c>
      <c r="E37" s="92">
        <v>45714.0</v>
      </c>
      <c r="F37" s="93">
        <v>4.600003949E9</v>
      </c>
      <c r="G37" s="93" t="s">
        <v>2901</v>
      </c>
      <c r="H37" s="94" t="s">
        <v>19</v>
      </c>
      <c r="I37" s="94" t="s">
        <v>2910</v>
      </c>
      <c r="J37" s="95" t="s">
        <v>375</v>
      </c>
      <c r="K37" s="96">
        <v>1220000.0</v>
      </c>
      <c r="L37" s="97">
        <f t="shared" si="14"/>
        <v>70760</v>
      </c>
      <c r="M37" s="97">
        <f t="shared" si="3"/>
        <v>1290760</v>
      </c>
      <c r="N37" s="98">
        <f t="shared" si="13"/>
        <v>141983.6</v>
      </c>
      <c r="O37" s="97">
        <f t="shared" si="5"/>
        <v>1432743.6</v>
      </c>
      <c r="P37" s="99"/>
      <c r="Q37" s="90" t="s">
        <v>2934</v>
      </c>
      <c r="R37" s="100" t="str">
        <f t="shared" si="6"/>
        <v>#REF!</v>
      </c>
      <c r="S37" s="101" t="str">
        <f t="shared" si="7"/>
        <v>#REF!</v>
      </c>
      <c r="T37" s="102" t="str">
        <f t="shared" si="8"/>
        <v>PP25-036</v>
      </c>
      <c r="U37" s="95"/>
      <c r="V37" s="95"/>
      <c r="W37" s="103"/>
      <c r="X37" s="103"/>
      <c r="Y37" s="103"/>
      <c r="Z37" s="104"/>
    </row>
    <row r="38" ht="49.5" customHeight="1">
      <c r="A38" s="90">
        <v>37.0</v>
      </c>
      <c r="B38" s="90" t="s">
        <v>2900</v>
      </c>
      <c r="C38" s="92" t="s">
        <v>2940</v>
      </c>
      <c r="D38" s="92" t="str">
        <f t="shared" si="1"/>
        <v>PP25-037</v>
      </c>
      <c r="E38" s="92">
        <v>45714.0</v>
      </c>
      <c r="F38" s="93">
        <v>4.600003949E9</v>
      </c>
      <c r="G38" s="93" t="s">
        <v>2901</v>
      </c>
      <c r="H38" s="94" t="s">
        <v>19</v>
      </c>
      <c r="I38" s="94" t="s">
        <v>2910</v>
      </c>
      <c r="J38" s="95" t="s">
        <v>379</v>
      </c>
      <c r="K38" s="96">
        <v>7077112.0</v>
      </c>
      <c r="L38" s="97">
        <f t="shared" si="14"/>
        <v>410472.496</v>
      </c>
      <c r="M38" s="97">
        <f t="shared" si="3"/>
        <v>7487584.496</v>
      </c>
      <c r="N38" s="98">
        <f t="shared" si="13"/>
        <v>823634.2946</v>
      </c>
      <c r="O38" s="97">
        <f t="shared" si="5"/>
        <v>8311218.791</v>
      </c>
      <c r="P38" s="99"/>
      <c r="Q38" s="90" t="s">
        <v>2934</v>
      </c>
      <c r="R38" s="100" t="str">
        <f t="shared" si="6"/>
        <v>#REF!</v>
      </c>
      <c r="S38" s="101" t="str">
        <f t="shared" si="7"/>
        <v>#REF!</v>
      </c>
      <c r="T38" s="102" t="str">
        <f t="shared" si="8"/>
        <v>PP25-037</v>
      </c>
      <c r="U38" s="95"/>
      <c r="V38" s="95"/>
      <c r="W38" s="103"/>
      <c r="X38" s="103"/>
      <c r="Y38" s="103"/>
      <c r="Z38" s="104"/>
    </row>
    <row r="39" ht="49.5" customHeight="1">
      <c r="A39" s="90">
        <v>38.0</v>
      </c>
      <c r="B39" s="90" t="s">
        <v>2900</v>
      </c>
      <c r="C39" s="90" t="s">
        <v>2941</v>
      </c>
      <c r="D39" s="92" t="str">
        <f t="shared" si="1"/>
        <v>PP25-038</v>
      </c>
      <c r="E39" s="92">
        <v>45721.0</v>
      </c>
      <c r="F39" s="93" t="s">
        <v>385</v>
      </c>
      <c r="G39" s="93" t="s">
        <v>2901</v>
      </c>
      <c r="H39" s="94" t="s">
        <v>19</v>
      </c>
      <c r="I39" s="94" t="s">
        <v>2924</v>
      </c>
      <c r="J39" s="95" t="s">
        <v>386</v>
      </c>
      <c r="K39" s="96">
        <v>4.872333E7</v>
      </c>
      <c r="L39" s="97"/>
      <c r="M39" s="97">
        <f t="shared" si="3"/>
        <v>48723330</v>
      </c>
      <c r="N39" s="98">
        <f t="shared" si="13"/>
        <v>5359566.3</v>
      </c>
      <c r="O39" s="97">
        <f t="shared" si="5"/>
        <v>54082896.3</v>
      </c>
      <c r="P39" s="99"/>
      <c r="Q39" s="90" t="s">
        <v>2903</v>
      </c>
      <c r="R39" s="100" t="str">
        <f t="shared" si="6"/>
        <v>#REF!</v>
      </c>
      <c r="S39" s="101" t="str">
        <f t="shared" si="7"/>
        <v>#REF!</v>
      </c>
      <c r="T39" s="102" t="str">
        <f t="shared" si="8"/>
        <v>PP25-038</v>
      </c>
      <c r="U39" s="95"/>
      <c r="V39" s="95"/>
      <c r="W39" s="103"/>
      <c r="X39" s="103"/>
      <c r="Y39" s="103"/>
      <c r="Z39" s="104"/>
    </row>
    <row r="40" ht="49.5" customHeight="1">
      <c r="A40" s="90">
        <v>39.0</v>
      </c>
      <c r="B40" s="90" t="s">
        <v>2900</v>
      </c>
      <c r="C40" s="92" t="s">
        <v>2942</v>
      </c>
      <c r="D40" s="92" t="str">
        <f t="shared" si="1"/>
        <v>PP25-039</v>
      </c>
      <c r="E40" s="92">
        <v>45722.0</v>
      </c>
      <c r="F40" s="93">
        <v>4.65001716E9</v>
      </c>
      <c r="G40" s="93" t="s">
        <v>2901</v>
      </c>
      <c r="H40" s="94" t="s">
        <v>19</v>
      </c>
      <c r="I40" s="94" t="s">
        <v>2919</v>
      </c>
      <c r="J40" s="95" t="s">
        <v>236</v>
      </c>
      <c r="K40" s="96">
        <v>8.19941583E8</v>
      </c>
      <c r="L40" s="97">
        <f>K40*5.5%</f>
        <v>45096787.07</v>
      </c>
      <c r="M40" s="97">
        <f t="shared" si="3"/>
        <v>865038370.1</v>
      </c>
      <c r="N40" s="98">
        <f t="shared" si="13"/>
        <v>95154220.71</v>
      </c>
      <c r="O40" s="97">
        <f t="shared" si="5"/>
        <v>960192590.8</v>
      </c>
      <c r="P40" s="99"/>
      <c r="Q40" s="90" t="s">
        <v>2903</v>
      </c>
      <c r="R40" s="100" t="str">
        <f t="shared" si="6"/>
        <v>#REF!</v>
      </c>
      <c r="S40" s="101" t="str">
        <f t="shared" si="7"/>
        <v>#REF!</v>
      </c>
      <c r="T40" s="102" t="str">
        <f t="shared" si="8"/>
        <v>PP25-039</v>
      </c>
      <c r="U40" s="95"/>
      <c r="V40" s="95"/>
      <c r="W40" s="103"/>
      <c r="X40" s="103"/>
      <c r="Y40" s="103"/>
      <c r="Z40" s="104"/>
    </row>
    <row r="41" ht="49.5" customHeight="1">
      <c r="A41" s="90">
        <v>40.0</v>
      </c>
      <c r="B41" s="90" t="s">
        <v>2900</v>
      </c>
      <c r="C41" s="90" t="s">
        <v>2943</v>
      </c>
      <c r="D41" s="92" t="str">
        <f t="shared" si="1"/>
        <v>PP25-040</v>
      </c>
      <c r="E41" s="92">
        <v>45722.0</v>
      </c>
      <c r="F41" s="93" t="s">
        <v>238</v>
      </c>
      <c r="G41" s="116" t="s">
        <v>238</v>
      </c>
      <c r="H41" s="94" t="s">
        <v>19</v>
      </c>
      <c r="I41" s="94" t="s">
        <v>238</v>
      </c>
      <c r="J41" s="95" t="s">
        <v>239</v>
      </c>
      <c r="K41" s="96">
        <v>5.4833552E7</v>
      </c>
      <c r="L41" s="97"/>
      <c r="M41" s="97">
        <f t="shared" si="3"/>
        <v>54833552</v>
      </c>
      <c r="N41" s="98">
        <f t="shared" si="13"/>
        <v>6031690.72</v>
      </c>
      <c r="O41" s="97">
        <f t="shared" si="5"/>
        <v>60865242.72</v>
      </c>
      <c r="P41" s="99"/>
      <c r="Q41" s="90" t="s">
        <v>2903</v>
      </c>
      <c r="R41" s="100" t="str">
        <f t="shared" si="6"/>
        <v>#REF!</v>
      </c>
      <c r="S41" s="101" t="str">
        <f t="shared" si="7"/>
        <v>#REF!</v>
      </c>
      <c r="T41" s="102" t="str">
        <f t="shared" si="8"/>
        <v>PP25-040</v>
      </c>
      <c r="U41" s="95"/>
      <c r="V41" s="95"/>
      <c r="W41" s="103"/>
      <c r="X41" s="103"/>
      <c r="Y41" s="103"/>
      <c r="Z41" s="104"/>
    </row>
    <row r="42" ht="49.5" customHeight="1">
      <c r="A42" s="90">
        <v>41.0</v>
      </c>
      <c r="B42" s="90" t="s">
        <v>2900</v>
      </c>
      <c r="C42" s="92" t="s">
        <v>2944</v>
      </c>
      <c r="D42" s="92" t="str">
        <f t="shared" si="1"/>
        <v>PP25-041</v>
      </c>
      <c r="E42" s="92">
        <v>45722.0</v>
      </c>
      <c r="F42" s="93">
        <v>4.650017814E9</v>
      </c>
      <c r="G42" s="93" t="s">
        <v>2901</v>
      </c>
      <c r="H42" s="94" t="s">
        <v>19</v>
      </c>
      <c r="I42" s="94" t="s">
        <v>2902</v>
      </c>
      <c r="J42" s="95" t="s">
        <v>241</v>
      </c>
      <c r="K42" s="96">
        <v>5.8363459E7</v>
      </c>
      <c r="L42" s="97">
        <f t="shared" ref="L42:L44" si="15">K42*6%</f>
        <v>3501807.54</v>
      </c>
      <c r="M42" s="97">
        <f t="shared" si="3"/>
        <v>61865266.54</v>
      </c>
      <c r="N42" s="98">
        <f t="shared" si="13"/>
        <v>6805179.319</v>
      </c>
      <c r="O42" s="97">
        <f t="shared" si="5"/>
        <v>68670445.86</v>
      </c>
      <c r="P42" s="99"/>
      <c r="Q42" s="90" t="s">
        <v>2903</v>
      </c>
      <c r="R42" s="100" t="str">
        <f t="shared" si="6"/>
        <v>#REF!</v>
      </c>
      <c r="S42" s="101" t="str">
        <f t="shared" si="7"/>
        <v>#REF!</v>
      </c>
      <c r="T42" s="102" t="str">
        <f t="shared" si="8"/>
        <v>PP25-041</v>
      </c>
      <c r="U42" s="95"/>
      <c r="V42" s="95"/>
      <c r="W42" s="103"/>
      <c r="X42" s="103"/>
      <c r="Y42" s="103"/>
      <c r="Z42" s="104"/>
    </row>
    <row r="43" ht="49.5" customHeight="1">
      <c r="A43" s="90">
        <v>42.0</v>
      </c>
      <c r="B43" s="90" t="s">
        <v>2900</v>
      </c>
      <c r="C43" s="90" t="s">
        <v>2945</v>
      </c>
      <c r="D43" s="92" t="str">
        <f t="shared" si="1"/>
        <v>PP25-042</v>
      </c>
      <c r="E43" s="92">
        <v>45722.0</v>
      </c>
      <c r="F43" s="93">
        <v>4.650017814E9</v>
      </c>
      <c r="G43" s="93" t="s">
        <v>2901</v>
      </c>
      <c r="H43" s="94" t="s">
        <v>19</v>
      </c>
      <c r="I43" s="94" t="s">
        <v>2904</v>
      </c>
      <c r="J43" s="95" t="s">
        <v>243</v>
      </c>
      <c r="K43" s="96">
        <v>3.9290244E7</v>
      </c>
      <c r="L43" s="97">
        <f t="shared" si="15"/>
        <v>2357414.64</v>
      </c>
      <c r="M43" s="97">
        <f t="shared" si="3"/>
        <v>41647658.64</v>
      </c>
      <c r="N43" s="98">
        <f t="shared" si="13"/>
        <v>4581242.45</v>
      </c>
      <c r="O43" s="97">
        <f t="shared" si="5"/>
        <v>46228901.09</v>
      </c>
      <c r="P43" s="99"/>
      <c r="Q43" s="90" t="s">
        <v>2903</v>
      </c>
      <c r="R43" s="100" t="str">
        <f t="shared" si="6"/>
        <v>#REF!</v>
      </c>
      <c r="S43" s="101" t="str">
        <f t="shared" si="7"/>
        <v>#REF!</v>
      </c>
      <c r="T43" s="102" t="str">
        <f t="shared" si="8"/>
        <v>PP25-042</v>
      </c>
      <c r="U43" s="95"/>
      <c r="V43" s="95"/>
      <c r="W43" s="103"/>
      <c r="X43" s="103"/>
      <c r="Y43" s="103"/>
      <c r="Z43" s="104"/>
    </row>
    <row r="44" ht="49.5" customHeight="1">
      <c r="A44" s="90">
        <v>43.0</v>
      </c>
      <c r="B44" s="90" t="s">
        <v>2900</v>
      </c>
      <c r="C44" s="92" t="s">
        <v>2946</v>
      </c>
      <c r="D44" s="92" t="str">
        <f t="shared" si="1"/>
        <v>PP25-043</v>
      </c>
      <c r="E44" s="92">
        <v>45722.0</v>
      </c>
      <c r="F44" s="93">
        <v>4.650017814E9</v>
      </c>
      <c r="G44" s="93" t="s">
        <v>2901</v>
      </c>
      <c r="H44" s="94" t="s">
        <v>19</v>
      </c>
      <c r="I44" s="94" t="s">
        <v>2905</v>
      </c>
      <c r="J44" s="95" t="s">
        <v>245</v>
      </c>
      <c r="K44" s="96">
        <v>4.15083177E8</v>
      </c>
      <c r="L44" s="97">
        <f t="shared" si="15"/>
        <v>24904990.62</v>
      </c>
      <c r="M44" s="97">
        <f t="shared" si="3"/>
        <v>439988167.6</v>
      </c>
      <c r="N44" s="98">
        <f t="shared" si="13"/>
        <v>48398698.44</v>
      </c>
      <c r="O44" s="97">
        <f t="shared" si="5"/>
        <v>488386866.1</v>
      </c>
      <c r="P44" s="99"/>
      <c r="Q44" s="90" t="s">
        <v>2903</v>
      </c>
      <c r="R44" s="100" t="str">
        <f t="shared" si="6"/>
        <v>#REF!</v>
      </c>
      <c r="S44" s="101" t="str">
        <f t="shared" si="7"/>
        <v>#REF!</v>
      </c>
      <c r="T44" s="102" t="str">
        <f t="shared" si="8"/>
        <v>PP25-043</v>
      </c>
      <c r="U44" s="95"/>
      <c r="V44" s="95"/>
      <c r="W44" s="103"/>
      <c r="X44" s="103"/>
      <c r="Y44" s="103"/>
      <c r="Z44" s="104"/>
    </row>
    <row r="45" ht="49.5" customHeight="1">
      <c r="A45" s="90">
        <v>44.0</v>
      </c>
      <c r="B45" s="90" t="s">
        <v>2900</v>
      </c>
      <c r="C45" s="90" t="s">
        <v>2947</v>
      </c>
      <c r="D45" s="92" t="str">
        <f t="shared" si="1"/>
        <v>PP25-044</v>
      </c>
      <c r="E45" s="92">
        <v>45722.0</v>
      </c>
      <c r="F45" s="93" t="s">
        <v>414</v>
      </c>
      <c r="G45" s="93" t="s">
        <v>2901</v>
      </c>
      <c r="H45" s="94" t="s">
        <v>19</v>
      </c>
      <c r="I45" s="94" t="s">
        <v>2948</v>
      </c>
      <c r="J45" s="95" t="s">
        <v>248</v>
      </c>
      <c r="K45" s="96">
        <v>1.71272905E8</v>
      </c>
      <c r="L45" s="97">
        <f t="shared" ref="L45:L47" si="16">K45*5.3%</f>
        <v>9077463.965</v>
      </c>
      <c r="M45" s="97">
        <f t="shared" si="3"/>
        <v>180350369</v>
      </c>
      <c r="N45" s="98">
        <f t="shared" si="13"/>
        <v>19838540.59</v>
      </c>
      <c r="O45" s="97">
        <f t="shared" si="5"/>
        <v>200188909.6</v>
      </c>
      <c r="P45" s="99"/>
      <c r="Q45" s="90" t="s">
        <v>2949</v>
      </c>
      <c r="R45" s="100" t="str">
        <f t="shared" si="6"/>
        <v>#REF!</v>
      </c>
      <c r="S45" s="101" t="str">
        <f t="shared" si="7"/>
        <v>#REF!</v>
      </c>
      <c r="T45" s="102" t="str">
        <f t="shared" si="8"/>
        <v>PP25-044</v>
      </c>
      <c r="U45" s="95"/>
      <c r="V45" s="95"/>
      <c r="W45" s="103"/>
      <c r="X45" s="103"/>
      <c r="Y45" s="103"/>
      <c r="Z45" s="104"/>
    </row>
    <row r="46" ht="49.5" customHeight="1">
      <c r="A46" s="90">
        <v>45.0</v>
      </c>
      <c r="B46" s="90" t="s">
        <v>2900</v>
      </c>
      <c r="C46" s="92" t="s">
        <v>2950</v>
      </c>
      <c r="D46" s="92" t="str">
        <f t="shared" si="1"/>
        <v>PP25-045</v>
      </c>
      <c r="E46" s="92">
        <v>45722.0</v>
      </c>
      <c r="F46" s="93" t="s">
        <v>414</v>
      </c>
      <c r="G46" s="93" t="s">
        <v>2901</v>
      </c>
      <c r="H46" s="94" t="s">
        <v>19</v>
      </c>
      <c r="I46" s="94" t="s">
        <v>2948</v>
      </c>
      <c r="J46" s="95" t="s">
        <v>250</v>
      </c>
      <c r="K46" s="96">
        <v>4.1255049E7</v>
      </c>
      <c r="L46" s="97">
        <f t="shared" si="16"/>
        <v>2186517.597</v>
      </c>
      <c r="M46" s="97">
        <f t="shared" si="3"/>
        <v>43441566.6</v>
      </c>
      <c r="N46" s="98">
        <f t="shared" si="13"/>
        <v>4778572.326</v>
      </c>
      <c r="O46" s="97">
        <f t="shared" si="5"/>
        <v>48220138.92</v>
      </c>
      <c r="P46" s="99"/>
      <c r="Q46" s="90" t="s">
        <v>2949</v>
      </c>
      <c r="R46" s="100" t="str">
        <f t="shared" si="6"/>
        <v>#REF!</v>
      </c>
      <c r="S46" s="101" t="str">
        <f t="shared" si="7"/>
        <v>#REF!</v>
      </c>
      <c r="T46" s="102" t="str">
        <f t="shared" si="8"/>
        <v>PP25-045</v>
      </c>
      <c r="U46" s="95"/>
      <c r="V46" s="95"/>
      <c r="W46" s="103"/>
      <c r="X46" s="103"/>
      <c r="Y46" s="103"/>
      <c r="Z46" s="104"/>
    </row>
    <row r="47" ht="49.5" customHeight="1">
      <c r="A47" s="90">
        <v>46.0</v>
      </c>
      <c r="B47" s="90" t="s">
        <v>2900</v>
      </c>
      <c r="C47" s="90" t="s">
        <v>2951</v>
      </c>
      <c r="D47" s="92" t="str">
        <f t="shared" si="1"/>
        <v>PP25-046</v>
      </c>
      <c r="E47" s="92">
        <v>45722.0</v>
      </c>
      <c r="F47" s="93" t="s">
        <v>414</v>
      </c>
      <c r="G47" s="93" t="s">
        <v>2901</v>
      </c>
      <c r="H47" s="94" t="s">
        <v>19</v>
      </c>
      <c r="I47" s="94" t="s">
        <v>2948</v>
      </c>
      <c r="J47" s="95" t="s">
        <v>252</v>
      </c>
      <c r="K47" s="96">
        <v>2.7025583E7</v>
      </c>
      <c r="L47" s="97">
        <f t="shared" si="16"/>
        <v>1432355.899</v>
      </c>
      <c r="M47" s="97">
        <f t="shared" si="3"/>
        <v>28457938.9</v>
      </c>
      <c r="N47" s="98">
        <f t="shared" si="13"/>
        <v>3130373.279</v>
      </c>
      <c r="O47" s="97">
        <f t="shared" si="5"/>
        <v>31588312.18</v>
      </c>
      <c r="P47" s="99"/>
      <c r="Q47" s="90" t="s">
        <v>2949</v>
      </c>
      <c r="R47" s="100" t="str">
        <f t="shared" si="6"/>
        <v>#REF!</v>
      </c>
      <c r="S47" s="101" t="str">
        <f t="shared" si="7"/>
        <v>#REF!</v>
      </c>
      <c r="T47" s="102" t="str">
        <f t="shared" si="8"/>
        <v>PP25-046</v>
      </c>
      <c r="U47" s="95"/>
      <c r="V47" s="95"/>
      <c r="W47" s="103"/>
      <c r="X47" s="103"/>
      <c r="Y47" s="103"/>
      <c r="Z47" s="104"/>
    </row>
    <row r="48" ht="49.5" customHeight="1">
      <c r="A48" s="90">
        <v>47.0</v>
      </c>
      <c r="B48" s="90" t="s">
        <v>2900</v>
      </c>
      <c r="C48" s="92" t="s">
        <v>2952</v>
      </c>
      <c r="D48" s="92" t="str">
        <f t="shared" si="1"/>
        <v>PP25-047</v>
      </c>
      <c r="E48" s="92">
        <v>45723.0</v>
      </c>
      <c r="F48" s="93" t="s">
        <v>428</v>
      </c>
      <c r="G48" s="93" t="s">
        <v>2901</v>
      </c>
      <c r="H48" s="94" t="s">
        <v>19</v>
      </c>
      <c r="I48" s="94" t="s">
        <v>37</v>
      </c>
      <c r="J48" s="95" t="s">
        <v>429</v>
      </c>
      <c r="K48" s="96">
        <v>2.71250705E8</v>
      </c>
      <c r="L48" s="97">
        <f>K48*6.3%</f>
        <v>17088794.42</v>
      </c>
      <c r="M48" s="97">
        <f t="shared" si="3"/>
        <v>288339499.4</v>
      </c>
      <c r="N48" s="98">
        <f t="shared" si="13"/>
        <v>31717344.94</v>
      </c>
      <c r="O48" s="97">
        <f t="shared" si="5"/>
        <v>320056844.4</v>
      </c>
      <c r="P48" s="99"/>
      <c r="Q48" s="90" t="s">
        <v>2903</v>
      </c>
      <c r="R48" s="100" t="str">
        <f t="shared" si="6"/>
        <v>#REF!</v>
      </c>
      <c r="S48" s="101" t="str">
        <f t="shared" si="7"/>
        <v>#REF!</v>
      </c>
      <c r="T48" s="102" t="str">
        <f t="shared" si="8"/>
        <v>PP25-047</v>
      </c>
      <c r="U48" s="95"/>
      <c r="V48" s="95"/>
      <c r="W48" s="103"/>
      <c r="X48" s="103"/>
      <c r="Y48" s="103"/>
      <c r="Z48" s="103"/>
    </row>
    <row r="49" ht="49.5" customHeight="1">
      <c r="A49" s="90">
        <v>48.0</v>
      </c>
      <c r="B49" s="90" t="s">
        <v>2900</v>
      </c>
      <c r="C49" s="90" t="s">
        <v>2953</v>
      </c>
      <c r="D49" s="92" t="str">
        <f t="shared" si="1"/>
        <v>PP25-048</v>
      </c>
      <c r="E49" s="92">
        <v>45723.0</v>
      </c>
      <c r="F49" s="93"/>
      <c r="G49" s="93" t="s">
        <v>2901</v>
      </c>
      <c r="H49" s="94" t="s">
        <v>19</v>
      </c>
      <c r="I49" s="94" t="s">
        <v>2954</v>
      </c>
      <c r="J49" s="95" t="s">
        <v>259</v>
      </c>
      <c r="K49" s="96">
        <v>8.9204119E7</v>
      </c>
      <c r="L49" s="97">
        <f t="shared" ref="L49:L51" si="17">K49*6%</f>
        <v>5352247.14</v>
      </c>
      <c r="M49" s="97">
        <f t="shared" si="3"/>
        <v>94556366.14</v>
      </c>
      <c r="N49" s="98">
        <f t="shared" si="13"/>
        <v>10401200.28</v>
      </c>
      <c r="O49" s="97">
        <f t="shared" si="5"/>
        <v>104957566.4</v>
      </c>
      <c r="P49" s="99"/>
      <c r="Q49" s="90" t="s">
        <v>2949</v>
      </c>
      <c r="R49" s="100" t="str">
        <f t="shared" si="6"/>
        <v>#REF!</v>
      </c>
      <c r="S49" s="101" t="str">
        <f t="shared" si="7"/>
        <v>#REF!</v>
      </c>
      <c r="T49" s="102" t="str">
        <f t="shared" si="8"/>
        <v>PP25-048</v>
      </c>
      <c r="U49" s="95"/>
      <c r="V49" s="95"/>
      <c r="W49" s="103"/>
      <c r="X49" s="103"/>
      <c r="Y49" s="103"/>
      <c r="Z49" s="104"/>
    </row>
    <row r="50" ht="49.5" customHeight="1">
      <c r="A50" s="90">
        <v>49.0</v>
      </c>
      <c r="B50" s="90" t="s">
        <v>2900</v>
      </c>
      <c r="C50" s="92" t="s">
        <v>2955</v>
      </c>
      <c r="D50" s="92" t="str">
        <f t="shared" si="1"/>
        <v>PP25-049</v>
      </c>
      <c r="E50" s="92">
        <v>45723.0</v>
      </c>
      <c r="F50" s="93"/>
      <c r="G50" s="93" t="s">
        <v>2901</v>
      </c>
      <c r="H50" s="94" t="s">
        <v>19</v>
      </c>
      <c r="I50" s="94" t="s">
        <v>2954</v>
      </c>
      <c r="J50" s="95" t="s">
        <v>261</v>
      </c>
      <c r="K50" s="96">
        <v>4.3777308E7</v>
      </c>
      <c r="L50" s="97">
        <f t="shared" si="17"/>
        <v>2626638.48</v>
      </c>
      <c r="M50" s="97">
        <f t="shared" si="3"/>
        <v>46403946.48</v>
      </c>
      <c r="N50" s="98">
        <f t="shared" si="13"/>
        <v>5104434.113</v>
      </c>
      <c r="O50" s="97">
        <f t="shared" si="5"/>
        <v>51508380.59</v>
      </c>
      <c r="P50" s="99"/>
      <c r="Q50" s="90" t="s">
        <v>2903</v>
      </c>
      <c r="R50" s="100" t="str">
        <f t="shared" si="6"/>
        <v>#REF!</v>
      </c>
      <c r="S50" s="101" t="str">
        <f t="shared" si="7"/>
        <v>#REF!</v>
      </c>
      <c r="T50" s="102" t="str">
        <f t="shared" si="8"/>
        <v>PP25-049</v>
      </c>
      <c r="U50" s="95"/>
      <c r="V50" s="95"/>
      <c r="W50" s="103"/>
      <c r="X50" s="103"/>
      <c r="Y50" s="103"/>
      <c r="Z50" s="104"/>
    </row>
    <row r="51" ht="49.5" customHeight="1">
      <c r="A51" s="90">
        <v>50.0</v>
      </c>
      <c r="B51" s="90" t="s">
        <v>2900</v>
      </c>
      <c r="C51" s="90" t="s">
        <v>2956</v>
      </c>
      <c r="D51" s="92" t="str">
        <f t="shared" si="1"/>
        <v>PP25-050</v>
      </c>
      <c r="E51" s="92">
        <v>45723.0</v>
      </c>
      <c r="F51" s="93"/>
      <c r="G51" s="93" t="s">
        <v>2901</v>
      </c>
      <c r="H51" s="94" t="s">
        <v>19</v>
      </c>
      <c r="I51" s="94" t="s">
        <v>2954</v>
      </c>
      <c r="J51" s="95" t="s">
        <v>263</v>
      </c>
      <c r="K51" s="96">
        <v>1.18186305E8</v>
      </c>
      <c r="L51" s="97">
        <f t="shared" si="17"/>
        <v>7091178.3</v>
      </c>
      <c r="M51" s="97">
        <f t="shared" si="3"/>
        <v>125277483.3</v>
      </c>
      <c r="N51" s="98">
        <f t="shared" si="13"/>
        <v>13780523.16</v>
      </c>
      <c r="O51" s="97">
        <f t="shared" si="5"/>
        <v>139058006.5</v>
      </c>
      <c r="P51" s="99"/>
      <c r="Q51" s="90" t="s">
        <v>2903</v>
      </c>
      <c r="R51" s="100" t="str">
        <f t="shared" si="6"/>
        <v>#REF!</v>
      </c>
      <c r="S51" s="101" t="str">
        <f t="shared" si="7"/>
        <v>#REF!</v>
      </c>
      <c r="T51" s="102" t="str">
        <f t="shared" si="8"/>
        <v>PP25-050</v>
      </c>
      <c r="U51" s="95"/>
      <c r="V51" s="95"/>
      <c r="W51" s="103"/>
      <c r="X51" s="103"/>
      <c r="Y51" s="103"/>
      <c r="Z51" s="104"/>
    </row>
    <row r="52" ht="49.5" customHeight="1">
      <c r="A52" s="90">
        <v>51.0</v>
      </c>
      <c r="B52" s="90" t="s">
        <v>2900</v>
      </c>
      <c r="C52" s="92" t="s">
        <v>2957</v>
      </c>
      <c r="D52" s="92" t="str">
        <f t="shared" si="1"/>
        <v>PP25-051</v>
      </c>
      <c r="E52" s="92">
        <v>45723.0</v>
      </c>
      <c r="F52" s="110"/>
      <c r="G52" s="93" t="s">
        <v>2901</v>
      </c>
      <c r="H52" s="94" t="s">
        <v>19</v>
      </c>
      <c r="I52" s="94"/>
      <c r="J52" s="95" t="s">
        <v>265</v>
      </c>
      <c r="K52" s="96">
        <v>1.567636E7</v>
      </c>
      <c r="L52" s="97">
        <f>K52*6.3%</f>
        <v>987610.68</v>
      </c>
      <c r="M52" s="97">
        <f t="shared" si="3"/>
        <v>16663970.68</v>
      </c>
      <c r="N52" s="98">
        <f t="shared" si="13"/>
        <v>1833036.775</v>
      </c>
      <c r="O52" s="97">
        <f t="shared" si="5"/>
        <v>18497007.45</v>
      </c>
      <c r="P52" s="99"/>
      <c r="Q52" s="90" t="s">
        <v>2903</v>
      </c>
      <c r="R52" s="100" t="str">
        <f t="shared" si="6"/>
        <v>#REF!</v>
      </c>
      <c r="S52" s="101" t="str">
        <f t="shared" si="7"/>
        <v>#REF!</v>
      </c>
      <c r="T52" s="102" t="str">
        <f t="shared" si="8"/>
        <v>PP25-051</v>
      </c>
      <c r="U52" s="95"/>
      <c r="V52" s="95"/>
      <c r="W52" s="103"/>
      <c r="X52" s="103"/>
      <c r="Y52" s="103"/>
      <c r="Z52" s="104"/>
    </row>
    <row r="53" ht="49.5" customHeight="1">
      <c r="A53" s="90">
        <v>52.0</v>
      </c>
      <c r="B53" s="90" t="s">
        <v>2900</v>
      </c>
      <c r="C53" s="90" t="s">
        <v>2958</v>
      </c>
      <c r="D53" s="92" t="str">
        <f t="shared" si="1"/>
        <v>PP25-052</v>
      </c>
      <c r="E53" s="92">
        <v>45727.0</v>
      </c>
      <c r="F53" s="93" t="s">
        <v>414</v>
      </c>
      <c r="G53" s="93" t="s">
        <v>2901</v>
      </c>
      <c r="H53" s="94" t="s">
        <v>19</v>
      </c>
      <c r="I53" s="94" t="s">
        <v>2948</v>
      </c>
      <c r="J53" s="95" t="s">
        <v>267</v>
      </c>
      <c r="K53" s="96">
        <v>1.71466823E8</v>
      </c>
      <c r="L53" s="97">
        <f t="shared" ref="L53:L55" si="18">K53*5.3%</f>
        <v>9087741.619</v>
      </c>
      <c r="M53" s="97">
        <f t="shared" si="3"/>
        <v>180554564.6</v>
      </c>
      <c r="N53" s="98">
        <f t="shared" si="13"/>
        <v>19861002.11</v>
      </c>
      <c r="O53" s="97">
        <f t="shared" si="5"/>
        <v>200415566.7</v>
      </c>
      <c r="P53" s="99"/>
      <c r="Q53" s="90" t="s">
        <v>2949</v>
      </c>
      <c r="R53" s="100" t="str">
        <f t="shared" si="6"/>
        <v>#REF!</v>
      </c>
      <c r="S53" s="101" t="str">
        <f t="shared" si="7"/>
        <v>#REF!</v>
      </c>
      <c r="T53" s="102" t="str">
        <f t="shared" si="8"/>
        <v>PP25-052</v>
      </c>
      <c r="U53" s="95"/>
      <c r="V53" s="95"/>
      <c r="W53" s="103"/>
      <c r="X53" s="103"/>
      <c r="Y53" s="103"/>
      <c r="Z53" s="104"/>
    </row>
    <row r="54" ht="49.5" customHeight="1">
      <c r="A54" s="90">
        <v>53.0</v>
      </c>
      <c r="B54" s="90" t="s">
        <v>2900</v>
      </c>
      <c r="C54" s="92" t="s">
        <v>2959</v>
      </c>
      <c r="D54" s="92" t="str">
        <f t="shared" si="1"/>
        <v>PP25-053</v>
      </c>
      <c r="E54" s="92">
        <v>45727.0</v>
      </c>
      <c r="F54" s="93" t="s">
        <v>414</v>
      </c>
      <c r="G54" s="93" t="s">
        <v>2901</v>
      </c>
      <c r="H54" s="94" t="s">
        <v>19</v>
      </c>
      <c r="I54" s="94" t="s">
        <v>2948</v>
      </c>
      <c r="J54" s="95" t="s">
        <v>269</v>
      </c>
      <c r="K54" s="96">
        <v>4.8368243E7</v>
      </c>
      <c r="L54" s="97">
        <f t="shared" si="18"/>
        <v>2563516.879</v>
      </c>
      <c r="M54" s="97">
        <f t="shared" si="3"/>
        <v>50931759.88</v>
      </c>
      <c r="N54" s="98">
        <f t="shared" si="13"/>
        <v>5602493.587</v>
      </c>
      <c r="O54" s="97">
        <f t="shared" si="5"/>
        <v>56534253.47</v>
      </c>
      <c r="P54" s="99"/>
      <c r="Q54" s="90" t="s">
        <v>2949</v>
      </c>
      <c r="R54" s="100" t="str">
        <f t="shared" si="6"/>
        <v>#REF!</v>
      </c>
      <c r="S54" s="101" t="str">
        <f t="shared" si="7"/>
        <v>#REF!</v>
      </c>
      <c r="T54" s="102" t="str">
        <f t="shared" si="8"/>
        <v>PP25-053</v>
      </c>
      <c r="U54" s="95"/>
      <c r="V54" s="95"/>
      <c r="W54" s="103"/>
      <c r="X54" s="103"/>
      <c r="Y54" s="103"/>
      <c r="Z54" s="104"/>
    </row>
    <row r="55" ht="49.5" customHeight="1">
      <c r="A55" s="90">
        <v>54.0</v>
      </c>
      <c r="B55" s="90" t="s">
        <v>2900</v>
      </c>
      <c r="C55" s="90" t="s">
        <v>2960</v>
      </c>
      <c r="D55" s="92" t="str">
        <f t="shared" si="1"/>
        <v>PP25-054</v>
      </c>
      <c r="E55" s="92">
        <v>45727.0</v>
      </c>
      <c r="F55" s="93" t="s">
        <v>414</v>
      </c>
      <c r="G55" s="93" t="s">
        <v>2901</v>
      </c>
      <c r="H55" s="94" t="s">
        <v>19</v>
      </c>
      <c r="I55" s="94" t="s">
        <v>2948</v>
      </c>
      <c r="J55" s="95" t="s">
        <v>271</v>
      </c>
      <c r="K55" s="96">
        <v>2.7073583E7</v>
      </c>
      <c r="L55" s="97">
        <f t="shared" si="18"/>
        <v>1434899.899</v>
      </c>
      <c r="M55" s="97">
        <f t="shared" si="3"/>
        <v>28508482.9</v>
      </c>
      <c r="N55" s="98">
        <f t="shared" si="13"/>
        <v>3135933.119</v>
      </c>
      <c r="O55" s="97">
        <f t="shared" si="5"/>
        <v>31644416.02</v>
      </c>
      <c r="P55" s="99"/>
      <c r="Q55" s="90" t="s">
        <v>2949</v>
      </c>
      <c r="R55" s="100" t="str">
        <f t="shared" si="6"/>
        <v>#REF!</v>
      </c>
      <c r="S55" s="101" t="str">
        <f t="shared" si="7"/>
        <v>#REF!</v>
      </c>
      <c r="T55" s="102" t="str">
        <f t="shared" si="8"/>
        <v>PP25-054</v>
      </c>
      <c r="U55" s="95"/>
      <c r="V55" s="95"/>
      <c r="W55" s="103"/>
      <c r="X55" s="103"/>
      <c r="Y55" s="103"/>
      <c r="Z55" s="104"/>
    </row>
    <row r="56" ht="49.5" customHeight="1">
      <c r="A56" s="90">
        <v>55.0</v>
      </c>
      <c r="B56" s="90" t="s">
        <v>2900</v>
      </c>
      <c r="C56" s="92" t="s">
        <v>2961</v>
      </c>
      <c r="D56" s="92" t="str">
        <f t="shared" si="1"/>
        <v>PP25-055</v>
      </c>
      <c r="E56" s="92">
        <v>45729.0</v>
      </c>
      <c r="F56" s="110"/>
      <c r="G56" s="93" t="s">
        <v>2901</v>
      </c>
      <c r="H56" s="94" t="s">
        <v>19</v>
      </c>
      <c r="I56" s="94" t="s">
        <v>2954</v>
      </c>
      <c r="J56" s="95" t="s">
        <v>480</v>
      </c>
      <c r="K56" s="96">
        <v>3.2784998E7</v>
      </c>
      <c r="L56" s="97">
        <f t="shared" ref="L56:L57" si="19">K56*7.5%</f>
        <v>2458874.85</v>
      </c>
      <c r="M56" s="97">
        <f t="shared" si="3"/>
        <v>35243872.85</v>
      </c>
      <c r="N56" s="98">
        <f t="shared" si="13"/>
        <v>3876826.014</v>
      </c>
      <c r="O56" s="97">
        <f t="shared" si="5"/>
        <v>39120698.86</v>
      </c>
      <c r="P56" s="99"/>
      <c r="Q56" s="90" t="s">
        <v>2903</v>
      </c>
      <c r="R56" s="100" t="str">
        <f t="shared" si="6"/>
        <v>#REF!</v>
      </c>
      <c r="S56" s="101" t="str">
        <f t="shared" si="7"/>
        <v>#REF!</v>
      </c>
      <c r="T56" s="102" t="str">
        <f t="shared" si="8"/>
        <v>PP25-055</v>
      </c>
      <c r="U56" s="95"/>
      <c r="V56" s="95"/>
      <c r="W56" s="103"/>
      <c r="X56" s="103"/>
      <c r="Y56" s="103"/>
      <c r="Z56" s="104"/>
    </row>
    <row r="57" ht="49.5" customHeight="1">
      <c r="A57" s="90">
        <v>56.0</v>
      </c>
      <c r="B57" s="90" t="s">
        <v>2900</v>
      </c>
      <c r="C57" s="90" t="s">
        <v>2962</v>
      </c>
      <c r="D57" s="92" t="str">
        <f t="shared" si="1"/>
        <v>PP25-056</v>
      </c>
      <c r="E57" s="92">
        <v>45729.0</v>
      </c>
      <c r="F57" s="110"/>
      <c r="G57" s="93" t="s">
        <v>2901</v>
      </c>
      <c r="H57" s="94" t="s">
        <v>19</v>
      </c>
      <c r="I57" s="94" t="s">
        <v>2954</v>
      </c>
      <c r="J57" s="95" t="s">
        <v>501</v>
      </c>
      <c r="K57" s="96">
        <v>4.0991163E7</v>
      </c>
      <c r="L57" s="97">
        <f t="shared" si="19"/>
        <v>3074337.225</v>
      </c>
      <c r="M57" s="97">
        <f t="shared" si="3"/>
        <v>44065500.23</v>
      </c>
      <c r="N57" s="98">
        <f t="shared" si="13"/>
        <v>4847205.025</v>
      </c>
      <c r="O57" s="97">
        <f t="shared" si="5"/>
        <v>48912705.25</v>
      </c>
      <c r="P57" s="99"/>
      <c r="Q57" s="90" t="s">
        <v>2903</v>
      </c>
      <c r="R57" s="100" t="str">
        <f t="shared" si="6"/>
        <v>#REF!</v>
      </c>
      <c r="S57" s="101" t="str">
        <f t="shared" si="7"/>
        <v>#REF!</v>
      </c>
      <c r="T57" s="102" t="str">
        <f t="shared" si="8"/>
        <v>PP25-056</v>
      </c>
      <c r="U57" s="95"/>
      <c r="V57" s="95"/>
      <c r="W57" s="103"/>
      <c r="X57" s="103"/>
      <c r="Y57" s="103"/>
      <c r="Z57" s="104"/>
    </row>
    <row r="58" ht="49.5" customHeight="1">
      <c r="A58" s="90">
        <v>57.0</v>
      </c>
      <c r="B58" s="90" t="s">
        <v>2900</v>
      </c>
      <c r="C58" s="92" t="s">
        <v>2963</v>
      </c>
      <c r="D58" s="92" t="str">
        <f t="shared" si="1"/>
        <v>PP25-057</v>
      </c>
      <c r="E58" s="92">
        <v>45729.0</v>
      </c>
      <c r="F58" s="110"/>
      <c r="G58" s="93" t="s">
        <v>2901</v>
      </c>
      <c r="H58" s="94" t="s">
        <v>19</v>
      </c>
      <c r="I58" s="94" t="s">
        <v>2954</v>
      </c>
      <c r="J58" s="95" t="s">
        <v>281</v>
      </c>
      <c r="K58" s="96">
        <v>5.52615E7</v>
      </c>
      <c r="L58" s="97">
        <f t="shared" ref="L58:L60" si="20">K58*6%</f>
        <v>3315690</v>
      </c>
      <c r="M58" s="97">
        <f t="shared" si="3"/>
        <v>58577190</v>
      </c>
      <c r="N58" s="98">
        <f t="shared" si="13"/>
        <v>6443490.9</v>
      </c>
      <c r="O58" s="97">
        <f t="shared" si="5"/>
        <v>65020680.9</v>
      </c>
      <c r="P58" s="99"/>
      <c r="Q58" s="90" t="s">
        <v>2903</v>
      </c>
      <c r="R58" s="100" t="str">
        <f t="shared" si="6"/>
        <v>#REF!</v>
      </c>
      <c r="S58" s="101" t="str">
        <f t="shared" si="7"/>
        <v>#REF!</v>
      </c>
      <c r="T58" s="102" t="str">
        <f t="shared" si="8"/>
        <v>PP25-057</v>
      </c>
      <c r="U58" s="95"/>
      <c r="V58" s="95"/>
      <c r="W58" s="103"/>
      <c r="X58" s="103"/>
      <c r="Y58" s="103"/>
      <c r="Z58" s="104"/>
    </row>
    <row r="59" ht="49.5" customHeight="1">
      <c r="A59" s="90">
        <v>58.0</v>
      </c>
      <c r="B59" s="90" t="s">
        <v>2900</v>
      </c>
      <c r="C59" s="90" t="s">
        <v>2964</v>
      </c>
      <c r="D59" s="92" t="str">
        <f t="shared" si="1"/>
        <v>PP25-058</v>
      </c>
      <c r="E59" s="92">
        <v>45729.0</v>
      </c>
      <c r="F59" s="110"/>
      <c r="G59" s="93" t="s">
        <v>2901</v>
      </c>
      <c r="H59" s="94" t="s">
        <v>19</v>
      </c>
      <c r="I59" s="94" t="s">
        <v>2954</v>
      </c>
      <c r="J59" s="95" t="s">
        <v>283</v>
      </c>
      <c r="K59" s="96">
        <v>3.78714E7</v>
      </c>
      <c r="L59" s="97">
        <f t="shared" si="20"/>
        <v>2272284</v>
      </c>
      <c r="M59" s="97">
        <f t="shared" si="3"/>
        <v>40143684</v>
      </c>
      <c r="N59" s="98">
        <f>K59*11%</f>
        <v>4165854</v>
      </c>
      <c r="O59" s="97">
        <f t="shared" si="5"/>
        <v>44309538</v>
      </c>
      <c r="P59" s="99"/>
      <c r="Q59" s="90" t="s">
        <v>2903</v>
      </c>
      <c r="R59" s="100" t="str">
        <f t="shared" si="6"/>
        <v>#REF!</v>
      </c>
      <c r="S59" s="101" t="str">
        <f t="shared" si="7"/>
        <v>#REF!</v>
      </c>
      <c r="T59" s="102" t="str">
        <f t="shared" si="8"/>
        <v>PP25-058</v>
      </c>
      <c r="U59" s="95"/>
      <c r="V59" s="95"/>
      <c r="W59" s="103"/>
      <c r="X59" s="103"/>
      <c r="Y59" s="103"/>
      <c r="Z59" s="104"/>
    </row>
    <row r="60" ht="49.5" customHeight="1">
      <c r="A60" s="90">
        <v>59.0</v>
      </c>
      <c r="B60" s="90" t="s">
        <v>2900</v>
      </c>
      <c r="C60" s="92" t="s">
        <v>2965</v>
      </c>
      <c r="D60" s="92" t="str">
        <f t="shared" si="1"/>
        <v>PP25-059</v>
      </c>
      <c r="E60" s="92">
        <v>45729.0</v>
      </c>
      <c r="F60" s="93"/>
      <c r="G60" s="93" t="s">
        <v>2901</v>
      </c>
      <c r="H60" s="94" t="s">
        <v>19</v>
      </c>
      <c r="I60" s="94" t="s">
        <v>2954</v>
      </c>
      <c r="J60" s="95" t="s">
        <v>285</v>
      </c>
      <c r="K60" s="96">
        <v>3.45224338E8</v>
      </c>
      <c r="L60" s="97">
        <f t="shared" si="20"/>
        <v>20713460.28</v>
      </c>
      <c r="M60" s="97">
        <f t="shared" si="3"/>
        <v>365937798.3</v>
      </c>
      <c r="N60" s="98">
        <f t="shared" ref="N60:N108" si="21">M60*11%</f>
        <v>40253157.81</v>
      </c>
      <c r="O60" s="97">
        <f t="shared" si="5"/>
        <v>406190956.1</v>
      </c>
      <c r="P60" s="99"/>
      <c r="Q60" s="90" t="s">
        <v>2903</v>
      </c>
      <c r="R60" s="100"/>
      <c r="S60" s="101" t="str">
        <f t="shared" si="7"/>
        <v>#REF!</v>
      </c>
      <c r="T60" s="102" t="str">
        <f t="shared" si="8"/>
        <v>PP25-059</v>
      </c>
      <c r="U60" s="95"/>
      <c r="V60" s="95"/>
      <c r="W60" s="103"/>
      <c r="X60" s="103"/>
      <c r="Y60" s="103"/>
      <c r="Z60" s="104"/>
    </row>
    <row r="61" ht="49.5" customHeight="1">
      <c r="A61" s="90">
        <v>60.0</v>
      </c>
      <c r="B61" s="90" t="s">
        <v>2900</v>
      </c>
      <c r="C61" s="90" t="s">
        <v>2966</v>
      </c>
      <c r="D61" s="92" t="str">
        <f t="shared" si="1"/>
        <v>PP25-060</v>
      </c>
      <c r="E61" s="92">
        <v>45729.0</v>
      </c>
      <c r="F61" s="93"/>
      <c r="G61" s="93" t="s">
        <v>2901</v>
      </c>
      <c r="H61" s="94" t="s">
        <v>19</v>
      </c>
      <c r="I61" s="94" t="s">
        <v>2954</v>
      </c>
      <c r="J61" s="95" t="s">
        <v>525</v>
      </c>
      <c r="K61" s="96">
        <v>2.53294074E8</v>
      </c>
      <c r="L61" s="97">
        <f t="shared" ref="L61:L63" si="22">K61*5.6%</f>
        <v>14184468.14</v>
      </c>
      <c r="M61" s="97">
        <f t="shared" si="3"/>
        <v>267478542.1</v>
      </c>
      <c r="N61" s="98">
        <f t="shared" si="21"/>
        <v>29422639.64</v>
      </c>
      <c r="O61" s="97">
        <f t="shared" si="5"/>
        <v>296901181.8</v>
      </c>
      <c r="P61" s="99"/>
      <c r="Q61" s="90" t="s">
        <v>2903</v>
      </c>
      <c r="R61" s="100"/>
      <c r="S61" s="101" t="str">
        <f t="shared" si="7"/>
        <v>#REF!</v>
      </c>
      <c r="T61" s="102" t="str">
        <f t="shared" si="8"/>
        <v>PP25-060</v>
      </c>
      <c r="U61" s="95"/>
      <c r="V61" s="95"/>
      <c r="W61" s="103"/>
      <c r="X61" s="103"/>
      <c r="Y61" s="103"/>
      <c r="Z61" s="104"/>
    </row>
    <row r="62" ht="49.5" customHeight="1">
      <c r="A62" s="90">
        <v>61.0</v>
      </c>
      <c r="B62" s="90" t="s">
        <v>2900</v>
      </c>
      <c r="C62" s="92" t="s">
        <v>2967</v>
      </c>
      <c r="D62" s="92" t="str">
        <f t="shared" si="1"/>
        <v>PP25-061</v>
      </c>
      <c r="E62" s="92">
        <v>45729.0</v>
      </c>
      <c r="F62" s="93"/>
      <c r="G62" s="93" t="s">
        <v>2901</v>
      </c>
      <c r="H62" s="94" t="s">
        <v>19</v>
      </c>
      <c r="I62" s="94" t="s">
        <v>2954</v>
      </c>
      <c r="J62" s="95" t="s">
        <v>531</v>
      </c>
      <c r="K62" s="96">
        <v>2.49980433E8</v>
      </c>
      <c r="L62" s="97">
        <f t="shared" si="22"/>
        <v>13998904.25</v>
      </c>
      <c r="M62" s="97">
        <f t="shared" si="3"/>
        <v>263979337.2</v>
      </c>
      <c r="N62" s="98">
        <f t="shared" si="21"/>
        <v>29037727.1</v>
      </c>
      <c r="O62" s="97">
        <f t="shared" si="5"/>
        <v>293017064.3</v>
      </c>
      <c r="P62" s="99"/>
      <c r="Q62" s="90" t="s">
        <v>2903</v>
      </c>
      <c r="R62" s="100"/>
      <c r="S62" s="101" t="str">
        <f t="shared" si="7"/>
        <v>#REF!</v>
      </c>
      <c r="T62" s="102" t="str">
        <f t="shared" si="8"/>
        <v>PP25-061</v>
      </c>
      <c r="U62" s="95"/>
      <c r="V62" s="95"/>
      <c r="W62" s="103"/>
      <c r="X62" s="103"/>
      <c r="Y62" s="103"/>
      <c r="Z62" s="104"/>
    </row>
    <row r="63" ht="49.5" customHeight="1">
      <c r="A63" s="90">
        <v>62.0</v>
      </c>
      <c r="B63" s="90" t="s">
        <v>2900</v>
      </c>
      <c r="C63" s="90" t="s">
        <v>2968</v>
      </c>
      <c r="D63" s="92" t="str">
        <f t="shared" si="1"/>
        <v>PP25-062</v>
      </c>
      <c r="E63" s="92">
        <v>45733.0</v>
      </c>
      <c r="F63" s="93"/>
      <c r="G63" s="93" t="s">
        <v>2901</v>
      </c>
      <c r="H63" s="94" t="s">
        <v>19</v>
      </c>
      <c r="I63" s="94" t="s">
        <v>2954</v>
      </c>
      <c r="J63" s="95" t="s">
        <v>537</v>
      </c>
      <c r="K63" s="96">
        <v>8.9432653E7</v>
      </c>
      <c r="L63" s="97">
        <f t="shared" si="22"/>
        <v>5008228.568</v>
      </c>
      <c r="M63" s="97">
        <f t="shared" si="3"/>
        <v>94440881.57</v>
      </c>
      <c r="N63" s="98">
        <f t="shared" si="21"/>
        <v>10388496.97</v>
      </c>
      <c r="O63" s="97">
        <f t="shared" si="5"/>
        <v>104829378.5</v>
      </c>
      <c r="P63" s="99"/>
      <c r="Q63" s="90" t="s">
        <v>2903</v>
      </c>
      <c r="R63" s="100"/>
      <c r="S63" s="101" t="str">
        <f t="shared" si="7"/>
        <v>#REF!</v>
      </c>
      <c r="T63" s="102" t="str">
        <f t="shared" si="8"/>
        <v>PP25-062</v>
      </c>
      <c r="U63" s="95"/>
      <c r="V63" s="95"/>
      <c r="W63" s="103"/>
      <c r="X63" s="103"/>
      <c r="Y63" s="103"/>
      <c r="Z63" s="104"/>
    </row>
    <row r="64" ht="49.5" customHeight="1">
      <c r="A64" s="90">
        <v>63.0</v>
      </c>
      <c r="B64" s="90" t="s">
        <v>2900</v>
      </c>
      <c r="C64" s="92" t="s">
        <v>2969</v>
      </c>
      <c r="D64" s="92" t="str">
        <f t="shared" si="1"/>
        <v>PP25-063</v>
      </c>
      <c r="E64" s="92">
        <v>45733.0</v>
      </c>
      <c r="F64" s="93"/>
      <c r="G64" s="93" t="s">
        <v>2901</v>
      </c>
      <c r="H64" s="94" t="s">
        <v>19</v>
      </c>
      <c r="I64" s="94" t="s">
        <v>2954</v>
      </c>
      <c r="J64" s="95" t="s">
        <v>301</v>
      </c>
      <c r="K64" s="96">
        <v>9.09024698E8</v>
      </c>
      <c r="L64" s="97">
        <f>K64*5.5%</f>
        <v>49996358.39</v>
      </c>
      <c r="M64" s="97">
        <f t="shared" si="3"/>
        <v>959021056.4</v>
      </c>
      <c r="N64" s="98">
        <f t="shared" si="21"/>
        <v>105492316.2</v>
      </c>
      <c r="O64" s="97">
        <f t="shared" si="5"/>
        <v>1064513373</v>
      </c>
      <c r="P64" s="99"/>
      <c r="Q64" s="90" t="s">
        <v>2903</v>
      </c>
      <c r="R64" s="100"/>
      <c r="S64" s="101" t="str">
        <f t="shared" si="7"/>
        <v>#REF!</v>
      </c>
      <c r="T64" s="102" t="str">
        <f t="shared" si="8"/>
        <v>PP25-063</v>
      </c>
      <c r="U64" s="95"/>
      <c r="V64" s="95"/>
      <c r="W64" s="103"/>
      <c r="X64" s="103"/>
      <c r="Y64" s="103"/>
      <c r="Z64" s="104"/>
    </row>
    <row r="65" ht="49.5" customHeight="1">
      <c r="A65" s="90">
        <v>63.0</v>
      </c>
      <c r="B65" s="90" t="s">
        <v>2900</v>
      </c>
      <c r="C65" s="92" t="s">
        <v>2970</v>
      </c>
      <c r="D65" s="92" t="str">
        <f t="shared" si="1"/>
        <v>PP25-064</v>
      </c>
      <c r="E65" s="92">
        <v>45733.0</v>
      </c>
      <c r="F65" s="93"/>
      <c r="G65" s="93" t="s">
        <v>2901</v>
      </c>
      <c r="H65" s="94" t="s">
        <v>19</v>
      </c>
      <c r="I65" s="94"/>
      <c r="J65" s="95" t="s">
        <v>589</v>
      </c>
      <c r="K65" s="96">
        <v>2.7546282E8</v>
      </c>
      <c r="L65" s="97"/>
      <c r="M65" s="97">
        <f t="shared" si="3"/>
        <v>275462820</v>
      </c>
      <c r="N65" s="98">
        <f t="shared" si="21"/>
        <v>30300910.2</v>
      </c>
      <c r="O65" s="97">
        <f t="shared" si="5"/>
        <v>305763730.2</v>
      </c>
      <c r="P65" s="99"/>
      <c r="Q65" s="111" t="s">
        <v>2911</v>
      </c>
      <c r="R65" s="100"/>
      <c r="S65" s="101" t="str">
        <f t="shared" si="7"/>
        <v>#REF!</v>
      </c>
      <c r="T65" s="102" t="str">
        <f t="shared" si="8"/>
        <v>PP25-064</v>
      </c>
      <c r="U65" s="95"/>
      <c r="V65" s="95"/>
      <c r="W65" s="103"/>
      <c r="X65" s="103"/>
      <c r="Y65" s="103"/>
      <c r="Z65" s="104"/>
    </row>
    <row r="66" ht="49.5" customHeight="1">
      <c r="A66" s="90">
        <v>63.0</v>
      </c>
      <c r="B66" s="90" t="s">
        <v>2900</v>
      </c>
      <c r="C66" s="92" t="s">
        <v>2971</v>
      </c>
      <c r="D66" s="92" t="str">
        <f t="shared" si="1"/>
        <v>PP25-065</v>
      </c>
      <c r="E66" s="92">
        <v>45733.0</v>
      </c>
      <c r="F66" s="93"/>
      <c r="G66" s="93" t="s">
        <v>2901</v>
      </c>
      <c r="H66" s="94" t="s">
        <v>19</v>
      </c>
      <c r="I66" s="94"/>
      <c r="J66" s="95" t="s">
        <v>594</v>
      </c>
      <c r="K66" s="96">
        <v>1.3413324E7</v>
      </c>
      <c r="L66" s="97"/>
      <c r="M66" s="97">
        <f t="shared" si="3"/>
        <v>13413324</v>
      </c>
      <c r="N66" s="98">
        <f t="shared" si="21"/>
        <v>1475465.64</v>
      </c>
      <c r="O66" s="97">
        <f t="shared" si="5"/>
        <v>14888789.64</v>
      </c>
      <c r="P66" s="99"/>
      <c r="Q66" s="111" t="s">
        <v>2911</v>
      </c>
      <c r="R66" s="100"/>
      <c r="S66" s="101" t="str">
        <f t="shared" si="7"/>
        <v>#REF!</v>
      </c>
      <c r="T66" s="102" t="str">
        <f t="shared" si="8"/>
        <v>PP25-065</v>
      </c>
      <c r="U66" s="95"/>
      <c r="V66" s="95"/>
      <c r="W66" s="103"/>
      <c r="X66" s="103"/>
      <c r="Y66" s="103"/>
      <c r="Z66" s="104"/>
    </row>
    <row r="67" ht="49.5" customHeight="1">
      <c r="A67" s="90">
        <v>63.0</v>
      </c>
      <c r="B67" s="90" t="s">
        <v>2900</v>
      </c>
      <c r="C67" s="92" t="s">
        <v>2972</v>
      </c>
      <c r="D67" s="92" t="str">
        <f t="shared" si="1"/>
        <v>PP25-066</v>
      </c>
      <c r="E67" s="92">
        <v>45734.0</v>
      </c>
      <c r="F67" s="93"/>
      <c r="G67" s="93" t="s">
        <v>2901</v>
      </c>
      <c r="H67" s="94" t="s">
        <v>19</v>
      </c>
      <c r="I67" s="94"/>
      <c r="J67" s="95" t="s">
        <v>599</v>
      </c>
      <c r="K67" s="96">
        <v>1.97169921E8</v>
      </c>
      <c r="L67" s="97">
        <f>K67*5.6%</f>
        <v>11041515.58</v>
      </c>
      <c r="M67" s="97">
        <f t="shared" si="3"/>
        <v>208211436.6</v>
      </c>
      <c r="N67" s="98">
        <f t="shared" si="21"/>
        <v>22903258.02</v>
      </c>
      <c r="O67" s="97">
        <f t="shared" si="5"/>
        <v>231114694.6</v>
      </c>
      <c r="P67" s="99"/>
      <c r="Q67" s="90" t="s">
        <v>2903</v>
      </c>
      <c r="R67" s="100"/>
      <c r="S67" s="101" t="str">
        <f t="shared" si="7"/>
        <v>#REF!</v>
      </c>
      <c r="T67" s="102" t="str">
        <f t="shared" si="8"/>
        <v>PP25-066</v>
      </c>
      <c r="U67" s="95"/>
      <c r="V67" s="95"/>
      <c r="W67" s="103"/>
      <c r="X67" s="103"/>
      <c r="Y67" s="103"/>
      <c r="Z67" s="104"/>
    </row>
    <row r="68" ht="49.5" customHeight="1">
      <c r="A68" s="90">
        <v>63.0</v>
      </c>
      <c r="B68" s="90" t="s">
        <v>2900</v>
      </c>
      <c r="C68" s="92" t="s">
        <v>2973</v>
      </c>
      <c r="D68" s="92" t="str">
        <f t="shared" si="1"/>
        <v>PP25-067</v>
      </c>
      <c r="E68" s="92">
        <v>45734.0</v>
      </c>
      <c r="F68" s="110"/>
      <c r="G68" s="93" t="s">
        <v>2901</v>
      </c>
      <c r="H68" s="94" t="s">
        <v>19</v>
      </c>
      <c r="I68" s="94"/>
      <c r="J68" s="95" t="s">
        <v>315</v>
      </c>
      <c r="K68" s="96">
        <v>8.19941583E8</v>
      </c>
      <c r="L68" s="97">
        <f>K68*5.5%</f>
        <v>45096787.07</v>
      </c>
      <c r="M68" s="97">
        <f t="shared" si="3"/>
        <v>865038370.1</v>
      </c>
      <c r="N68" s="98">
        <f t="shared" si="21"/>
        <v>95154220.71</v>
      </c>
      <c r="O68" s="97">
        <f t="shared" si="5"/>
        <v>960192590.8</v>
      </c>
      <c r="P68" s="99"/>
      <c r="Q68" s="90" t="s">
        <v>2903</v>
      </c>
      <c r="R68" s="100"/>
      <c r="S68" s="101" t="str">
        <f t="shared" si="7"/>
        <v>#REF!</v>
      </c>
      <c r="T68" s="102" t="str">
        <f t="shared" si="8"/>
        <v>PP25-067</v>
      </c>
      <c r="U68" s="95"/>
      <c r="V68" s="95"/>
      <c r="W68" s="103"/>
      <c r="X68" s="103"/>
      <c r="Y68" s="103"/>
      <c r="Z68" s="104"/>
    </row>
    <row r="69" ht="49.5" customHeight="1">
      <c r="A69" s="90">
        <v>63.0</v>
      </c>
      <c r="B69" s="90" t="s">
        <v>2900</v>
      </c>
      <c r="C69" s="92" t="s">
        <v>2974</v>
      </c>
      <c r="D69" s="92" t="str">
        <f t="shared" si="1"/>
        <v>PP25-068</v>
      </c>
      <c r="E69" s="92">
        <v>45736.0</v>
      </c>
      <c r="F69" s="110"/>
      <c r="G69" s="93" t="s">
        <v>2901</v>
      </c>
      <c r="H69" s="94" t="s">
        <v>19</v>
      </c>
      <c r="I69" s="94"/>
      <c r="J69" s="95" t="s">
        <v>605</v>
      </c>
      <c r="K69" s="96">
        <v>1.9409968E7</v>
      </c>
      <c r="L69" s="97"/>
      <c r="M69" s="97">
        <f t="shared" si="3"/>
        <v>19409968</v>
      </c>
      <c r="N69" s="98">
        <f t="shared" si="21"/>
        <v>2135096.48</v>
      </c>
      <c r="O69" s="97">
        <f t="shared" si="5"/>
        <v>21545064.48</v>
      </c>
      <c r="P69" s="99"/>
      <c r="Q69" s="90" t="s">
        <v>2903</v>
      </c>
      <c r="R69" s="100"/>
      <c r="S69" s="101" t="str">
        <f t="shared" si="7"/>
        <v>#REF!</v>
      </c>
      <c r="T69" s="102" t="str">
        <f t="shared" si="8"/>
        <v>PP25-068</v>
      </c>
      <c r="U69" s="95"/>
      <c r="V69" s="95"/>
      <c r="W69" s="103"/>
      <c r="X69" s="103"/>
      <c r="Y69" s="103"/>
      <c r="Z69" s="104"/>
    </row>
    <row r="70" ht="49.5" customHeight="1">
      <c r="A70" s="90">
        <v>63.0</v>
      </c>
      <c r="B70" s="90" t="s">
        <v>2900</v>
      </c>
      <c r="C70" s="92" t="s">
        <v>2975</v>
      </c>
      <c r="D70" s="92" t="str">
        <f t="shared" si="1"/>
        <v>PP25-069</v>
      </c>
      <c r="E70" s="92">
        <v>45736.0</v>
      </c>
      <c r="F70" s="93"/>
      <c r="G70" s="93" t="s">
        <v>2901</v>
      </c>
      <c r="H70" s="94" t="s">
        <v>19</v>
      </c>
      <c r="I70" s="94"/>
      <c r="J70" s="95" t="s">
        <v>320</v>
      </c>
      <c r="K70" s="96">
        <v>1.66464417E8</v>
      </c>
      <c r="L70" s="97">
        <f t="shared" ref="L70:L72" si="23">K70*5.3%</f>
        <v>8822614.101</v>
      </c>
      <c r="M70" s="97">
        <f t="shared" si="3"/>
        <v>175287031.1</v>
      </c>
      <c r="N70" s="98">
        <f t="shared" si="21"/>
        <v>19281573.42</v>
      </c>
      <c r="O70" s="97">
        <f t="shared" si="5"/>
        <v>194568604.5</v>
      </c>
      <c r="P70" s="99"/>
      <c r="Q70" s="90" t="s">
        <v>2949</v>
      </c>
      <c r="R70" s="100"/>
      <c r="S70" s="101" t="str">
        <f t="shared" si="7"/>
        <v>#REF!</v>
      </c>
      <c r="T70" s="102" t="str">
        <f t="shared" si="8"/>
        <v>PP25-069</v>
      </c>
      <c r="U70" s="95"/>
      <c r="V70" s="95"/>
      <c r="W70" s="103"/>
      <c r="X70" s="103"/>
      <c r="Y70" s="103"/>
      <c r="Z70" s="104"/>
    </row>
    <row r="71" ht="49.5" customHeight="1">
      <c r="A71" s="90"/>
      <c r="B71" s="90" t="s">
        <v>2900</v>
      </c>
      <c r="C71" s="92" t="s">
        <v>2976</v>
      </c>
      <c r="D71" s="92" t="str">
        <f t="shared" si="1"/>
        <v>PP25-070</v>
      </c>
      <c r="E71" s="92">
        <v>45736.0</v>
      </c>
      <c r="F71" s="93"/>
      <c r="G71" s="93" t="s">
        <v>2901</v>
      </c>
      <c r="H71" s="94" t="s">
        <v>19</v>
      </c>
      <c r="I71" s="94"/>
      <c r="J71" s="95" t="s">
        <v>322</v>
      </c>
      <c r="K71" s="96">
        <v>2.9435993E7</v>
      </c>
      <c r="L71" s="97">
        <f t="shared" si="23"/>
        <v>1560107.629</v>
      </c>
      <c r="M71" s="97">
        <f t="shared" si="3"/>
        <v>30996100.63</v>
      </c>
      <c r="N71" s="98">
        <f t="shared" si="21"/>
        <v>3409571.069</v>
      </c>
      <c r="O71" s="97">
        <f t="shared" si="5"/>
        <v>34405671.7</v>
      </c>
      <c r="P71" s="99"/>
      <c r="Q71" s="90" t="s">
        <v>2949</v>
      </c>
      <c r="R71" s="100"/>
      <c r="S71" s="101" t="str">
        <f t="shared" si="7"/>
        <v>#REF!</v>
      </c>
      <c r="T71" s="102" t="str">
        <f t="shared" si="8"/>
        <v>PP25-070</v>
      </c>
      <c r="U71" s="95"/>
      <c r="V71" s="95"/>
      <c r="W71" s="103"/>
      <c r="X71" s="103"/>
      <c r="Y71" s="103"/>
      <c r="Z71" s="104"/>
    </row>
    <row r="72" ht="49.5" customHeight="1">
      <c r="A72" s="90"/>
      <c r="B72" s="90" t="s">
        <v>2900</v>
      </c>
      <c r="C72" s="92" t="s">
        <v>2977</v>
      </c>
      <c r="D72" s="92" t="str">
        <f t="shared" si="1"/>
        <v>PP25-071</v>
      </c>
      <c r="E72" s="92">
        <v>45736.0</v>
      </c>
      <c r="F72" s="93"/>
      <c r="G72" s="93" t="s">
        <v>2901</v>
      </c>
      <c r="H72" s="94" t="s">
        <v>19</v>
      </c>
      <c r="I72" s="94"/>
      <c r="J72" s="95" t="s">
        <v>324</v>
      </c>
      <c r="K72" s="96">
        <v>2.6556529E7</v>
      </c>
      <c r="L72" s="97">
        <f t="shared" si="23"/>
        <v>1407496.037</v>
      </c>
      <c r="M72" s="97">
        <f t="shared" si="3"/>
        <v>27964025.04</v>
      </c>
      <c r="N72" s="98">
        <f t="shared" si="21"/>
        <v>3076042.754</v>
      </c>
      <c r="O72" s="97">
        <f t="shared" si="5"/>
        <v>31040067.79</v>
      </c>
      <c r="P72" s="99"/>
      <c r="Q72" s="90" t="s">
        <v>2949</v>
      </c>
      <c r="R72" s="100"/>
      <c r="S72" s="101" t="str">
        <f t="shared" si="7"/>
        <v>#REF!</v>
      </c>
      <c r="T72" s="102" t="str">
        <f t="shared" si="8"/>
        <v>PP25-071</v>
      </c>
      <c r="U72" s="95"/>
      <c r="V72" s="95"/>
      <c r="W72" s="103"/>
      <c r="X72" s="103"/>
      <c r="Y72" s="103"/>
      <c r="Z72" s="104"/>
    </row>
    <row r="73" ht="49.5" customHeight="1">
      <c r="A73" s="90"/>
      <c r="B73" s="90" t="s">
        <v>2900</v>
      </c>
      <c r="C73" s="92" t="s">
        <v>2978</v>
      </c>
      <c r="D73" s="92" t="str">
        <f t="shared" si="1"/>
        <v>PP25-072</v>
      </c>
      <c r="E73" s="92">
        <v>45736.0</v>
      </c>
      <c r="F73" s="110"/>
      <c r="G73" s="116" t="s">
        <v>238</v>
      </c>
      <c r="H73" s="94" t="s">
        <v>238</v>
      </c>
      <c r="I73" s="94"/>
      <c r="J73" s="95" t="s">
        <v>326</v>
      </c>
      <c r="K73" s="96">
        <v>5.1519251E7</v>
      </c>
      <c r="L73" s="97">
        <f>K73*10%</f>
        <v>5151925.1</v>
      </c>
      <c r="M73" s="97">
        <f t="shared" si="3"/>
        <v>56671176.1</v>
      </c>
      <c r="N73" s="98">
        <f t="shared" si="21"/>
        <v>6233829.371</v>
      </c>
      <c r="O73" s="97">
        <f t="shared" si="5"/>
        <v>62905005.47</v>
      </c>
      <c r="P73" s="99"/>
      <c r="Q73" s="90" t="s">
        <v>2949</v>
      </c>
      <c r="R73" s="100"/>
      <c r="S73" s="101" t="str">
        <f t="shared" si="7"/>
        <v>#REF!</v>
      </c>
      <c r="T73" s="102" t="str">
        <f t="shared" si="8"/>
        <v>PP25-072</v>
      </c>
      <c r="U73" s="95"/>
      <c r="V73" s="95"/>
      <c r="W73" s="103"/>
      <c r="X73" s="103"/>
      <c r="Y73" s="103"/>
      <c r="Z73" s="104"/>
    </row>
    <row r="74" ht="49.5" customHeight="1">
      <c r="A74" s="90"/>
      <c r="B74" s="90" t="s">
        <v>2900</v>
      </c>
      <c r="C74" s="92" t="s">
        <v>2979</v>
      </c>
      <c r="D74" s="92" t="str">
        <f t="shared" si="1"/>
        <v>PP25-073</v>
      </c>
      <c r="E74" s="92">
        <v>45737.0</v>
      </c>
      <c r="F74" s="110"/>
      <c r="G74" s="93" t="s">
        <v>2901</v>
      </c>
      <c r="H74" s="94" t="s">
        <v>19</v>
      </c>
      <c r="I74" s="94"/>
      <c r="J74" s="95" t="s">
        <v>628</v>
      </c>
      <c r="K74" s="96">
        <v>9.8848267E7</v>
      </c>
      <c r="L74" s="97">
        <f>K74*5.6%</f>
        <v>5535502.952</v>
      </c>
      <c r="M74" s="97">
        <f t="shared" si="3"/>
        <v>104383770</v>
      </c>
      <c r="N74" s="98">
        <f t="shared" si="21"/>
        <v>11482214.69</v>
      </c>
      <c r="O74" s="97">
        <f t="shared" si="5"/>
        <v>115865984.6</v>
      </c>
      <c r="P74" s="99"/>
      <c r="Q74" s="90" t="s">
        <v>2903</v>
      </c>
      <c r="R74" s="100"/>
      <c r="S74" s="101" t="str">
        <f t="shared" si="7"/>
        <v>#REF!</v>
      </c>
      <c r="T74" s="102" t="str">
        <f t="shared" si="8"/>
        <v>PP25-073</v>
      </c>
      <c r="U74" s="95"/>
      <c r="V74" s="95"/>
      <c r="W74" s="103"/>
      <c r="X74" s="103"/>
      <c r="Y74" s="103"/>
      <c r="Z74" s="104"/>
    </row>
    <row r="75" ht="49.5" customHeight="1">
      <c r="A75" s="90"/>
      <c r="B75" s="90" t="s">
        <v>2900</v>
      </c>
      <c r="C75" s="92" t="s">
        <v>2980</v>
      </c>
      <c r="D75" s="92" t="str">
        <f t="shared" si="1"/>
        <v>PP25-074</v>
      </c>
      <c r="E75" s="92">
        <v>45741.0</v>
      </c>
      <c r="F75" s="110"/>
      <c r="G75" s="116" t="s">
        <v>238</v>
      </c>
      <c r="H75" s="94" t="s">
        <v>238</v>
      </c>
      <c r="I75" s="94"/>
      <c r="J75" s="95" t="s">
        <v>326</v>
      </c>
      <c r="K75" s="96">
        <v>5.1519251E7</v>
      </c>
      <c r="L75" s="97">
        <f>K75*10%</f>
        <v>5151925.1</v>
      </c>
      <c r="M75" s="97">
        <f t="shared" si="3"/>
        <v>56671176.1</v>
      </c>
      <c r="N75" s="98">
        <f t="shared" si="21"/>
        <v>6233829.371</v>
      </c>
      <c r="O75" s="97">
        <f t="shared" si="5"/>
        <v>62905005.47</v>
      </c>
      <c r="P75" s="99"/>
      <c r="Q75" s="90" t="s">
        <v>2903</v>
      </c>
      <c r="R75" s="100"/>
      <c r="S75" s="101" t="str">
        <f t="shared" si="7"/>
        <v>#REF!</v>
      </c>
      <c r="T75" s="102" t="str">
        <f t="shared" si="8"/>
        <v>PP25-074</v>
      </c>
      <c r="U75" s="95"/>
      <c r="V75" s="95"/>
      <c r="W75" s="103"/>
      <c r="X75" s="103"/>
      <c r="Y75" s="103"/>
      <c r="Z75" s="104"/>
    </row>
    <row r="76" ht="49.5" customHeight="1">
      <c r="A76" s="90"/>
      <c r="B76" s="90" t="s">
        <v>2900</v>
      </c>
      <c r="C76" s="92" t="s">
        <v>2981</v>
      </c>
      <c r="D76" s="92" t="str">
        <f t="shared" si="1"/>
        <v>PP25-075</v>
      </c>
      <c r="E76" s="92">
        <v>45741.0</v>
      </c>
      <c r="F76" s="93"/>
      <c r="G76" s="93" t="s">
        <v>2901</v>
      </c>
      <c r="H76" s="94" t="s">
        <v>19</v>
      </c>
      <c r="I76" s="94"/>
      <c r="J76" s="95" t="s">
        <v>634</v>
      </c>
      <c r="K76" s="96">
        <v>3.18395442E8</v>
      </c>
      <c r="L76" s="97"/>
      <c r="M76" s="97">
        <f t="shared" si="3"/>
        <v>318395442</v>
      </c>
      <c r="N76" s="98">
        <f t="shared" si="21"/>
        <v>35023498.62</v>
      </c>
      <c r="O76" s="97">
        <f t="shared" si="5"/>
        <v>353418940.6</v>
      </c>
      <c r="P76" s="99"/>
      <c r="Q76" s="111" t="s">
        <v>2911</v>
      </c>
      <c r="R76" s="100"/>
      <c r="S76" s="101" t="str">
        <f t="shared" si="7"/>
        <v>#REF!</v>
      </c>
      <c r="T76" s="102" t="str">
        <f t="shared" si="8"/>
        <v>PP25-075</v>
      </c>
      <c r="U76" s="95"/>
      <c r="V76" s="95"/>
      <c r="W76" s="103"/>
      <c r="X76" s="103"/>
      <c r="Y76" s="103"/>
      <c r="Z76" s="104"/>
    </row>
    <row r="77" ht="49.5" customHeight="1">
      <c r="A77" s="90"/>
      <c r="B77" s="90" t="s">
        <v>2900</v>
      </c>
      <c r="C77" s="92" t="s">
        <v>2982</v>
      </c>
      <c r="D77" s="92" t="str">
        <f t="shared" si="1"/>
        <v>PP25-076</v>
      </c>
      <c r="E77" s="92">
        <v>45741.0</v>
      </c>
      <c r="F77" s="93"/>
      <c r="G77" s="93" t="s">
        <v>2901</v>
      </c>
      <c r="H77" s="94" t="s">
        <v>19</v>
      </c>
      <c r="I77" s="94"/>
      <c r="J77" s="95" t="s">
        <v>645</v>
      </c>
      <c r="K77" s="96">
        <v>2.6564013E7</v>
      </c>
      <c r="L77" s="97"/>
      <c r="M77" s="97">
        <f t="shared" si="3"/>
        <v>26564013</v>
      </c>
      <c r="N77" s="98">
        <f t="shared" si="21"/>
        <v>2922041.43</v>
      </c>
      <c r="O77" s="97">
        <f t="shared" si="5"/>
        <v>29486054.43</v>
      </c>
      <c r="P77" s="99"/>
      <c r="Q77" s="111" t="s">
        <v>2911</v>
      </c>
      <c r="R77" s="100"/>
      <c r="S77" s="101" t="str">
        <f t="shared" si="7"/>
        <v>#REF!</v>
      </c>
      <c r="T77" s="102" t="str">
        <f t="shared" si="8"/>
        <v>PP25-076</v>
      </c>
      <c r="U77" s="95"/>
      <c r="V77" s="95"/>
      <c r="W77" s="103"/>
      <c r="X77" s="103"/>
      <c r="Y77" s="103"/>
      <c r="Z77" s="104"/>
    </row>
    <row r="78" ht="49.5" customHeight="1">
      <c r="A78" s="90"/>
      <c r="B78" s="90" t="s">
        <v>2900</v>
      </c>
      <c r="C78" s="92" t="s">
        <v>2983</v>
      </c>
      <c r="D78" s="92" t="str">
        <f t="shared" si="1"/>
        <v>PP25-077</v>
      </c>
      <c r="E78" s="92">
        <v>45741.0</v>
      </c>
      <c r="F78" s="93"/>
      <c r="G78" s="93" t="s">
        <v>2901</v>
      </c>
      <c r="H78" s="94" t="s">
        <v>19</v>
      </c>
      <c r="I78" s="94"/>
      <c r="J78" s="95" t="s">
        <v>656</v>
      </c>
      <c r="K78" s="96">
        <v>5.8988153E7</v>
      </c>
      <c r="L78" s="97"/>
      <c r="M78" s="97">
        <f t="shared" si="3"/>
        <v>58988153</v>
      </c>
      <c r="N78" s="98">
        <f t="shared" si="21"/>
        <v>6488696.83</v>
      </c>
      <c r="O78" s="97">
        <f t="shared" si="5"/>
        <v>65476849.83</v>
      </c>
      <c r="P78" s="99"/>
      <c r="Q78" s="111" t="s">
        <v>2911</v>
      </c>
      <c r="R78" s="100"/>
      <c r="S78" s="101" t="str">
        <f t="shared" si="7"/>
        <v>#REF!</v>
      </c>
      <c r="T78" s="102" t="str">
        <f t="shared" si="8"/>
        <v>PP25-077</v>
      </c>
      <c r="U78" s="95"/>
      <c r="V78" s="95"/>
      <c r="W78" s="103"/>
      <c r="X78" s="103"/>
      <c r="Y78" s="103"/>
      <c r="Z78" s="104"/>
    </row>
    <row r="79" ht="49.5" customHeight="1">
      <c r="A79" s="90"/>
      <c r="B79" s="90" t="s">
        <v>2900</v>
      </c>
      <c r="C79" s="92" t="s">
        <v>2984</v>
      </c>
      <c r="D79" s="92" t="str">
        <f t="shared" si="1"/>
        <v>PP25-078</v>
      </c>
      <c r="E79" s="92">
        <v>45741.0</v>
      </c>
      <c r="F79" s="93"/>
      <c r="G79" s="93" t="s">
        <v>2901</v>
      </c>
      <c r="H79" s="94" t="s">
        <v>19</v>
      </c>
      <c r="I79" s="94"/>
      <c r="J79" s="95" t="s">
        <v>675</v>
      </c>
      <c r="K79" s="96">
        <v>2.303901E7</v>
      </c>
      <c r="L79" s="97"/>
      <c r="M79" s="97">
        <f t="shared" si="3"/>
        <v>23039010</v>
      </c>
      <c r="N79" s="98">
        <f t="shared" si="21"/>
        <v>2534291.1</v>
      </c>
      <c r="O79" s="97">
        <f t="shared" si="5"/>
        <v>25573301.1</v>
      </c>
      <c r="P79" s="99"/>
      <c r="Q79" s="111" t="s">
        <v>2911</v>
      </c>
      <c r="R79" s="100"/>
      <c r="S79" s="101" t="str">
        <f t="shared" si="7"/>
        <v>#REF!</v>
      </c>
      <c r="T79" s="102" t="str">
        <f t="shared" si="8"/>
        <v>PP25-078</v>
      </c>
      <c r="U79" s="95"/>
      <c r="V79" s="95"/>
      <c r="W79" s="103"/>
      <c r="X79" s="103"/>
      <c r="Y79" s="103"/>
      <c r="Z79" s="104"/>
    </row>
    <row r="80" ht="49.5" customHeight="1">
      <c r="A80" s="90"/>
      <c r="B80" s="90" t="s">
        <v>2900</v>
      </c>
      <c r="C80" s="92" t="s">
        <v>2985</v>
      </c>
      <c r="D80" s="92" t="str">
        <f t="shared" si="1"/>
        <v>PP25-079</v>
      </c>
      <c r="E80" s="92">
        <v>45741.0</v>
      </c>
      <c r="F80" s="93"/>
      <c r="G80" s="93" t="s">
        <v>2901</v>
      </c>
      <c r="H80" s="94" t="s">
        <v>19</v>
      </c>
      <c r="I80" s="94"/>
      <c r="J80" s="95" t="s">
        <v>682</v>
      </c>
      <c r="K80" s="96">
        <v>6.8215746E7</v>
      </c>
      <c r="L80" s="97"/>
      <c r="M80" s="97">
        <f t="shared" si="3"/>
        <v>68215746</v>
      </c>
      <c r="N80" s="98">
        <f t="shared" si="21"/>
        <v>7503732.06</v>
      </c>
      <c r="O80" s="97">
        <f t="shared" si="5"/>
        <v>75719478.06</v>
      </c>
      <c r="P80" s="99"/>
      <c r="Q80" s="111" t="s">
        <v>2911</v>
      </c>
      <c r="R80" s="100"/>
      <c r="S80" s="101" t="str">
        <f t="shared" si="7"/>
        <v>#REF!</v>
      </c>
      <c r="T80" s="102" t="str">
        <f t="shared" si="8"/>
        <v>PP25-079</v>
      </c>
      <c r="U80" s="95"/>
      <c r="V80" s="95"/>
      <c r="W80" s="103"/>
      <c r="X80" s="103"/>
      <c r="Y80" s="103"/>
      <c r="Z80" s="104"/>
    </row>
    <row r="81" ht="49.5" customHeight="1">
      <c r="A81" s="90"/>
      <c r="B81" s="90" t="s">
        <v>2900</v>
      </c>
      <c r="C81" s="92" t="s">
        <v>2986</v>
      </c>
      <c r="D81" s="92" t="str">
        <f t="shared" si="1"/>
        <v>PP25-080</v>
      </c>
      <c r="E81" s="92">
        <v>45741.0</v>
      </c>
      <c r="F81" s="93"/>
      <c r="G81" s="93" t="s">
        <v>2901</v>
      </c>
      <c r="H81" s="94" t="s">
        <v>19</v>
      </c>
      <c r="I81" s="94"/>
      <c r="J81" s="95" t="s">
        <v>686</v>
      </c>
      <c r="K81" s="96">
        <v>7892680.0</v>
      </c>
      <c r="L81" s="97"/>
      <c r="M81" s="97">
        <f t="shared" si="3"/>
        <v>7892680</v>
      </c>
      <c r="N81" s="98">
        <f t="shared" si="21"/>
        <v>868194.8</v>
      </c>
      <c r="O81" s="97">
        <f t="shared" si="5"/>
        <v>8760874.8</v>
      </c>
      <c r="P81" s="99"/>
      <c r="Q81" s="111" t="s">
        <v>2911</v>
      </c>
      <c r="R81" s="100"/>
      <c r="S81" s="101" t="str">
        <f t="shared" si="7"/>
        <v>#REF!</v>
      </c>
      <c r="T81" s="102" t="str">
        <f t="shared" si="8"/>
        <v>PP25-080</v>
      </c>
      <c r="U81" s="95"/>
      <c r="V81" s="95"/>
      <c r="W81" s="103"/>
      <c r="X81" s="103"/>
      <c r="Y81" s="103"/>
      <c r="Z81" s="104"/>
    </row>
    <row r="82" ht="49.5" customHeight="1">
      <c r="A82" s="90"/>
      <c r="B82" s="90" t="s">
        <v>2900</v>
      </c>
      <c r="C82" s="92" t="s">
        <v>2987</v>
      </c>
      <c r="D82" s="92" t="str">
        <f t="shared" si="1"/>
        <v>PP25-081</v>
      </c>
      <c r="E82" s="92">
        <v>45741.0</v>
      </c>
      <c r="F82" s="93"/>
      <c r="G82" s="93" t="s">
        <v>2901</v>
      </c>
      <c r="H82" s="94" t="s">
        <v>19</v>
      </c>
      <c r="I82" s="94"/>
      <c r="J82" s="95" t="s">
        <v>690</v>
      </c>
      <c r="K82" s="96">
        <v>7487584.0</v>
      </c>
      <c r="L82" s="97"/>
      <c r="M82" s="97">
        <f t="shared" si="3"/>
        <v>7487584</v>
      </c>
      <c r="N82" s="98">
        <f t="shared" si="21"/>
        <v>823634.24</v>
      </c>
      <c r="O82" s="97">
        <f t="shared" si="5"/>
        <v>8311218.24</v>
      </c>
      <c r="P82" s="99"/>
      <c r="Q82" s="111" t="s">
        <v>2911</v>
      </c>
      <c r="R82" s="100"/>
      <c r="S82" s="101" t="str">
        <f t="shared" si="7"/>
        <v>#REF!</v>
      </c>
      <c r="T82" s="102" t="str">
        <f t="shared" si="8"/>
        <v>PP25-081</v>
      </c>
      <c r="U82" s="95"/>
      <c r="V82" s="95"/>
      <c r="W82" s="103"/>
      <c r="X82" s="103"/>
      <c r="Y82" s="103"/>
      <c r="Z82" s="104"/>
    </row>
    <row r="83" ht="49.5" customHeight="1">
      <c r="A83" s="90"/>
      <c r="B83" s="90" t="s">
        <v>2900</v>
      </c>
      <c r="C83" s="92" t="s">
        <v>2988</v>
      </c>
      <c r="D83" s="92" t="str">
        <f t="shared" si="1"/>
        <v>PP25-082</v>
      </c>
      <c r="E83" s="92">
        <v>45741.0</v>
      </c>
      <c r="F83" s="93"/>
      <c r="G83" s="93" t="s">
        <v>2901</v>
      </c>
      <c r="H83" s="94" t="s">
        <v>19</v>
      </c>
      <c r="I83" s="94"/>
      <c r="J83" s="95" t="s">
        <v>363</v>
      </c>
      <c r="K83" s="96">
        <v>1.71617573E8</v>
      </c>
      <c r="L83" s="97">
        <f t="shared" ref="L83:L85" si="24">K83*5.3%</f>
        <v>9095731.369</v>
      </c>
      <c r="M83" s="97">
        <f t="shared" si="3"/>
        <v>180713304.4</v>
      </c>
      <c r="N83" s="98">
        <f t="shared" si="21"/>
        <v>19878463.48</v>
      </c>
      <c r="O83" s="97">
        <f t="shared" si="5"/>
        <v>200591767.8</v>
      </c>
      <c r="P83" s="99"/>
      <c r="Q83" s="90" t="s">
        <v>2949</v>
      </c>
      <c r="R83" s="100"/>
      <c r="S83" s="101" t="str">
        <f t="shared" si="7"/>
        <v>#REF!</v>
      </c>
      <c r="T83" s="102" t="str">
        <f t="shared" si="8"/>
        <v>PP25-082</v>
      </c>
      <c r="U83" s="95"/>
      <c r="V83" s="95"/>
      <c r="W83" s="103"/>
      <c r="X83" s="103"/>
      <c r="Y83" s="103"/>
      <c r="Z83" s="104"/>
    </row>
    <row r="84" ht="49.5" customHeight="1">
      <c r="A84" s="90"/>
      <c r="B84" s="90" t="s">
        <v>2900</v>
      </c>
      <c r="C84" s="92" t="s">
        <v>2989</v>
      </c>
      <c r="D84" s="92" t="str">
        <f t="shared" si="1"/>
        <v>PP25-083</v>
      </c>
      <c r="E84" s="92">
        <v>45741.0</v>
      </c>
      <c r="F84" s="93"/>
      <c r="G84" s="93" t="s">
        <v>2901</v>
      </c>
      <c r="H84" s="94" t="s">
        <v>19</v>
      </c>
      <c r="I84" s="94"/>
      <c r="J84" s="95" t="s">
        <v>365</v>
      </c>
      <c r="K84" s="96">
        <v>4.8368243E7</v>
      </c>
      <c r="L84" s="97">
        <f t="shared" si="24"/>
        <v>2563516.879</v>
      </c>
      <c r="M84" s="97">
        <f t="shared" si="3"/>
        <v>50931759.88</v>
      </c>
      <c r="N84" s="98">
        <f t="shared" si="21"/>
        <v>5602493.587</v>
      </c>
      <c r="O84" s="97">
        <f t="shared" si="5"/>
        <v>56534253.47</v>
      </c>
      <c r="P84" s="99"/>
      <c r="Q84" s="90" t="s">
        <v>2949</v>
      </c>
      <c r="R84" s="100"/>
      <c r="S84" s="101" t="str">
        <f t="shared" si="7"/>
        <v>#REF!</v>
      </c>
      <c r="T84" s="102" t="str">
        <f t="shared" si="8"/>
        <v>PP25-083</v>
      </c>
      <c r="U84" s="95"/>
      <c r="V84" s="95"/>
      <c r="W84" s="103"/>
      <c r="X84" s="103"/>
      <c r="Y84" s="103"/>
      <c r="Z84" s="104"/>
    </row>
    <row r="85" ht="49.5" customHeight="1">
      <c r="A85" s="90"/>
      <c r="B85" s="90" t="s">
        <v>2900</v>
      </c>
      <c r="C85" s="92" t="s">
        <v>2990</v>
      </c>
      <c r="D85" s="92" t="str">
        <f t="shared" si="1"/>
        <v>PP25-084</v>
      </c>
      <c r="E85" s="92">
        <v>45741.0</v>
      </c>
      <c r="F85" s="93"/>
      <c r="G85" s="93" t="s">
        <v>2901</v>
      </c>
      <c r="H85" s="94" t="s">
        <v>19</v>
      </c>
      <c r="I85" s="94"/>
      <c r="J85" s="95" t="s">
        <v>367</v>
      </c>
      <c r="K85" s="96">
        <v>2.7073583E7</v>
      </c>
      <c r="L85" s="97">
        <f t="shared" si="24"/>
        <v>1434899.899</v>
      </c>
      <c r="M85" s="97">
        <f t="shared" si="3"/>
        <v>28508482.9</v>
      </c>
      <c r="N85" s="98">
        <f t="shared" si="21"/>
        <v>3135933.119</v>
      </c>
      <c r="O85" s="97">
        <f t="shared" si="5"/>
        <v>31644416.02</v>
      </c>
      <c r="P85" s="99"/>
      <c r="Q85" s="90" t="s">
        <v>2903</v>
      </c>
      <c r="R85" s="100"/>
      <c r="S85" s="101" t="str">
        <f t="shared" si="7"/>
        <v>#REF!</v>
      </c>
      <c r="T85" s="102" t="str">
        <f t="shared" si="8"/>
        <v>PP25-084</v>
      </c>
      <c r="U85" s="95"/>
      <c r="V85" s="95"/>
      <c r="W85" s="103"/>
      <c r="X85" s="103"/>
      <c r="Y85" s="103"/>
      <c r="Z85" s="104"/>
    </row>
    <row r="86" ht="49.5" customHeight="1">
      <c r="A86" s="90"/>
      <c r="B86" s="90" t="s">
        <v>2900</v>
      </c>
      <c r="C86" s="92" t="s">
        <v>2991</v>
      </c>
      <c r="D86" s="92" t="str">
        <f t="shared" si="1"/>
        <v>PP25-085</v>
      </c>
      <c r="E86" s="92">
        <v>45755.0</v>
      </c>
      <c r="F86" s="93"/>
      <c r="G86" s="93" t="s">
        <v>2901</v>
      </c>
      <c r="H86" s="94" t="s">
        <v>19</v>
      </c>
      <c r="I86" s="94"/>
      <c r="J86" s="95" t="s">
        <v>369</v>
      </c>
      <c r="K86" s="96">
        <v>6.3497929E7</v>
      </c>
      <c r="L86" s="97">
        <f t="shared" ref="L86:L88" si="25">K86*6%</f>
        <v>3809875.74</v>
      </c>
      <c r="M86" s="97">
        <f t="shared" si="3"/>
        <v>67307804.74</v>
      </c>
      <c r="N86" s="98">
        <f t="shared" si="21"/>
        <v>7403858.521</v>
      </c>
      <c r="O86" s="97">
        <f t="shared" si="5"/>
        <v>74711663.26</v>
      </c>
      <c r="P86" s="99"/>
      <c r="Q86" s="90" t="s">
        <v>2903</v>
      </c>
      <c r="R86" s="100"/>
      <c r="S86" s="101" t="str">
        <f t="shared" si="7"/>
        <v>#REF!</v>
      </c>
      <c r="T86" s="102" t="str">
        <f t="shared" si="8"/>
        <v>PP25-085</v>
      </c>
      <c r="U86" s="95"/>
      <c r="V86" s="95"/>
      <c r="W86" s="103"/>
      <c r="X86" s="103"/>
      <c r="Y86" s="103"/>
      <c r="Z86" s="104"/>
    </row>
    <row r="87" ht="49.5" customHeight="1">
      <c r="A87" s="90"/>
      <c r="B87" s="90" t="s">
        <v>2900</v>
      </c>
      <c r="C87" s="92" t="s">
        <v>2992</v>
      </c>
      <c r="D87" s="92" t="str">
        <f t="shared" si="1"/>
        <v>PP25-086</v>
      </c>
      <c r="E87" s="92">
        <v>45755.0</v>
      </c>
      <c r="F87" s="93"/>
      <c r="G87" s="93" t="s">
        <v>2901</v>
      </c>
      <c r="H87" s="94" t="s">
        <v>19</v>
      </c>
      <c r="I87" s="94"/>
      <c r="J87" s="95" t="s">
        <v>371</v>
      </c>
      <c r="K87" s="96">
        <v>4.2617016E7</v>
      </c>
      <c r="L87" s="97">
        <f t="shared" si="25"/>
        <v>2557020.96</v>
      </c>
      <c r="M87" s="97">
        <f t="shared" si="3"/>
        <v>45174036.96</v>
      </c>
      <c r="N87" s="98">
        <f t="shared" si="21"/>
        <v>4969144.066</v>
      </c>
      <c r="O87" s="97">
        <f t="shared" si="5"/>
        <v>50143181.03</v>
      </c>
      <c r="P87" s="99"/>
      <c r="Q87" s="90" t="s">
        <v>2903</v>
      </c>
      <c r="R87" s="100"/>
      <c r="S87" s="101" t="str">
        <f t="shared" si="7"/>
        <v>#REF!</v>
      </c>
      <c r="T87" s="102" t="str">
        <f t="shared" si="8"/>
        <v>PP25-086</v>
      </c>
      <c r="U87" s="95"/>
      <c r="V87" s="95"/>
      <c r="W87" s="103"/>
      <c r="X87" s="103"/>
      <c r="Y87" s="103"/>
      <c r="Z87" s="104"/>
    </row>
    <row r="88" ht="49.5" customHeight="1">
      <c r="A88" s="90"/>
      <c r="B88" s="90" t="s">
        <v>2900</v>
      </c>
      <c r="C88" s="92" t="s">
        <v>2993</v>
      </c>
      <c r="D88" s="92" t="str">
        <f t="shared" si="1"/>
        <v>PP25-087</v>
      </c>
      <c r="E88" s="92">
        <v>45755.0</v>
      </c>
      <c r="F88" s="93"/>
      <c r="G88" s="93" t="s">
        <v>2901</v>
      </c>
      <c r="H88" s="94" t="s">
        <v>19</v>
      </c>
      <c r="I88" s="94"/>
      <c r="J88" s="95" t="s">
        <v>373</v>
      </c>
      <c r="K88" s="96">
        <v>4.30096733E8</v>
      </c>
      <c r="L88" s="97">
        <f t="shared" si="25"/>
        <v>25805803.98</v>
      </c>
      <c r="M88" s="97">
        <f t="shared" si="3"/>
        <v>455902537</v>
      </c>
      <c r="N88" s="98">
        <f t="shared" si="21"/>
        <v>50149279.07</v>
      </c>
      <c r="O88" s="97">
        <f t="shared" si="5"/>
        <v>506051816</v>
      </c>
      <c r="P88" s="99"/>
      <c r="Q88" s="90" t="s">
        <v>2903</v>
      </c>
      <c r="R88" s="100"/>
      <c r="S88" s="101" t="str">
        <f t="shared" si="7"/>
        <v>#REF!</v>
      </c>
      <c r="T88" s="102" t="str">
        <f t="shared" si="8"/>
        <v>PP25-087</v>
      </c>
      <c r="U88" s="95"/>
      <c r="V88" s="95"/>
      <c r="W88" s="103"/>
      <c r="X88" s="103"/>
      <c r="Y88" s="103"/>
      <c r="Z88" s="104"/>
    </row>
    <row r="89" ht="49.5" customHeight="1">
      <c r="A89" s="90"/>
      <c r="B89" s="90" t="s">
        <v>2900</v>
      </c>
      <c r="C89" s="92" t="s">
        <v>2994</v>
      </c>
      <c r="D89" s="92" t="str">
        <f t="shared" si="1"/>
        <v>PP25-088</v>
      </c>
      <c r="E89" s="92">
        <v>45755.0</v>
      </c>
      <c r="F89" s="93"/>
      <c r="G89" s="93" t="s">
        <v>2901</v>
      </c>
      <c r="H89" s="94" t="s">
        <v>19</v>
      </c>
      <c r="I89" s="94"/>
      <c r="J89" s="95" t="s">
        <v>743</v>
      </c>
      <c r="K89" s="96">
        <v>2.58075531E8</v>
      </c>
      <c r="L89" s="97">
        <f t="shared" ref="L89:L90" si="26">K89*5.6%</f>
        <v>14452229.74</v>
      </c>
      <c r="M89" s="97">
        <f t="shared" si="3"/>
        <v>272527760.7</v>
      </c>
      <c r="N89" s="98">
        <f t="shared" si="21"/>
        <v>29978053.68</v>
      </c>
      <c r="O89" s="97">
        <f t="shared" si="5"/>
        <v>302505814.4</v>
      </c>
      <c r="P89" s="99"/>
      <c r="Q89" s="90" t="s">
        <v>2903</v>
      </c>
      <c r="R89" s="100"/>
      <c r="S89" s="101" t="str">
        <f t="shared" si="7"/>
        <v>#REF!</v>
      </c>
      <c r="T89" s="102" t="str">
        <f t="shared" si="8"/>
        <v>PP25-088</v>
      </c>
      <c r="U89" s="95"/>
      <c r="V89" s="95"/>
      <c r="W89" s="103"/>
      <c r="X89" s="103"/>
      <c r="Y89" s="103"/>
      <c r="Z89" s="104"/>
    </row>
    <row r="90" ht="49.5" customHeight="1">
      <c r="A90" s="90"/>
      <c r="B90" s="90" t="s">
        <v>2900</v>
      </c>
      <c r="C90" s="105" t="s">
        <v>2995</v>
      </c>
      <c r="D90" s="92" t="str">
        <f t="shared" si="1"/>
        <v>PP25-089</v>
      </c>
      <c r="E90" s="92">
        <v>45755.0</v>
      </c>
      <c r="F90" s="93"/>
      <c r="G90" s="93" t="s">
        <v>2901</v>
      </c>
      <c r="H90" s="94" t="s">
        <v>19</v>
      </c>
      <c r="I90" s="94"/>
      <c r="J90" s="95" t="s">
        <v>749</v>
      </c>
      <c r="K90" s="96">
        <v>1.00337205E8</v>
      </c>
      <c r="L90" s="97">
        <f t="shared" si="26"/>
        <v>5618883.48</v>
      </c>
      <c r="M90" s="97">
        <f t="shared" si="3"/>
        <v>105956088.5</v>
      </c>
      <c r="N90" s="98">
        <f t="shared" si="21"/>
        <v>11655169.73</v>
      </c>
      <c r="O90" s="97">
        <f t="shared" si="5"/>
        <v>117611258.2</v>
      </c>
      <c r="P90" s="99"/>
      <c r="Q90" s="90" t="s">
        <v>2903</v>
      </c>
      <c r="R90" s="100"/>
      <c r="S90" s="101" t="str">
        <f t="shared" si="7"/>
        <v>#REF!</v>
      </c>
      <c r="T90" s="102" t="str">
        <f t="shared" si="8"/>
        <v>PP25-089</v>
      </c>
      <c r="U90" s="95"/>
      <c r="V90" s="95"/>
      <c r="W90" s="103"/>
      <c r="X90" s="103"/>
      <c r="Y90" s="103"/>
      <c r="Z90" s="104"/>
    </row>
    <row r="91" ht="49.5" customHeight="1">
      <c r="A91" s="90"/>
      <c r="B91" s="90" t="s">
        <v>2900</v>
      </c>
      <c r="C91" s="105" t="s">
        <v>2996</v>
      </c>
      <c r="D91" s="92" t="str">
        <f t="shared" si="1"/>
        <v>PP25-090</v>
      </c>
      <c r="E91" s="92">
        <v>45755.0</v>
      </c>
      <c r="F91" s="110"/>
      <c r="G91" s="93" t="s">
        <v>2901</v>
      </c>
      <c r="H91" s="94" t="s">
        <v>19</v>
      </c>
      <c r="I91" s="94"/>
      <c r="J91" s="95" t="s">
        <v>383</v>
      </c>
      <c r="K91" s="96">
        <v>2.71250705E8</v>
      </c>
      <c r="L91" s="97">
        <f>K91*6.3%</f>
        <v>17088794.42</v>
      </c>
      <c r="M91" s="97">
        <f t="shared" si="3"/>
        <v>288339499.4</v>
      </c>
      <c r="N91" s="98">
        <f t="shared" si="21"/>
        <v>31717344.94</v>
      </c>
      <c r="O91" s="97">
        <f t="shared" si="5"/>
        <v>320056844.4</v>
      </c>
      <c r="P91" s="99"/>
      <c r="Q91" s="90" t="s">
        <v>2903</v>
      </c>
      <c r="R91" s="100"/>
      <c r="S91" s="101" t="str">
        <f t="shared" si="7"/>
        <v>#REF!</v>
      </c>
      <c r="T91" s="102" t="str">
        <f t="shared" si="8"/>
        <v>PP25-090</v>
      </c>
      <c r="U91" s="95"/>
      <c r="V91" s="95"/>
      <c r="W91" s="103"/>
      <c r="X91" s="103"/>
      <c r="Y91" s="103"/>
      <c r="Z91" s="104"/>
    </row>
    <row r="92" ht="49.5" customHeight="1">
      <c r="A92" s="90"/>
      <c r="B92" s="90" t="s">
        <v>2900</v>
      </c>
      <c r="C92" s="105" t="s">
        <v>2997</v>
      </c>
      <c r="D92" s="92" t="str">
        <f t="shared" si="1"/>
        <v>PP25-091</v>
      </c>
      <c r="E92" s="92">
        <v>45756.0</v>
      </c>
      <c r="F92" s="93"/>
      <c r="G92" s="93" t="s">
        <v>2901</v>
      </c>
      <c r="H92" s="94" t="s">
        <v>19</v>
      </c>
      <c r="I92" s="94"/>
      <c r="J92" s="95" t="s">
        <v>755</v>
      </c>
      <c r="K92" s="96">
        <v>4.872333E7</v>
      </c>
      <c r="L92" s="97"/>
      <c r="M92" s="97">
        <f t="shared" si="3"/>
        <v>48723330</v>
      </c>
      <c r="N92" s="98">
        <f t="shared" si="21"/>
        <v>5359566.3</v>
      </c>
      <c r="O92" s="97">
        <f t="shared" si="5"/>
        <v>54082896.3</v>
      </c>
      <c r="P92" s="99"/>
      <c r="Q92" s="90" t="s">
        <v>2903</v>
      </c>
      <c r="R92" s="100"/>
      <c r="S92" s="101" t="str">
        <f t="shared" si="7"/>
        <v>#REF!</v>
      </c>
      <c r="T92" s="102" t="str">
        <f t="shared" si="8"/>
        <v>PP25-091</v>
      </c>
      <c r="U92" s="95"/>
      <c r="V92" s="95"/>
      <c r="W92" s="103"/>
      <c r="X92" s="103"/>
      <c r="Y92" s="103"/>
      <c r="Z92" s="104"/>
    </row>
    <row r="93" ht="49.5" customHeight="1">
      <c r="A93" s="90"/>
      <c r="B93" s="90" t="s">
        <v>2900</v>
      </c>
      <c r="C93" s="105" t="s">
        <v>2998</v>
      </c>
      <c r="D93" s="92" t="str">
        <f t="shared" si="1"/>
        <v>PP25-092</v>
      </c>
      <c r="E93" s="92">
        <v>45757.0</v>
      </c>
      <c r="F93" s="93"/>
      <c r="G93" s="93" t="s">
        <v>2901</v>
      </c>
      <c r="H93" s="94" t="s">
        <v>19</v>
      </c>
      <c r="I93" s="94"/>
      <c r="J93" s="95" t="s">
        <v>388</v>
      </c>
      <c r="K93" s="96">
        <v>6.4919597E7</v>
      </c>
      <c r="L93" s="97">
        <f t="shared" ref="L93:L95" si="27">K93*6%</f>
        <v>3895175.82</v>
      </c>
      <c r="M93" s="97">
        <f t="shared" si="3"/>
        <v>68814772.82</v>
      </c>
      <c r="N93" s="98">
        <f t="shared" si="21"/>
        <v>7569625.01</v>
      </c>
      <c r="O93" s="97">
        <f t="shared" si="5"/>
        <v>76384397.83</v>
      </c>
      <c r="P93" s="99"/>
      <c r="Q93" s="90" t="s">
        <v>2903</v>
      </c>
      <c r="R93" s="100"/>
      <c r="S93" s="101" t="str">
        <f t="shared" si="7"/>
        <v>#REF!</v>
      </c>
      <c r="T93" s="102" t="str">
        <f t="shared" si="8"/>
        <v>PP25-092</v>
      </c>
      <c r="U93" s="95"/>
      <c r="V93" s="95"/>
      <c r="W93" s="103"/>
      <c r="X93" s="103"/>
      <c r="Y93" s="103"/>
      <c r="Z93" s="104"/>
    </row>
    <row r="94" ht="49.5" customHeight="1">
      <c r="A94" s="90"/>
      <c r="B94" s="90" t="s">
        <v>2900</v>
      </c>
      <c r="C94" s="105" t="s">
        <v>2999</v>
      </c>
      <c r="D94" s="92" t="str">
        <f t="shared" si="1"/>
        <v>PP25-093</v>
      </c>
      <c r="E94" s="92">
        <v>45757.0</v>
      </c>
      <c r="F94" s="93"/>
      <c r="G94" s="93" t="s">
        <v>2901</v>
      </c>
      <c r="H94" s="94" t="s">
        <v>19</v>
      </c>
      <c r="I94" s="94"/>
      <c r="J94" s="95" t="s">
        <v>390</v>
      </c>
      <c r="K94" s="96">
        <v>2.1411099E7</v>
      </c>
      <c r="L94" s="97">
        <f t="shared" si="27"/>
        <v>1284665.94</v>
      </c>
      <c r="M94" s="97">
        <f t="shared" si="3"/>
        <v>22695764.94</v>
      </c>
      <c r="N94" s="98">
        <f t="shared" si="21"/>
        <v>2496534.143</v>
      </c>
      <c r="O94" s="97">
        <f t="shared" si="5"/>
        <v>25192299.08</v>
      </c>
      <c r="P94" s="99"/>
      <c r="Q94" s="90" t="s">
        <v>2903</v>
      </c>
      <c r="R94" s="100"/>
      <c r="S94" s="101" t="str">
        <f t="shared" si="7"/>
        <v>#REF!</v>
      </c>
      <c r="T94" s="102" t="str">
        <f t="shared" si="8"/>
        <v>PP25-093</v>
      </c>
      <c r="U94" s="95"/>
      <c r="V94" s="95"/>
      <c r="W94" s="103"/>
      <c r="X94" s="103"/>
      <c r="Y94" s="103"/>
      <c r="Z94" s="104"/>
    </row>
    <row r="95" ht="49.5" customHeight="1">
      <c r="A95" s="90"/>
      <c r="B95" s="90" t="s">
        <v>2900</v>
      </c>
      <c r="C95" s="105" t="s">
        <v>3000</v>
      </c>
      <c r="D95" s="92" t="str">
        <f t="shared" si="1"/>
        <v>PP25-094</v>
      </c>
      <c r="E95" s="92">
        <v>45755.0</v>
      </c>
      <c r="F95" s="110"/>
      <c r="G95" s="93" t="s">
        <v>2901</v>
      </c>
      <c r="H95" s="94" t="s">
        <v>19</v>
      </c>
      <c r="I95" s="94"/>
      <c r="J95" s="95" t="s">
        <v>392</v>
      </c>
      <c r="K95" s="96">
        <v>6.1636697E7</v>
      </c>
      <c r="L95" s="97">
        <f t="shared" si="27"/>
        <v>3698201.82</v>
      </c>
      <c r="M95" s="97">
        <f t="shared" si="3"/>
        <v>65334898.82</v>
      </c>
      <c r="N95" s="98">
        <f t="shared" si="21"/>
        <v>7186838.87</v>
      </c>
      <c r="O95" s="97">
        <f t="shared" si="5"/>
        <v>72521737.69</v>
      </c>
      <c r="P95" s="99"/>
      <c r="Q95" s="90" t="s">
        <v>2903</v>
      </c>
      <c r="R95" s="100"/>
      <c r="S95" s="101" t="str">
        <f t="shared" si="7"/>
        <v>#REF!</v>
      </c>
      <c r="T95" s="102" t="str">
        <f t="shared" si="8"/>
        <v>PP25-094</v>
      </c>
      <c r="U95" s="95"/>
      <c r="V95" s="95"/>
      <c r="W95" s="103"/>
      <c r="X95" s="103"/>
      <c r="Y95" s="103"/>
      <c r="Z95" s="104"/>
    </row>
    <row r="96" ht="49.5" customHeight="1">
      <c r="A96" s="90"/>
      <c r="B96" s="90" t="s">
        <v>2900</v>
      </c>
      <c r="C96" s="105" t="s">
        <v>3001</v>
      </c>
      <c r="D96" s="92" t="str">
        <f t="shared" si="1"/>
        <v>PP25-095</v>
      </c>
      <c r="E96" s="92">
        <v>45755.0</v>
      </c>
      <c r="F96" s="110"/>
      <c r="G96" s="93" t="s">
        <v>2901</v>
      </c>
      <c r="H96" s="94" t="s">
        <v>19</v>
      </c>
      <c r="I96" s="94"/>
      <c r="J96" s="95" t="s">
        <v>121</v>
      </c>
      <c r="K96" s="96">
        <v>3.38680067E8</v>
      </c>
      <c r="L96" s="97">
        <f t="shared" ref="L96:L98" si="28">K96*5.4%</f>
        <v>18288723.62</v>
      </c>
      <c r="M96" s="97">
        <f t="shared" si="3"/>
        <v>356968790.6</v>
      </c>
      <c r="N96" s="98">
        <f t="shared" si="21"/>
        <v>39266566.97</v>
      </c>
      <c r="O96" s="97">
        <f t="shared" si="5"/>
        <v>396235357.6</v>
      </c>
      <c r="P96" s="99"/>
      <c r="Q96" s="90" t="s">
        <v>3002</v>
      </c>
      <c r="R96" s="100"/>
      <c r="S96" s="101" t="str">
        <f t="shared" si="7"/>
        <v>#REF!</v>
      </c>
      <c r="T96" s="102" t="str">
        <f t="shared" si="8"/>
        <v>PP25-095</v>
      </c>
      <c r="U96" s="95"/>
      <c r="V96" s="95"/>
      <c r="W96" s="103"/>
      <c r="X96" s="103"/>
      <c r="Y96" s="103"/>
      <c r="Z96" s="104"/>
    </row>
    <row r="97" ht="49.5" customHeight="1">
      <c r="A97" s="90"/>
      <c r="B97" s="90" t="s">
        <v>2900</v>
      </c>
      <c r="C97" s="105" t="s">
        <v>3003</v>
      </c>
      <c r="D97" s="92" t="str">
        <f t="shared" si="1"/>
        <v>PP25-096</v>
      </c>
      <c r="E97" s="92">
        <v>45755.0</v>
      </c>
      <c r="F97" s="93"/>
      <c r="G97" s="93" t="s">
        <v>2901</v>
      </c>
      <c r="H97" s="94" t="s">
        <v>19</v>
      </c>
      <c r="I97" s="94"/>
      <c r="J97" s="95" t="s">
        <v>395</v>
      </c>
      <c r="K97" s="96">
        <v>1.54234887E8</v>
      </c>
      <c r="L97" s="97">
        <f t="shared" si="28"/>
        <v>8328683.898</v>
      </c>
      <c r="M97" s="97">
        <f t="shared" si="3"/>
        <v>162563570.9</v>
      </c>
      <c r="N97" s="98">
        <f t="shared" si="21"/>
        <v>17881992.8</v>
      </c>
      <c r="O97" s="97">
        <f t="shared" si="5"/>
        <v>180445563.7</v>
      </c>
      <c r="P97" s="99"/>
      <c r="Q97" s="90" t="s">
        <v>3002</v>
      </c>
      <c r="R97" s="100"/>
      <c r="S97" s="101" t="str">
        <f t="shared" si="7"/>
        <v>#REF!</v>
      </c>
      <c r="T97" s="102" t="str">
        <f t="shared" si="8"/>
        <v>PP25-096</v>
      </c>
      <c r="U97" s="117"/>
      <c r="V97" s="95"/>
      <c r="W97" s="103"/>
      <c r="X97" s="103"/>
      <c r="Y97" s="103"/>
      <c r="Z97" s="104"/>
    </row>
    <row r="98" ht="49.5" customHeight="1">
      <c r="A98" s="90"/>
      <c r="B98" s="90" t="s">
        <v>2900</v>
      </c>
      <c r="C98" s="105" t="s">
        <v>3004</v>
      </c>
      <c r="D98" s="92" t="str">
        <f t="shared" si="1"/>
        <v>PP25-097</v>
      </c>
      <c r="E98" s="92">
        <v>45755.0</v>
      </c>
      <c r="F98" s="93"/>
      <c r="G98" s="93" t="s">
        <v>2901</v>
      </c>
      <c r="H98" s="94" t="s">
        <v>19</v>
      </c>
      <c r="I98" s="94"/>
      <c r="J98" s="95" t="s">
        <v>123</v>
      </c>
      <c r="K98" s="96">
        <v>1.28566675E8</v>
      </c>
      <c r="L98" s="97">
        <f t="shared" si="28"/>
        <v>6942600.45</v>
      </c>
      <c r="M98" s="97">
        <f t="shared" si="3"/>
        <v>135509275.5</v>
      </c>
      <c r="N98" s="98">
        <f t="shared" si="21"/>
        <v>14906020.3</v>
      </c>
      <c r="O98" s="97">
        <f t="shared" si="5"/>
        <v>150415295.7</v>
      </c>
      <c r="P98" s="99"/>
      <c r="Q98" s="90" t="s">
        <v>3002</v>
      </c>
      <c r="R98" s="100"/>
      <c r="S98" s="101" t="str">
        <f t="shared" si="7"/>
        <v>#REF!</v>
      </c>
      <c r="T98" s="102" t="str">
        <f t="shared" si="8"/>
        <v>PP25-097</v>
      </c>
      <c r="U98" s="95"/>
      <c r="V98" s="95"/>
      <c r="W98" s="103"/>
      <c r="X98" s="103"/>
      <c r="Y98" s="103"/>
      <c r="Z98" s="104"/>
    </row>
    <row r="99" ht="49.5" customHeight="1">
      <c r="A99" s="90"/>
      <c r="B99" s="90" t="s">
        <v>2900</v>
      </c>
      <c r="C99" s="105" t="s">
        <v>3005</v>
      </c>
      <c r="D99" s="92" t="str">
        <f t="shared" si="1"/>
        <v>PP25-098</v>
      </c>
      <c r="E99" s="92">
        <v>45755.0</v>
      </c>
      <c r="F99" s="110"/>
      <c r="G99" s="93" t="s">
        <v>2901</v>
      </c>
      <c r="H99" s="94" t="s">
        <v>19</v>
      </c>
      <c r="I99" s="94"/>
      <c r="J99" s="95" t="s">
        <v>398</v>
      </c>
      <c r="K99" s="96">
        <v>4.4901194E7</v>
      </c>
      <c r="L99" s="97">
        <f>K99*5.3%</f>
        <v>2379763.282</v>
      </c>
      <c r="M99" s="97">
        <f t="shared" si="3"/>
        <v>47280957.28</v>
      </c>
      <c r="N99" s="98">
        <f t="shared" si="21"/>
        <v>5200905.301</v>
      </c>
      <c r="O99" s="97">
        <f t="shared" si="5"/>
        <v>52481862.58</v>
      </c>
      <c r="P99" s="99"/>
      <c r="Q99" s="90" t="s">
        <v>2949</v>
      </c>
      <c r="R99" s="100"/>
      <c r="S99" s="101" t="str">
        <f t="shared" si="7"/>
        <v>#REF!</v>
      </c>
      <c r="T99" s="102" t="str">
        <f t="shared" si="8"/>
        <v>PP25-098</v>
      </c>
      <c r="U99" s="95"/>
      <c r="V99" s="95"/>
      <c r="W99" s="103"/>
      <c r="X99" s="103"/>
      <c r="Y99" s="103"/>
      <c r="Z99" s="104"/>
    </row>
    <row r="100" ht="49.5" customHeight="1">
      <c r="A100" s="90"/>
      <c r="B100" s="90" t="s">
        <v>2900</v>
      </c>
      <c r="C100" s="105" t="s">
        <v>3006</v>
      </c>
      <c r="D100" s="92" t="str">
        <f t="shared" si="1"/>
        <v>PP25-099</v>
      </c>
      <c r="E100" s="92">
        <v>45764.0</v>
      </c>
      <c r="F100" s="110"/>
      <c r="G100" s="93" t="s">
        <v>2901</v>
      </c>
      <c r="H100" s="94" t="s">
        <v>19</v>
      </c>
      <c r="I100" s="94"/>
      <c r="J100" s="95" t="s">
        <v>793</v>
      </c>
      <c r="K100" s="96">
        <v>8206164.0</v>
      </c>
      <c r="L100" s="97">
        <f t="shared" ref="L100:L108" si="29">K100*7.5%</f>
        <v>615462.3</v>
      </c>
      <c r="M100" s="97">
        <f t="shared" si="3"/>
        <v>8821626.3</v>
      </c>
      <c r="N100" s="98">
        <f t="shared" si="21"/>
        <v>970378.893</v>
      </c>
      <c r="O100" s="97">
        <f t="shared" si="5"/>
        <v>9792005.193</v>
      </c>
      <c r="P100" s="99"/>
      <c r="Q100" s="90" t="s">
        <v>2903</v>
      </c>
      <c r="R100" s="100"/>
      <c r="S100" s="101" t="str">
        <f t="shared" si="7"/>
        <v>#REF!</v>
      </c>
      <c r="T100" s="102" t="str">
        <f t="shared" si="8"/>
        <v>PP25-099</v>
      </c>
      <c r="U100" s="95"/>
      <c r="V100" s="95"/>
      <c r="W100" s="103"/>
      <c r="X100" s="103"/>
      <c r="Y100" s="103"/>
      <c r="Z100" s="104"/>
    </row>
    <row r="101" ht="49.5" customHeight="1">
      <c r="A101" s="90"/>
      <c r="B101" s="90" t="s">
        <v>2900</v>
      </c>
      <c r="C101" s="105" t="s">
        <v>3007</v>
      </c>
      <c r="D101" s="92" t="str">
        <f t="shared" si="1"/>
        <v>PP25-100</v>
      </c>
      <c r="E101" s="92">
        <v>45764.0</v>
      </c>
      <c r="F101" s="110"/>
      <c r="G101" s="93" t="s">
        <v>2901</v>
      </c>
      <c r="H101" s="94" t="s">
        <v>19</v>
      </c>
      <c r="I101" s="94"/>
      <c r="J101" s="95" t="s">
        <v>844</v>
      </c>
      <c r="K101" s="96">
        <v>1.6412329E7</v>
      </c>
      <c r="L101" s="97">
        <f t="shared" si="29"/>
        <v>1230924.675</v>
      </c>
      <c r="M101" s="97">
        <f t="shared" si="3"/>
        <v>17643253.68</v>
      </c>
      <c r="N101" s="98">
        <f t="shared" si="21"/>
        <v>1940757.904</v>
      </c>
      <c r="O101" s="97">
        <f t="shared" si="5"/>
        <v>19584011.58</v>
      </c>
      <c r="P101" s="99"/>
      <c r="Q101" s="90" t="s">
        <v>2903</v>
      </c>
      <c r="R101" s="100"/>
      <c r="S101" s="101" t="str">
        <f t="shared" si="7"/>
        <v>#REF!</v>
      </c>
      <c r="T101" s="102" t="str">
        <f t="shared" si="8"/>
        <v>PP25-100</v>
      </c>
      <c r="U101" s="95"/>
      <c r="V101" s="95"/>
      <c r="W101" s="103"/>
      <c r="X101" s="103"/>
      <c r="Y101" s="103"/>
      <c r="Z101" s="104"/>
    </row>
    <row r="102" ht="49.5" customHeight="1">
      <c r="A102" s="90"/>
      <c r="B102" s="90" t="s">
        <v>2900</v>
      </c>
      <c r="C102" s="90">
        <f t="shared" ref="C102:C254" si="30">C101+1</f>
        <v>101</v>
      </c>
      <c r="D102" s="92" t="str">
        <f t="shared" si="1"/>
        <v>PP25-101</v>
      </c>
      <c r="E102" s="92">
        <v>45764.0</v>
      </c>
      <c r="F102" s="93"/>
      <c r="G102" s="93" t="s">
        <v>2901</v>
      </c>
      <c r="H102" s="94" t="s">
        <v>19</v>
      </c>
      <c r="I102" s="94"/>
      <c r="J102" s="95" t="s">
        <v>850</v>
      </c>
      <c r="K102" s="96">
        <v>8166505.0</v>
      </c>
      <c r="L102" s="97">
        <f t="shared" si="29"/>
        <v>612487.875</v>
      </c>
      <c r="M102" s="97">
        <f t="shared" si="3"/>
        <v>8778992.875</v>
      </c>
      <c r="N102" s="98">
        <f t="shared" si="21"/>
        <v>965689.2163</v>
      </c>
      <c r="O102" s="97">
        <f t="shared" si="5"/>
        <v>9744682.091</v>
      </c>
      <c r="P102" s="99"/>
      <c r="Q102" s="90" t="s">
        <v>2903</v>
      </c>
      <c r="R102" s="100"/>
      <c r="S102" s="101" t="str">
        <f t="shared" si="7"/>
        <v>#REF!</v>
      </c>
      <c r="T102" s="102" t="str">
        <f t="shared" si="8"/>
        <v>PP25-101</v>
      </c>
      <c r="U102" s="95"/>
      <c r="V102" s="95"/>
      <c r="W102" s="103"/>
      <c r="X102" s="103"/>
      <c r="Y102" s="103"/>
      <c r="Z102" s="104"/>
    </row>
    <row r="103" ht="49.5" customHeight="1">
      <c r="A103" s="90"/>
      <c r="B103" s="90" t="s">
        <v>2900</v>
      </c>
      <c r="C103" s="90">
        <f t="shared" si="30"/>
        <v>102</v>
      </c>
      <c r="D103" s="92" t="str">
        <f t="shared" si="1"/>
        <v>PP25-102</v>
      </c>
      <c r="E103" s="92">
        <v>45764.0</v>
      </c>
      <c r="F103" s="110"/>
      <c r="G103" s="93" t="s">
        <v>2901</v>
      </c>
      <c r="H103" s="94" t="s">
        <v>19</v>
      </c>
      <c r="I103" s="94"/>
      <c r="J103" s="95" t="s">
        <v>854</v>
      </c>
      <c r="K103" s="96">
        <v>8206164.0</v>
      </c>
      <c r="L103" s="97">
        <f t="shared" si="29"/>
        <v>615462.3</v>
      </c>
      <c r="M103" s="97">
        <f t="shared" si="3"/>
        <v>8821626.3</v>
      </c>
      <c r="N103" s="98">
        <f t="shared" si="21"/>
        <v>970378.893</v>
      </c>
      <c r="O103" s="97">
        <f t="shared" si="5"/>
        <v>9792005.193</v>
      </c>
      <c r="P103" s="99"/>
      <c r="Q103" s="90" t="s">
        <v>2903</v>
      </c>
      <c r="R103" s="100"/>
      <c r="S103" s="101" t="str">
        <f t="shared" si="7"/>
        <v>#REF!</v>
      </c>
      <c r="T103" s="102" t="str">
        <f t="shared" si="8"/>
        <v>PP25-102</v>
      </c>
      <c r="U103" s="95"/>
      <c r="V103" s="95"/>
      <c r="W103" s="103"/>
      <c r="X103" s="103"/>
      <c r="Y103" s="103"/>
      <c r="Z103" s="104"/>
    </row>
    <row r="104" ht="49.5" customHeight="1">
      <c r="A104" s="90"/>
      <c r="B104" s="90" t="s">
        <v>2900</v>
      </c>
      <c r="C104" s="90">
        <f t="shared" si="30"/>
        <v>103</v>
      </c>
      <c r="D104" s="92" t="str">
        <f t="shared" si="1"/>
        <v>PP25-103</v>
      </c>
      <c r="E104" s="92">
        <v>45764.0</v>
      </c>
      <c r="F104" s="93"/>
      <c r="G104" s="93" t="s">
        <v>2901</v>
      </c>
      <c r="H104" s="94" t="s">
        <v>19</v>
      </c>
      <c r="I104" s="94"/>
      <c r="J104" s="95" t="s">
        <v>856</v>
      </c>
      <c r="K104" s="96">
        <v>8206164.0</v>
      </c>
      <c r="L104" s="97">
        <f t="shared" si="29"/>
        <v>615462.3</v>
      </c>
      <c r="M104" s="97">
        <f t="shared" si="3"/>
        <v>8821626.3</v>
      </c>
      <c r="N104" s="98">
        <f t="shared" si="21"/>
        <v>970378.893</v>
      </c>
      <c r="O104" s="97">
        <f t="shared" si="5"/>
        <v>9792005.193</v>
      </c>
      <c r="P104" s="99"/>
      <c r="Q104" s="90" t="s">
        <v>2903</v>
      </c>
      <c r="R104" s="100"/>
      <c r="S104" s="101" t="str">
        <f t="shared" si="7"/>
        <v>#REF!</v>
      </c>
      <c r="T104" s="102" t="str">
        <f t="shared" si="8"/>
        <v>PP25-103</v>
      </c>
      <c r="U104" s="95"/>
      <c r="V104" s="95"/>
      <c r="W104" s="103"/>
      <c r="X104" s="103"/>
      <c r="Y104" s="103"/>
      <c r="Z104" s="104"/>
    </row>
    <row r="105" ht="49.5" customHeight="1">
      <c r="A105" s="90"/>
      <c r="B105" s="90" t="s">
        <v>2900</v>
      </c>
      <c r="C105" s="90">
        <f t="shared" si="30"/>
        <v>104</v>
      </c>
      <c r="D105" s="92" t="str">
        <f t="shared" si="1"/>
        <v>PP25-104</v>
      </c>
      <c r="E105" s="92">
        <v>45764.0</v>
      </c>
      <c r="F105" s="93"/>
      <c r="G105" s="93" t="s">
        <v>2901</v>
      </c>
      <c r="H105" s="94" t="s">
        <v>19</v>
      </c>
      <c r="I105" s="94"/>
      <c r="J105" s="95" t="s">
        <v>866</v>
      </c>
      <c r="K105" s="96">
        <v>1.6412329E7</v>
      </c>
      <c r="L105" s="97">
        <f t="shared" si="29"/>
        <v>1230924.675</v>
      </c>
      <c r="M105" s="97">
        <f t="shared" si="3"/>
        <v>17643253.68</v>
      </c>
      <c r="N105" s="98">
        <f t="shared" si="21"/>
        <v>1940757.904</v>
      </c>
      <c r="O105" s="97">
        <f t="shared" si="5"/>
        <v>19584011.58</v>
      </c>
      <c r="P105" s="99"/>
      <c r="Q105" s="90" t="s">
        <v>2903</v>
      </c>
      <c r="R105" s="100"/>
      <c r="S105" s="101" t="str">
        <f t="shared" si="7"/>
        <v>#REF!</v>
      </c>
      <c r="T105" s="102" t="str">
        <f t="shared" si="8"/>
        <v>PP25-104</v>
      </c>
      <c r="U105" s="95"/>
      <c r="V105" s="95"/>
      <c r="W105" s="103"/>
      <c r="X105" s="103"/>
      <c r="Y105" s="103"/>
      <c r="Z105" s="104"/>
    </row>
    <row r="106" ht="49.5" customHeight="1">
      <c r="A106" s="90"/>
      <c r="B106" s="90" t="s">
        <v>2900</v>
      </c>
      <c r="C106" s="90">
        <f t="shared" si="30"/>
        <v>105</v>
      </c>
      <c r="D106" s="92" t="str">
        <f t="shared" si="1"/>
        <v>PP25-105</v>
      </c>
      <c r="E106" s="92">
        <v>45764.0</v>
      </c>
      <c r="F106" s="110"/>
      <c r="G106" s="93" t="s">
        <v>2901</v>
      </c>
      <c r="H106" s="94" t="s">
        <v>19</v>
      </c>
      <c r="I106" s="94"/>
      <c r="J106" s="95" t="s">
        <v>884</v>
      </c>
      <c r="K106" s="96">
        <v>8206164.0</v>
      </c>
      <c r="L106" s="97">
        <f t="shared" si="29"/>
        <v>615462.3</v>
      </c>
      <c r="M106" s="97">
        <f t="shared" si="3"/>
        <v>8821626.3</v>
      </c>
      <c r="N106" s="98">
        <f t="shared" si="21"/>
        <v>970378.893</v>
      </c>
      <c r="O106" s="97">
        <f t="shared" si="5"/>
        <v>9792005.193</v>
      </c>
      <c r="P106" s="99"/>
      <c r="Q106" s="90" t="s">
        <v>2903</v>
      </c>
      <c r="R106" s="100"/>
      <c r="S106" s="101" t="str">
        <f t="shared" si="7"/>
        <v>#REF!</v>
      </c>
      <c r="T106" s="102" t="str">
        <f t="shared" si="8"/>
        <v>PP25-105</v>
      </c>
      <c r="U106" s="95"/>
      <c r="V106" s="95"/>
      <c r="W106" s="103"/>
      <c r="X106" s="103"/>
      <c r="Y106" s="103"/>
      <c r="Z106" s="104"/>
    </row>
    <row r="107" ht="49.5" customHeight="1">
      <c r="A107" s="90"/>
      <c r="B107" s="90" t="s">
        <v>2900</v>
      </c>
      <c r="C107" s="90">
        <f t="shared" si="30"/>
        <v>106</v>
      </c>
      <c r="D107" s="92" t="str">
        <f t="shared" si="1"/>
        <v>PP25-106</v>
      </c>
      <c r="E107" s="92">
        <v>45764.0</v>
      </c>
      <c r="F107" s="93"/>
      <c r="G107" s="93" t="s">
        <v>2901</v>
      </c>
      <c r="H107" s="94" t="s">
        <v>19</v>
      </c>
      <c r="I107" s="94"/>
      <c r="J107" s="95" t="s">
        <v>886</v>
      </c>
      <c r="K107" s="96">
        <v>4008133.0</v>
      </c>
      <c r="L107" s="97">
        <f t="shared" si="29"/>
        <v>300609.975</v>
      </c>
      <c r="M107" s="97">
        <f t="shared" si="3"/>
        <v>4308742.975</v>
      </c>
      <c r="N107" s="98">
        <f t="shared" si="21"/>
        <v>473961.7273</v>
      </c>
      <c r="O107" s="97">
        <f t="shared" si="5"/>
        <v>4782704.702</v>
      </c>
      <c r="P107" s="99"/>
      <c r="Q107" s="90" t="s">
        <v>2903</v>
      </c>
      <c r="R107" s="100"/>
      <c r="S107" s="101" t="str">
        <f t="shared" si="7"/>
        <v>#REF!</v>
      </c>
      <c r="T107" s="102" t="str">
        <f t="shared" si="8"/>
        <v>PP25-106</v>
      </c>
      <c r="U107" s="95"/>
      <c r="V107" s="95"/>
      <c r="W107" s="103"/>
      <c r="X107" s="103"/>
      <c r="Y107" s="103"/>
      <c r="Z107" s="104"/>
    </row>
    <row r="108" ht="49.5" customHeight="1">
      <c r="A108" s="90"/>
      <c r="B108" s="90" t="s">
        <v>2900</v>
      </c>
      <c r="C108" s="90">
        <f t="shared" si="30"/>
        <v>107</v>
      </c>
      <c r="D108" s="92" t="str">
        <f t="shared" si="1"/>
        <v>PP25-107</v>
      </c>
      <c r="E108" s="92">
        <v>45764.0</v>
      </c>
      <c r="F108" s="110"/>
      <c r="G108" s="93" t="s">
        <v>2901</v>
      </c>
      <c r="H108" s="94" t="s">
        <v>19</v>
      </c>
      <c r="I108" s="94"/>
      <c r="J108" s="95" t="s">
        <v>926</v>
      </c>
      <c r="K108" s="96">
        <v>8166505.0</v>
      </c>
      <c r="L108" s="97">
        <f t="shared" si="29"/>
        <v>612487.875</v>
      </c>
      <c r="M108" s="97">
        <f t="shared" si="3"/>
        <v>8778992.875</v>
      </c>
      <c r="N108" s="98">
        <f t="shared" si="21"/>
        <v>965689.2163</v>
      </c>
      <c r="O108" s="97">
        <f t="shared" si="5"/>
        <v>9744682.091</v>
      </c>
      <c r="P108" s="99"/>
      <c r="Q108" s="90" t="s">
        <v>2903</v>
      </c>
      <c r="R108" s="100"/>
      <c r="S108" s="101" t="str">
        <f t="shared" si="7"/>
        <v>#REF!</v>
      </c>
      <c r="T108" s="102" t="str">
        <f t="shared" si="8"/>
        <v>PP25-107</v>
      </c>
      <c r="U108" s="95"/>
      <c r="V108" s="95"/>
      <c r="W108" s="103"/>
      <c r="X108" s="103"/>
      <c r="Y108" s="103"/>
      <c r="Z108" s="104"/>
    </row>
    <row r="109" ht="49.5" customHeight="1">
      <c r="A109" s="90"/>
      <c r="B109" s="90" t="s">
        <v>2900</v>
      </c>
      <c r="C109" s="90">
        <f t="shared" si="30"/>
        <v>108</v>
      </c>
      <c r="D109" s="92" t="str">
        <f t="shared" si="1"/>
        <v>PP25-108</v>
      </c>
      <c r="E109" s="92">
        <v>45764.0</v>
      </c>
      <c r="F109" s="93"/>
      <c r="G109" s="93" t="s">
        <v>3008</v>
      </c>
      <c r="H109" s="94" t="s">
        <v>19</v>
      </c>
      <c r="I109" s="94"/>
      <c r="J109" s="95" t="s">
        <v>435</v>
      </c>
      <c r="K109" s="96">
        <v>6.423E7</v>
      </c>
      <c r="L109" s="97">
        <f t="shared" ref="L109:L111" si="31">K109*6%</f>
        <v>3853800</v>
      </c>
      <c r="M109" s="97">
        <f t="shared" si="3"/>
        <v>68083800</v>
      </c>
      <c r="N109" s="98">
        <f t="shared" ref="N109:N110" si="32">L109*11%</f>
        <v>423918</v>
      </c>
      <c r="O109" s="97">
        <f t="shared" si="5"/>
        <v>68507718</v>
      </c>
      <c r="P109" s="99"/>
      <c r="Q109" s="90" t="s">
        <v>3009</v>
      </c>
      <c r="R109" s="100"/>
      <c r="S109" s="101" t="str">
        <f t="shared" si="7"/>
        <v>#REF!</v>
      </c>
      <c r="T109" s="102" t="str">
        <f t="shared" si="8"/>
        <v>PP25-108</v>
      </c>
      <c r="U109" s="95"/>
      <c r="V109" s="95"/>
      <c r="W109" s="103"/>
      <c r="X109" s="103"/>
      <c r="Y109" s="103"/>
      <c r="Z109" s="104"/>
    </row>
    <row r="110" ht="49.5" customHeight="1">
      <c r="A110" s="90"/>
      <c r="B110" s="90" t="s">
        <v>2900</v>
      </c>
      <c r="C110" s="90">
        <f t="shared" si="30"/>
        <v>109</v>
      </c>
      <c r="D110" s="92" t="str">
        <f t="shared" si="1"/>
        <v>PP25-109</v>
      </c>
      <c r="E110" s="92">
        <v>45764.0</v>
      </c>
      <c r="F110" s="93"/>
      <c r="G110" s="93" t="s">
        <v>3008</v>
      </c>
      <c r="H110" s="94" t="s">
        <v>19</v>
      </c>
      <c r="I110" s="94"/>
      <c r="J110" s="95" t="s">
        <v>437</v>
      </c>
      <c r="K110" s="96">
        <v>3.8495E7</v>
      </c>
      <c r="L110" s="97">
        <f t="shared" si="31"/>
        <v>2309700</v>
      </c>
      <c r="M110" s="97">
        <f t="shared" si="3"/>
        <v>40804700</v>
      </c>
      <c r="N110" s="98">
        <f t="shared" si="32"/>
        <v>254067</v>
      </c>
      <c r="O110" s="97">
        <f t="shared" si="5"/>
        <v>41058767</v>
      </c>
      <c r="P110" s="99"/>
      <c r="Q110" s="90" t="s">
        <v>3009</v>
      </c>
      <c r="R110" s="100"/>
      <c r="S110" s="101" t="str">
        <f t="shared" si="7"/>
        <v>#REF!</v>
      </c>
      <c r="T110" s="102" t="str">
        <f t="shared" si="8"/>
        <v>PP25-109</v>
      </c>
      <c r="U110" s="95"/>
      <c r="V110" s="95"/>
      <c r="W110" s="103"/>
      <c r="X110" s="103"/>
      <c r="Y110" s="103"/>
      <c r="Z110" s="104"/>
    </row>
    <row r="111" ht="49.5" customHeight="1">
      <c r="A111" s="90"/>
      <c r="B111" s="90" t="s">
        <v>2900</v>
      </c>
      <c r="C111" s="90">
        <f t="shared" si="30"/>
        <v>110</v>
      </c>
      <c r="D111" s="92" t="str">
        <f t="shared" si="1"/>
        <v>PP25-110</v>
      </c>
      <c r="E111" s="92">
        <v>45764.0</v>
      </c>
      <c r="F111" s="93"/>
      <c r="G111" s="93" t="s">
        <v>3008</v>
      </c>
      <c r="H111" s="94" t="s">
        <v>19</v>
      </c>
      <c r="I111" s="94"/>
      <c r="J111" s="95" t="s">
        <v>439</v>
      </c>
      <c r="K111" s="96">
        <v>2.5665E7</v>
      </c>
      <c r="L111" s="97">
        <f t="shared" si="31"/>
        <v>1539900</v>
      </c>
      <c r="M111" s="97">
        <f>K110+L111</f>
        <v>40034900</v>
      </c>
      <c r="N111" s="98">
        <f t="shared" ref="N111:N115" si="33">M111*11%</f>
        <v>4403839</v>
      </c>
      <c r="O111" s="97">
        <f t="shared" si="5"/>
        <v>44438739</v>
      </c>
      <c r="P111" s="99"/>
      <c r="Q111" s="90" t="s">
        <v>3009</v>
      </c>
      <c r="R111" s="100"/>
      <c r="S111" s="101" t="str">
        <f t="shared" si="7"/>
        <v>#REF!</v>
      </c>
      <c r="T111" s="102" t="str">
        <f t="shared" si="8"/>
        <v>PP25-110</v>
      </c>
      <c r="U111" s="95"/>
      <c r="V111" s="95"/>
      <c r="W111" s="103"/>
      <c r="X111" s="103"/>
      <c r="Y111" s="103"/>
      <c r="Z111" s="103"/>
    </row>
    <row r="112" ht="49.5" customHeight="1">
      <c r="A112" s="90"/>
      <c r="B112" s="90" t="s">
        <v>2900</v>
      </c>
      <c r="C112" s="90">
        <f t="shared" si="30"/>
        <v>111</v>
      </c>
      <c r="D112" s="92" t="str">
        <f t="shared" si="1"/>
        <v>PP25-111</v>
      </c>
      <c r="E112" s="92">
        <v>45768.0</v>
      </c>
      <c r="F112" s="93" t="s">
        <v>24</v>
      </c>
      <c r="G112" s="93" t="s">
        <v>24</v>
      </c>
      <c r="H112" s="94" t="s">
        <v>19</v>
      </c>
      <c r="I112" s="94"/>
      <c r="J112" s="95" t="s">
        <v>441</v>
      </c>
      <c r="K112" s="96">
        <v>6.10122902E8</v>
      </c>
      <c r="L112" s="97">
        <f>K112*8.5%</f>
        <v>51860446.67</v>
      </c>
      <c r="M112" s="97">
        <f t="shared" ref="M112:M140" si="34">K112+L112</f>
        <v>661983348.7</v>
      </c>
      <c r="N112" s="98">
        <f t="shared" si="33"/>
        <v>72818168.35</v>
      </c>
      <c r="O112" s="97">
        <f t="shared" si="5"/>
        <v>734801517</v>
      </c>
      <c r="P112" s="99"/>
      <c r="Q112" s="90" t="s">
        <v>30</v>
      </c>
      <c r="R112" s="100"/>
      <c r="S112" s="101" t="str">
        <f t="shared" si="7"/>
        <v>#REF!</v>
      </c>
      <c r="T112" s="102" t="str">
        <f t="shared" si="8"/>
        <v>PP25-111</v>
      </c>
      <c r="U112" s="95"/>
      <c r="V112" s="95"/>
      <c r="W112" s="103"/>
      <c r="X112" s="103"/>
      <c r="Y112" s="103"/>
      <c r="Z112" s="104"/>
    </row>
    <row r="113" ht="49.5" customHeight="1">
      <c r="A113" s="90"/>
      <c r="B113" s="90" t="s">
        <v>2900</v>
      </c>
      <c r="C113" s="90">
        <f t="shared" si="30"/>
        <v>112</v>
      </c>
      <c r="D113" s="92" t="str">
        <f t="shared" si="1"/>
        <v>PP25-112</v>
      </c>
      <c r="E113" s="92">
        <v>45771.0</v>
      </c>
      <c r="F113" s="93"/>
      <c r="G113" s="93" t="s">
        <v>3010</v>
      </c>
      <c r="H113" s="94" t="s">
        <v>19</v>
      </c>
      <c r="I113" s="94"/>
      <c r="J113" s="95" t="s">
        <v>443</v>
      </c>
      <c r="K113" s="96">
        <v>3.4536107E7</v>
      </c>
      <c r="L113" s="97">
        <f t="shared" ref="L113:L115" si="35">K113*5.4%</f>
        <v>1864949.778</v>
      </c>
      <c r="M113" s="97">
        <f t="shared" si="34"/>
        <v>36401056.78</v>
      </c>
      <c r="N113" s="98">
        <f t="shared" si="33"/>
        <v>4004116.246</v>
      </c>
      <c r="O113" s="97">
        <f t="shared" si="5"/>
        <v>40405173.02</v>
      </c>
      <c r="P113" s="99"/>
      <c r="Q113" s="90" t="s">
        <v>3002</v>
      </c>
      <c r="R113" s="100"/>
      <c r="S113" s="101" t="str">
        <f t="shared" si="7"/>
        <v>#REF!</v>
      </c>
      <c r="T113" s="102" t="str">
        <f t="shared" si="8"/>
        <v>PP25-112</v>
      </c>
      <c r="U113" s="95"/>
      <c r="V113" s="95"/>
      <c r="W113" s="103"/>
      <c r="X113" s="103"/>
      <c r="Y113" s="103"/>
      <c r="Z113" s="104"/>
    </row>
    <row r="114" ht="49.5" customHeight="1">
      <c r="A114" s="90"/>
      <c r="B114" s="90" t="s">
        <v>2900</v>
      </c>
      <c r="C114" s="90">
        <f t="shared" si="30"/>
        <v>113</v>
      </c>
      <c r="D114" s="92" t="str">
        <f t="shared" si="1"/>
        <v>PP25-113</v>
      </c>
      <c r="E114" s="92">
        <v>45771.0</v>
      </c>
      <c r="F114" s="93"/>
      <c r="G114" s="93" t="s">
        <v>3010</v>
      </c>
      <c r="H114" s="94" t="s">
        <v>19</v>
      </c>
      <c r="I114" s="94"/>
      <c r="J114" s="95" t="s">
        <v>445</v>
      </c>
      <c r="K114" s="96">
        <v>3.57002798E8</v>
      </c>
      <c r="L114" s="97">
        <f t="shared" si="35"/>
        <v>19278151.09</v>
      </c>
      <c r="M114" s="97">
        <f t="shared" si="34"/>
        <v>376280949.1</v>
      </c>
      <c r="N114" s="98">
        <f t="shared" si="33"/>
        <v>41390904.4</v>
      </c>
      <c r="O114" s="97">
        <f t="shared" si="5"/>
        <v>417671853.5</v>
      </c>
      <c r="P114" s="99"/>
      <c r="Q114" s="90" t="s">
        <v>3002</v>
      </c>
      <c r="R114" s="100"/>
      <c r="S114" s="101" t="str">
        <f t="shared" si="7"/>
        <v>#REF!</v>
      </c>
      <c r="T114" s="102" t="str">
        <f t="shared" si="8"/>
        <v>PP25-113</v>
      </c>
      <c r="U114" s="95"/>
      <c r="V114" s="95"/>
      <c r="W114" s="103"/>
      <c r="X114" s="103"/>
      <c r="Y114" s="103"/>
      <c r="Z114" s="104"/>
    </row>
    <row r="115" ht="49.5" customHeight="1">
      <c r="A115" s="90"/>
      <c r="B115" s="90" t="s">
        <v>2900</v>
      </c>
      <c r="C115" s="90">
        <f t="shared" si="30"/>
        <v>114</v>
      </c>
      <c r="D115" s="92" t="str">
        <f t="shared" si="1"/>
        <v>PP25-114</v>
      </c>
      <c r="E115" s="92">
        <v>45771.0</v>
      </c>
      <c r="F115" s="93"/>
      <c r="G115" s="93" t="s">
        <v>3010</v>
      </c>
      <c r="H115" s="94" t="s">
        <v>19</v>
      </c>
      <c r="I115" s="94"/>
      <c r="J115" s="95" t="s">
        <v>447</v>
      </c>
      <c r="K115" s="96">
        <v>1.21411503E8</v>
      </c>
      <c r="L115" s="97">
        <f t="shared" si="35"/>
        <v>6556221.162</v>
      </c>
      <c r="M115" s="97">
        <f t="shared" si="34"/>
        <v>127967724.2</v>
      </c>
      <c r="N115" s="98">
        <f t="shared" si="33"/>
        <v>14076449.66</v>
      </c>
      <c r="O115" s="97">
        <f t="shared" si="5"/>
        <v>142044173.8</v>
      </c>
      <c r="P115" s="99"/>
      <c r="Q115" s="90" t="s">
        <v>3002</v>
      </c>
      <c r="R115" s="100"/>
      <c r="S115" s="101" t="str">
        <f t="shared" si="7"/>
        <v>#REF!</v>
      </c>
      <c r="T115" s="102" t="str">
        <f t="shared" si="8"/>
        <v>PP25-114</v>
      </c>
      <c r="U115" s="95"/>
      <c r="V115" s="95"/>
      <c r="W115" s="103"/>
      <c r="X115" s="103"/>
      <c r="Y115" s="103"/>
      <c r="Z115" s="104"/>
    </row>
    <row r="116" ht="49.5" customHeight="1">
      <c r="A116" s="90"/>
      <c r="B116" s="90" t="s">
        <v>2900</v>
      </c>
      <c r="C116" s="90">
        <f t="shared" si="30"/>
        <v>115</v>
      </c>
      <c r="D116" s="92" t="str">
        <f t="shared" si="1"/>
        <v>PP25-115</v>
      </c>
      <c r="E116" s="92">
        <v>45771.0</v>
      </c>
      <c r="F116" s="93"/>
      <c r="G116" s="116" t="s">
        <v>238</v>
      </c>
      <c r="H116" s="94" t="s">
        <v>19</v>
      </c>
      <c r="I116" s="94"/>
      <c r="J116" s="95" t="s">
        <v>449</v>
      </c>
      <c r="K116" s="96">
        <v>9.6342055E7</v>
      </c>
      <c r="L116" s="97">
        <f>K116*10%</f>
        <v>9634205.5</v>
      </c>
      <c r="M116" s="97">
        <f t="shared" si="34"/>
        <v>105976260.5</v>
      </c>
      <c r="N116" s="98">
        <f>L116*11%</f>
        <v>1059762.605</v>
      </c>
      <c r="O116" s="97">
        <f t="shared" si="5"/>
        <v>107036023.1</v>
      </c>
      <c r="P116" s="99"/>
      <c r="Q116" s="90" t="s">
        <v>2949</v>
      </c>
      <c r="R116" s="100"/>
      <c r="S116" s="101" t="str">
        <f t="shared" si="7"/>
        <v>#REF!</v>
      </c>
      <c r="T116" s="102" t="str">
        <f t="shared" si="8"/>
        <v>PP25-115</v>
      </c>
      <c r="U116" s="95"/>
      <c r="V116" s="95"/>
      <c r="W116" s="103"/>
      <c r="X116" s="103"/>
      <c r="Y116" s="103"/>
      <c r="Z116" s="104"/>
    </row>
    <row r="117" ht="49.5" customHeight="1">
      <c r="A117" s="90"/>
      <c r="B117" s="90" t="s">
        <v>2900</v>
      </c>
      <c r="C117" s="90">
        <f t="shared" si="30"/>
        <v>116</v>
      </c>
      <c r="D117" s="92" t="str">
        <f t="shared" si="1"/>
        <v>PP25-116</v>
      </c>
      <c r="E117" s="92">
        <v>45771.0</v>
      </c>
      <c r="F117" s="93"/>
      <c r="G117" s="93" t="s">
        <v>3010</v>
      </c>
      <c r="H117" s="94" t="s">
        <v>19</v>
      </c>
      <c r="I117" s="94"/>
      <c r="J117" s="95" t="s">
        <v>451</v>
      </c>
      <c r="K117" s="96">
        <v>8.19941583E8</v>
      </c>
      <c r="L117" s="97">
        <f>K117*5.5%</f>
        <v>45096787.07</v>
      </c>
      <c r="M117" s="97">
        <f t="shared" si="34"/>
        <v>865038370.1</v>
      </c>
      <c r="N117" s="98">
        <f t="shared" ref="N117:N140" si="36">M117*11%</f>
        <v>95154220.71</v>
      </c>
      <c r="O117" s="97">
        <f t="shared" si="5"/>
        <v>960192590.8</v>
      </c>
      <c r="P117" s="99"/>
      <c r="Q117" s="90" t="s">
        <v>2903</v>
      </c>
      <c r="R117" s="100"/>
      <c r="S117" s="101" t="str">
        <f t="shared" si="7"/>
        <v>#REF!</v>
      </c>
      <c r="T117" s="102" t="str">
        <f t="shared" si="8"/>
        <v>PP25-116</v>
      </c>
      <c r="U117" s="95"/>
      <c r="V117" s="95"/>
      <c r="W117" s="103"/>
      <c r="X117" s="103"/>
      <c r="Y117" s="103"/>
      <c r="Z117" s="104"/>
    </row>
    <row r="118" ht="49.5" customHeight="1">
      <c r="A118" s="90"/>
      <c r="B118" s="90" t="s">
        <v>2900</v>
      </c>
      <c r="C118" s="90">
        <f t="shared" si="30"/>
        <v>117</v>
      </c>
      <c r="D118" s="92" t="str">
        <f t="shared" si="1"/>
        <v>PP25-117</v>
      </c>
      <c r="E118" s="92">
        <v>45775.0</v>
      </c>
      <c r="F118" s="93"/>
      <c r="G118" s="93" t="s">
        <v>3010</v>
      </c>
      <c r="H118" s="94" t="s">
        <v>19</v>
      </c>
      <c r="I118" s="94"/>
      <c r="J118" s="95" t="s">
        <v>984</v>
      </c>
      <c r="K118" s="96">
        <v>3.12054105E8</v>
      </c>
      <c r="L118" s="97">
        <f t="shared" ref="L118:L119" si="37">K118*5.8%</f>
        <v>18099138.09</v>
      </c>
      <c r="M118" s="97">
        <f t="shared" si="34"/>
        <v>330153243.1</v>
      </c>
      <c r="N118" s="98">
        <f t="shared" si="36"/>
        <v>36316856.74</v>
      </c>
      <c r="O118" s="97">
        <f t="shared" si="5"/>
        <v>366470099.8</v>
      </c>
      <c r="P118" s="99"/>
      <c r="Q118" s="90" t="s">
        <v>2934</v>
      </c>
      <c r="R118" s="100"/>
      <c r="S118" s="101" t="str">
        <f t="shared" si="7"/>
        <v>#REF!</v>
      </c>
      <c r="T118" s="102" t="str">
        <f t="shared" si="8"/>
        <v>PP25-117</v>
      </c>
      <c r="U118" s="95"/>
      <c r="V118" s="95"/>
      <c r="W118" s="103"/>
      <c r="X118" s="103"/>
      <c r="Y118" s="103"/>
      <c r="Z118" s="104"/>
    </row>
    <row r="119" ht="49.5" customHeight="1">
      <c r="A119" s="90"/>
      <c r="B119" s="90" t="s">
        <v>2900</v>
      </c>
      <c r="C119" s="90">
        <f t="shared" si="30"/>
        <v>118</v>
      </c>
      <c r="D119" s="92" t="str">
        <f t="shared" si="1"/>
        <v>PP25-118</v>
      </c>
      <c r="E119" s="92">
        <v>45775.0</v>
      </c>
      <c r="F119" s="93"/>
      <c r="G119" s="93" t="s">
        <v>3010</v>
      </c>
      <c r="H119" s="94" t="s">
        <v>19</v>
      </c>
      <c r="I119" s="94"/>
      <c r="J119" s="95" t="s">
        <v>1010</v>
      </c>
      <c r="K119" s="96">
        <v>1.7019876E7</v>
      </c>
      <c r="L119" s="97">
        <f t="shared" si="37"/>
        <v>987152.808</v>
      </c>
      <c r="M119" s="97">
        <f t="shared" si="34"/>
        <v>18007028.81</v>
      </c>
      <c r="N119" s="98">
        <f t="shared" si="36"/>
        <v>1980773.169</v>
      </c>
      <c r="O119" s="97">
        <f t="shared" si="5"/>
        <v>19987801.98</v>
      </c>
      <c r="P119" s="99"/>
      <c r="Q119" s="90" t="s">
        <v>2934</v>
      </c>
      <c r="R119" s="100"/>
      <c r="S119" s="101" t="str">
        <f t="shared" si="7"/>
        <v>#REF!</v>
      </c>
      <c r="T119" s="102" t="str">
        <f t="shared" si="8"/>
        <v>PP25-118</v>
      </c>
      <c r="U119" s="95"/>
      <c r="V119" s="95"/>
      <c r="W119" s="103"/>
      <c r="X119" s="103"/>
      <c r="Y119" s="103"/>
      <c r="Z119" s="104"/>
    </row>
    <row r="120" ht="49.5" customHeight="1">
      <c r="A120" s="90"/>
      <c r="B120" s="90" t="s">
        <v>2900</v>
      </c>
      <c r="C120" s="90">
        <f t="shared" si="30"/>
        <v>119</v>
      </c>
      <c r="D120" s="92" t="str">
        <f t="shared" si="1"/>
        <v>PP25-119</v>
      </c>
      <c r="E120" s="92">
        <v>45775.0</v>
      </c>
      <c r="F120" s="93"/>
      <c r="G120" s="93" t="s">
        <v>3010</v>
      </c>
      <c r="H120" s="94" t="s">
        <v>19</v>
      </c>
      <c r="I120" s="94"/>
      <c r="J120" s="95" t="s">
        <v>1015</v>
      </c>
      <c r="K120" s="96">
        <v>4.4293936E7</v>
      </c>
      <c r="L120" s="97">
        <f>K120*10%</f>
        <v>4429393.6</v>
      </c>
      <c r="M120" s="97">
        <f t="shared" si="34"/>
        <v>48723329.6</v>
      </c>
      <c r="N120" s="98">
        <f t="shared" si="36"/>
        <v>5359566.256</v>
      </c>
      <c r="O120" s="97">
        <f t="shared" si="5"/>
        <v>54082895.86</v>
      </c>
      <c r="P120" s="99"/>
      <c r="Q120" s="90" t="s">
        <v>2903</v>
      </c>
      <c r="R120" s="100"/>
      <c r="S120" s="101" t="str">
        <f t="shared" si="7"/>
        <v>#REF!</v>
      </c>
      <c r="T120" s="102" t="str">
        <f t="shared" si="8"/>
        <v>PP25-119</v>
      </c>
      <c r="U120" s="95"/>
      <c r="V120" s="95"/>
      <c r="W120" s="103"/>
      <c r="X120" s="103"/>
      <c r="Y120" s="103"/>
      <c r="Z120" s="104"/>
    </row>
    <row r="121" ht="49.5" customHeight="1">
      <c r="A121" s="90"/>
      <c r="B121" s="90" t="s">
        <v>2900</v>
      </c>
      <c r="C121" s="90">
        <f t="shared" si="30"/>
        <v>120</v>
      </c>
      <c r="D121" s="92" t="str">
        <f t="shared" si="1"/>
        <v>PP25-120</v>
      </c>
      <c r="E121" s="92">
        <v>45775.0</v>
      </c>
      <c r="F121" s="93"/>
      <c r="G121" s="93" t="s">
        <v>3010</v>
      </c>
      <c r="H121" s="94" t="s">
        <v>19</v>
      </c>
      <c r="I121" s="94"/>
      <c r="J121" s="95" t="s">
        <v>1019</v>
      </c>
      <c r="K121" s="96">
        <v>4.3801022E7</v>
      </c>
      <c r="L121" s="97">
        <f t="shared" ref="L121:L125" si="38">K121*5.8%</f>
        <v>2540459.276</v>
      </c>
      <c r="M121" s="97">
        <f t="shared" si="34"/>
        <v>46341481.28</v>
      </c>
      <c r="N121" s="98">
        <f t="shared" si="36"/>
        <v>5097562.94</v>
      </c>
      <c r="O121" s="97">
        <f t="shared" si="5"/>
        <v>51439044.22</v>
      </c>
      <c r="P121" s="99"/>
      <c r="Q121" s="90" t="s">
        <v>2934</v>
      </c>
      <c r="R121" s="100"/>
      <c r="S121" s="101" t="str">
        <f t="shared" si="7"/>
        <v>#REF!</v>
      </c>
      <c r="T121" s="102" t="str">
        <f t="shared" si="8"/>
        <v>PP25-120</v>
      </c>
      <c r="U121" s="95"/>
      <c r="V121" s="95"/>
      <c r="W121" s="103"/>
      <c r="X121" s="103"/>
      <c r="Y121" s="103"/>
      <c r="Z121" s="104"/>
    </row>
    <row r="122" ht="49.5" customHeight="1">
      <c r="A122" s="90"/>
      <c r="B122" s="90" t="s">
        <v>2900</v>
      </c>
      <c r="C122" s="90">
        <f t="shared" si="30"/>
        <v>121</v>
      </c>
      <c r="D122" s="92" t="str">
        <f t="shared" si="1"/>
        <v>PP25-121</v>
      </c>
      <c r="E122" s="92">
        <v>45775.0</v>
      </c>
      <c r="F122" s="93"/>
      <c r="G122" s="93" t="s">
        <v>3010</v>
      </c>
      <c r="H122" s="94" t="s">
        <v>19</v>
      </c>
      <c r="I122" s="94"/>
      <c r="J122" s="95" t="s">
        <v>1025</v>
      </c>
      <c r="K122" s="96">
        <v>7077112.0</v>
      </c>
      <c r="L122" s="97">
        <f t="shared" si="38"/>
        <v>410472.496</v>
      </c>
      <c r="M122" s="97">
        <f t="shared" si="34"/>
        <v>7487584.496</v>
      </c>
      <c r="N122" s="98">
        <f t="shared" si="36"/>
        <v>823634.2946</v>
      </c>
      <c r="O122" s="97">
        <f t="shared" si="5"/>
        <v>8311218.791</v>
      </c>
      <c r="P122" s="99"/>
      <c r="Q122" s="90" t="s">
        <v>2934</v>
      </c>
      <c r="R122" s="100"/>
      <c r="S122" s="101" t="str">
        <f t="shared" si="7"/>
        <v>#REF!</v>
      </c>
      <c r="T122" s="102" t="str">
        <f t="shared" si="8"/>
        <v>PP25-121</v>
      </c>
      <c r="U122" s="95"/>
      <c r="V122" s="95"/>
      <c r="W122" s="103"/>
      <c r="X122" s="103"/>
      <c r="Y122" s="103"/>
      <c r="Z122" s="104"/>
    </row>
    <row r="123" ht="49.5" customHeight="1">
      <c r="A123" s="90"/>
      <c r="B123" s="90" t="s">
        <v>2900</v>
      </c>
      <c r="C123" s="90">
        <f t="shared" si="30"/>
        <v>122</v>
      </c>
      <c r="D123" s="92" t="str">
        <f t="shared" si="1"/>
        <v>PP25-122</v>
      </c>
      <c r="E123" s="92">
        <v>45775.0</v>
      </c>
      <c r="F123" s="93"/>
      <c r="G123" s="93" t="s">
        <v>3010</v>
      </c>
      <c r="H123" s="94" t="s">
        <v>19</v>
      </c>
      <c r="I123" s="94"/>
      <c r="J123" s="95" t="s">
        <v>1027</v>
      </c>
      <c r="K123" s="96">
        <v>2.23604178E8</v>
      </c>
      <c r="L123" s="97">
        <f t="shared" si="38"/>
        <v>12969042.32</v>
      </c>
      <c r="M123" s="97">
        <f t="shared" si="34"/>
        <v>236573220.3</v>
      </c>
      <c r="N123" s="98">
        <f t="shared" si="36"/>
        <v>26023054.24</v>
      </c>
      <c r="O123" s="97">
        <f t="shared" si="5"/>
        <v>262596274.6</v>
      </c>
      <c r="P123" s="99"/>
      <c r="Q123" s="90" t="s">
        <v>2934</v>
      </c>
      <c r="R123" s="100"/>
      <c r="S123" s="101" t="str">
        <f t="shared" si="7"/>
        <v>#REF!</v>
      </c>
      <c r="T123" s="102" t="str">
        <f t="shared" si="8"/>
        <v>PP25-122</v>
      </c>
      <c r="U123" s="95"/>
      <c r="V123" s="95"/>
      <c r="W123" s="103"/>
      <c r="X123" s="103"/>
      <c r="Y123" s="103"/>
      <c r="Z123" s="104"/>
    </row>
    <row r="124" ht="49.5" customHeight="1">
      <c r="A124" s="90"/>
      <c r="B124" s="90" t="s">
        <v>2900</v>
      </c>
      <c r="C124" s="90">
        <f t="shared" si="30"/>
        <v>123</v>
      </c>
      <c r="D124" s="92" t="str">
        <f t="shared" si="1"/>
        <v>PP25-123</v>
      </c>
      <c r="E124" s="92">
        <v>45775.0</v>
      </c>
      <c r="F124" s="93"/>
      <c r="G124" s="93" t="s">
        <v>3010</v>
      </c>
      <c r="H124" s="94" t="s">
        <v>19</v>
      </c>
      <c r="I124" s="94"/>
      <c r="J124" s="95" t="s">
        <v>1033</v>
      </c>
      <c r="K124" s="96">
        <v>3.1126239E7</v>
      </c>
      <c r="L124" s="97">
        <f t="shared" si="38"/>
        <v>1805321.862</v>
      </c>
      <c r="M124" s="97">
        <f t="shared" si="34"/>
        <v>32931560.86</v>
      </c>
      <c r="N124" s="98">
        <f t="shared" si="36"/>
        <v>3622471.695</v>
      </c>
      <c r="O124" s="97">
        <f t="shared" si="5"/>
        <v>36554032.56</v>
      </c>
      <c r="P124" s="99"/>
      <c r="Q124" s="90" t="s">
        <v>2934</v>
      </c>
      <c r="R124" s="100"/>
      <c r="S124" s="101" t="str">
        <f t="shared" si="7"/>
        <v>#REF!</v>
      </c>
      <c r="T124" s="102" t="str">
        <f t="shared" si="8"/>
        <v>PP25-123</v>
      </c>
      <c r="U124" s="95"/>
      <c r="V124" s="95"/>
      <c r="W124" s="103"/>
      <c r="X124" s="103"/>
      <c r="Y124" s="103"/>
      <c r="Z124" s="104"/>
    </row>
    <row r="125" ht="49.5" customHeight="1">
      <c r="A125" s="90"/>
      <c r="B125" s="90" t="s">
        <v>2900</v>
      </c>
      <c r="C125" s="90">
        <f t="shared" si="30"/>
        <v>124</v>
      </c>
      <c r="D125" s="92" t="str">
        <f t="shared" si="1"/>
        <v>PP25-124</v>
      </c>
      <c r="E125" s="92">
        <v>45775.0</v>
      </c>
      <c r="F125" s="93"/>
      <c r="G125" s="93" t="s">
        <v>3010</v>
      </c>
      <c r="H125" s="94" t="s">
        <v>19</v>
      </c>
      <c r="I125" s="94"/>
      <c r="J125" s="95" t="s">
        <v>1049</v>
      </c>
      <c r="K125" s="96">
        <v>9500000.0</v>
      </c>
      <c r="L125" s="97">
        <f t="shared" si="38"/>
        <v>551000</v>
      </c>
      <c r="M125" s="97">
        <f t="shared" si="34"/>
        <v>10051000</v>
      </c>
      <c r="N125" s="98">
        <f t="shared" si="36"/>
        <v>1105610</v>
      </c>
      <c r="O125" s="97">
        <f t="shared" si="5"/>
        <v>11156610</v>
      </c>
      <c r="P125" s="99"/>
      <c r="Q125" s="90" t="s">
        <v>2934</v>
      </c>
      <c r="R125" s="100"/>
      <c r="S125" s="101" t="str">
        <f t="shared" si="7"/>
        <v>#REF!</v>
      </c>
      <c r="T125" s="102" t="str">
        <f t="shared" si="8"/>
        <v>PP25-124</v>
      </c>
      <c r="U125" s="95"/>
      <c r="V125" s="95"/>
      <c r="W125" s="103"/>
      <c r="X125" s="103"/>
      <c r="Y125" s="103"/>
      <c r="Z125" s="104"/>
    </row>
    <row r="126" ht="49.5" customHeight="1">
      <c r="A126" s="90"/>
      <c r="B126" s="90" t="s">
        <v>2900</v>
      </c>
      <c r="C126" s="90">
        <f t="shared" si="30"/>
        <v>125</v>
      </c>
      <c r="D126" s="92" t="str">
        <f t="shared" si="1"/>
        <v>PP25-125</v>
      </c>
      <c r="E126" s="92">
        <v>45775.0</v>
      </c>
      <c r="F126" s="93"/>
      <c r="G126" s="110" t="s">
        <v>3010</v>
      </c>
      <c r="H126" s="94" t="s">
        <v>19</v>
      </c>
      <c r="I126" s="94"/>
      <c r="J126" s="95" t="s">
        <v>486</v>
      </c>
      <c r="K126" s="96">
        <v>2.71250705E8</v>
      </c>
      <c r="L126" s="97">
        <f>K126*6.3%</f>
        <v>17088794.42</v>
      </c>
      <c r="M126" s="97">
        <f t="shared" si="34"/>
        <v>288339499.4</v>
      </c>
      <c r="N126" s="98">
        <f t="shared" si="36"/>
        <v>31717344.94</v>
      </c>
      <c r="O126" s="97">
        <f t="shared" si="5"/>
        <v>320056844.4</v>
      </c>
      <c r="P126" s="99"/>
      <c r="Q126" s="90" t="s">
        <v>2903</v>
      </c>
      <c r="R126" s="100"/>
      <c r="S126" s="101" t="str">
        <f t="shared" si="7"/>
        <v>#REF!</v>
      </c>
      <c r="T126" s="102" t="str">
        <f t="shared" si="8"/>
        <v>PP25-125</v>
      </c>
      <c r="U126" s="95"/>
      <c r="V126" s="95"/>
      <c r="W126" s="103"/>
      <c r="X126" s="103"/>
      <c r="Y126" s="103"/>
      <c r="Z126" s="104"/>
    </row>
    <row r="127" ht="49.5" customHeight="1">
      <c r="A127" s="90"/>
      <c r="B127" s="90" t="s">
        <v>2900</v>
      </c>
      <c r="C127" s="90">
        <f t="shared" si="30"/>
        <v>126</v>
      </c>
      <c r="D127" s="92" t="str">
        <f t="shared" si="1"/>
        <v>PP25-126</v>
      </c>
      <c r="E127" s="92">
        <v>45775.0</v>
      </c>
      <c r="F127" s="93"/>
      <c r="G127" s="110" t="s">
        <v>3010</v>
      </c>
      <c r="H127" s="94" t="s">
        <v>19</v>
      </c>
      <c r="I127" s="94"/>
      <c r="J127" s="95" t="s">
        <v>488</v>
      </c>
      <c r="K127" s="96">
        <v>1.62358451E8</v>
      </c>
      <c r="L127" s="97">
        <f t="shared" ref="L127:L130" si="39">K127*5.3%</f>
        <v>8604997.903</v>
      </c>
      <c r="M127" s="97">
        <f t="shared" si="34"/>
        <v>170963448.9</v>
      </c>
      <c r="N127" s="98">
        <f t="shared" si="36"/>
        <v>18805979.38</v>
      </c>
      <c r="O127" s="97">
        <f t="shared" si="5"/>
        <v>189769428.3</v>
      </c>
      <c r="P127" s="99"/>
      <c r="Q127" s="90" t="s">
        <v>2949</v>
      </c>
      <c r="R127" s="100"/>
      <c r="S127" s="101" t="str">
        <f t="shared" si="7"/>
        <v>#REF!</v>
      </c>
      <c r="T127" s="102" t="str">
        <f t="shared" si="8"/>
        <v>PP25-126</v>
      </c>
      <c r="U127" s="95"/>
      <c r="V127" s="95"/>
      <c r="W127" s="103"/>
      <c r="X127" s="103"/>
      <c r="Y127" s="103"/>
      <c r="Z127" s="104"/>
    </row>
    <row r="128" ht="49.5" customHeight="1">
      <c r="A128" s="90"/>
      <c r="B128" s="90" t="s">
        <v>2900</v>
      </c>
      <c r="C128" s="90">
        <f t="shared" si="30"/>
        <v>127</v>
      </c>
      <c r="D128" s="92" t="str">
        <f t="shared" si="1"/>
        <v>PP25-127</v>
      </c>
      <c r="E128" s="92">
        <v>45775.0</v>
      </c>
      <c r="F128" s="93"/>
      <c r="G128" s="110" t="s">
        <v>3010</v>
      </c>
      <c r="H128" s="94" t="s">
        <v>19</v>
      </c>
      <c r="I128" s="94"/>
      <c r="J128" s="95" t="s">
        <v>490</v>
      </c>
      <c r="K128" s="96">
        <v>4.8368243E7</v>
      </c>
      <c r="L128" s="97">
        <f t="shared" si="39"/>
        <v>2563516.879</v>
      </c>
      <c r="M128" s="97">
        <f t="shared" si="34"/>
        <v>50931759.88</v>
      </c>
      <c r="N128" s="98">
        <f t="shared" si="36"/>
        <v>5602493.587</v>
      </c>
      <c r="O128" s="97">
        <f t="shared" si="5"/>
        <v>56534253.47</v>
      </c>
      <c r="P128" s="99"/>
      <c r="Q128" s="90" t="s">
        <v>2949</v>
      </c>
      <c r="R128" s="100"/>
      <c r="S128" s="101" t="str">
        <f t="shared" si="7"/>
        <v>#REF!</v>
      </c>
      <c r="T128" s="102" t="str">
        <f t="shared" si="8"/>
        <v>PP25-127</v>
      </c>
      <c r="U128" s="95"/>
      <c r="V128" s="95"/>
      <c r="W128" s="103"/>
      <c r="X128" s="103"/>
      <c r="Y128" s="103"/>
      <c r="Z128" s="104"/>
    </row>
    <row r="129" ht="49.5" customHeight="1">
      <c r="A129" s="90"/>
      <c r="B129" s="90" t="s">
        <v>2900</v>
      </c>
      <c r="C129" s="90">
        <f t="shared" si="30"/>
        <v>128</v>
      </c>
      <c r="D129" s="92" t="str">
        <f t="shared" si="1"/>
        <v>PP25-128</v>
      </c>
      <c r="E129" s="92">
        <v>45775.0</v>
      </c>
      <c r="F129" s="93"/>
      <c r="G129" s="110" t="s">
        <v>3010</v>
      </c>
      <c r="H129" s="94" t="s">
        <v>19</v>
      </c>
      <c r="I129" s="94"/>
      <c r="J129" s="95" t="s">
        <v>492</v>
      </c>
      <c r="K129" s="96">
        <v>3.5308832E7</v>
      </c>
      <c r="L129" s="97">
        <f t="shared" si="39"/>
        <v>1871368.096</v>
      </c>
      <c r="M129" s="97">
        <f t="shared" si="34"/>
        <v>37180200.1</v>
      </c>
      <c r="N129" s="98">
        <f t="shared" si="36"/>
        <v>4089822.011</v>
      </c>
      <c r="O129" s="97">
        <f t="shared" si="5"/>
        <v>41270022.11</v>
      </c>
      <c r="P129" s="99"/>
      <c r="Q129" s="90" t="s">
        <v>2949</v>
      </c>
      <c r="R129" s="100"/>
      <c r="S129" s="101" t="str">
        <f t="shared" si="7"/>
        <v>#REF!</v>
      </c>
      <c r="T129" s="102" t="str">
        <f t="shared" si="8"/>
        <v>PP25-128</v>
      </c>
      <c r="U129" s="95"/>
      <c r="V129" s="95"/>
      <c r="W129" s="103"/>
      <c r="X129" s="103"/>
      <c r="Y129" s="103"/>
      <c r="Z129" s="104"/>
    </row>
    <row r="130" ht="49.5" customHeight="1">
      <c r="A130" s="90"/>
      <c r="B130" s="90" t="s">
        <v>2900</v>
      </c>
      <c r="C130" s="90">
        <f t="shared" si="30"/>
        <v>129</v>
      </c>
      <c r="D130" s="92" t="str">
        <f t="shared" si="1"/>
        <v>PP25-129</v>
      </c>
      <c r="E130" s="92">
        <v>45775.0</v>
      </c>
      <c r="F130" s="93"/>
      <c r="G130" s="93" t="s">
        <v>3010</v>
      </c>
      <c r="H130" s="94" t="s">
        <v>19</v>
      </c>
      <c r="I130" s="94"/>
      <c r="J130" s="95" t="s">
        <v>398</v>
      </c>
      <c r="K130" s="96">
        <v>4.4901194E7</v>
      </c>
      <c r="L130" s="97">
        <f t="shared" si="39"/>
        <v>2379763.282</v>
      </c>
      <c r="M130" s="97">
        <f t="shared" si="34"/>
        <v>47280957.28</v>
      </c>
      <c r="N130" s="98">
        <f t="shared" si="36"/>
        <v>5200905.301</v>
      </c>
      <c r="O130" s="97">
        <f t="shared" si="5"/>
        <v>52481862.58</v>
      </c>
      <c r="P130" s="99"/>
      <c r="Q130" s="90" t="s">
        <v>2949</v>
      </c>
      <c r="R130" s="100"/>
      <c r="S130" s="101" t="str">
        <f t="shared" si="7"/>
        <v>#REF!</v>
      </c>
      <c r="T130" s="102" t="str">
        <f t="shared" si="8"/>
        <v>PP25-129</v>
      </c>
      <c r="U130" s="95"/>
      <c r="V130" s="95"/>
      <c r="W130" s="103"/>
      <c r="X130" s="103"/>
      <c r="Y130" s="103"/>
      <c r="Z130" s="104"/>
    </row>
    <row r="131" ht="49.5" customHeight="1">
      <c r="A131" s="90"/>
      <c r="B131" s="118" t="s">
        <v>2900</v>
      </c>
      <c r="C131" s="118">
        <f t="shared" si="30"/>
        <v>130</v>
      </c>
      <c r="D131" s="119" t="str">
        <f t="shared" si="1"/>
        <v>PP25-130</v>
      </c>
      <c r="E131" s="92">
        <v>45777.0</v>
      </c>
      <c r="F131" s="93"/>
      <c r="G131" s="93" t="s">
        <v>3010</v>
      </c>
      <c r="H131" s="94" t="s">
        <v>19</v>
      </c>
      <c r="I131" s="94"/>
      <c r="J131" s="95" t="s">
        <v>495</v>
      </c>
      <c r="K131" s="96">
        <v>5.8362386E7</v>
      </c>
      <c r="L131" s="97">
        <f t="shared" ref="L131:L133" si="40">K131*6%</f>
        <v>3501743.16</v>
      </c>
      <c r="M131" s="97">
        <f t="shared" si="34"/>
        <v>61864129.16</v>
      </c>
      <c r="N131" s="98">
        <f t="shared" si="36"/>
        <v>6805054.208</v>
      </c>
      <c r="O131" s="97">
        <f t="shared" si="5"/>
        <v>68669183.37</v>
      </c>
      <c r="P131" s="99"/>
      <c r="Q131" s="90" t="s">
        <v>2903</v>
      </c>
      <c r="R131" s="100" t="str">
        <f t="shared" ref="R131:R133" si="41">VLOOKUP(D131,'[1]NSFP KPPE'!$A$5:$E$1000,5,FALSE)</f>
        <v>#REF!</v>
      </c>
      <c r="S131" s="101" t="str">
        <f t="shared" si="7"/>
        <v>#REF!</v>
      </c>
      <c r="T131" s="102" t="str">
        <f t="shared" si="8"/>
        <v>PP25-130</v>
      </c>
      <c r="U131" s="95"/>
      <c r="V131" s="95"/>
      <c r="W131" s="103"/>
      <c r="X131" s="103"/>
      <c r="Y131" s="103"/>
      <c r="Z131" s="104"/>
    </row>
    <row r="132" ht="49.5" customHeight="1">
      <c r="A132" s="90"/>
      <c r="B132" s="90" t="s">
        <v>2900</v>
      </c>
      <c r="C132" s="90">
        <f t="shared" si="30"/>
        <v>131</v>
      </c>
      <c r="D132" s="92" t="str">
        <f t="shared" si="1"/>
        <v>PP25-131</v>
      </c>
      <c r="E132" s="92">
        <v>45777.0</v>
      </c>
      <c r="F132" s="93"/>
      <c r="G132" s="93" t="s">
        <v>3010</v>
      </c>
      <c r="H132" s="94" t="s">
        <v>19</v>
      </c>
      <c r="I132" s="94"/>
      <c r="J132" s="95" t="s">
        <v>497</v>
      </c>
      <c r="K132" s="96">
        <v>4.2617016E7</v>
      </c>
      <c r="L132" s="97">
        <f t="shared" si="40"/>
        <v>2557020.96</v>
      </c>
      <c r="M132" s="97">
        <f t="shared" si="34"/>
        <v>45174036.96</v>
      </c>
      <c r="N132" s="98">
        <f t="shared" si="36"/>
        <v>4969144.066</v>
      </c>
      <c r="O132" s="97">
        <f t="shared" si="5"/>
        <v>50143181.03</v>
      </c>
      <c r="P132" s="99"/>
      <c r="Q132" s="90" t="s">
        <v>2903</v>
      </c>
      <c r="R132" s="100" t="str">
        <f t="shared" si="41"/>
        <v>#REF!</v>
      </c>
      <c r="S132" s="101" t="str">
        <f t="shared" si="7"/>
        <v>#REF!</v>
      </c>
      <c r="T132" s="102" t="str">
        <f t="shared" si="8"/>
        <v>PP25-131</v>
      </c>
      <c r="U132" s="95"/>
      <c r="V132" s="95"/>
      <c r="W132" s="103"/>
      <c r="X132" s="103"/>
      <c r="Y132" s="103"/>
      <c r="Z132" s="104"/>
    </row>
    <row r="133" ht="49.5" customHeight="1">
      <c r="A133" s="90"/>
      <c r="B133" s="90" t="s">
        <v>2900</v>
      </c>
      <c r="C133" s="90">
        <f t="shared" si="30"/>
        <v>132</v>
      </c>
      <c r="D133" s="92" t="str">
        <f t="shared" si="1"/>
        <v>PP25-132</v>
      </c>
      <c r="E133" s="92">
        <v>45777.0</v>
      </c>
      <c r="F133" s="93"/>
      <c r="G133" s="93" t="s">
        <v>3010</v>
      </c>
      <c r="H133" s="94" t="s">
        <v>19</v>
      </c>
      <c r="I133" s="94"/>
      <c r="J133" s="95" t="s">
        <v>499</v>
      </c>
      <c r="K133" s="96">
        <v>4.06212139E8</v>
      </c>
      <c r="L133" s="97">
        <f t="shared" si="40"/>
        <v>24372728.34</v>
      </c>
      <c r="M133" s="97">
        <f t="shared" si="34"/>
        <v>430584867.3</v>
      </c>
      <c r="N133" s="98">
        <f t="shared" si="36"/>
        <v>47364335.41</v>
      </c>
      <c r="O133" s="97">
        <f t="shared" si="5"/>
        <v>477949202.7</v>
      </c>
      <c r="P133" s="99"/>
      <c r="Q133" s="90" t="s">
        <v>2903</v>
      </c>
      <c r="R133" s="100" t="str">
        <f t="shared" si="41"/>
        <v>#REF!</v>
      </c>
      <c r="S133" s="101" t="str">
        <f t="shared" si="7"/>
        <v>#REF!</v>
      </c>
      <c r="T133" s="102" t="str">
        <f t="shared" si="8"/>
        <v>PP25-132</v>
      </c>
      <c r="U133" s="95"/>
      <c r="V133" s="95"/>
      <c r="W133" s="103"/>
      <c r="X133" s="103"/>
      <c r="Y133" s="103"/>
      <c r="Z133" s="104"/>
    </row>
    <row r="134" ht="49.5" customHeight="1">
      <c r="A134" s="90"/>
      <c r="B134" s="90" t="s">
        <v>2900</v>
      </c>
      <c r="C134" s="90">
        <f t="shared" si="30"/>
        <v>133</v>
      </c>
      <c r="D134" s="92" t="str">
        <f t="shared" si="1"/>
        <v>PP25-133</v>
      </c>
      <c r="E134" s="92">
        <v>45779.0</v>
      </c>
      <c r="F134" s="110"/>
      <c r="G134" s="93" t="s">
        <v>3010</v>
      </c>
      <c r="H134" s="94" t="s">
        <v>19</v>
      </c>
      <c r="I134" s="94"/>
      <c r="J134" s="95" t="s">
        <v>1092</v>
      </c>
      <c r="K134" s="96">
        <v>2.49740794E8</v>
      </c>
      <c r="L134" s="97">
        <f t="shared" ref="L134:L135" si="42">K134*5.6%</f>
        <v>13985484.46</v>
      </c>
      <c r="M134" s="97">
        <f t="shared" si="34"/>
        <v>263726278.5</v>
      </c>
      <c r="N134" s="98">
        <f t="shared" si="36"/>
        <v>29009890.63</v>
      </c>
      <c r="O134" s="97">
        <f t="shared" si="5"/>
        <v>292736169.1</v>
      </c>
      <c r="P134" s="99"/>
      <c r="Q134" s="90" t="s">
        <v>2903</v>
      </c>
      <c r="R134" s="100"/>
      <c r="S134" s="101" t="str">
        <f t="shared" si="7"/>
        <v>#REF!</v>
      </c>
      <c r="T134" s="102" t="str">
        <f t="shared" si="8"/>
        <v>PP25-133</v>
      </c>
      <c r="U134" s="95"/>
      <c r="V134" s="95"/>
      <c r="W134" s="103"/>
      <c r="X134" s="103"/>
      <c r="Y134" s="103"/>
      <c r="Z134" s="104"/>
    </row>
    <row r="135" ht="49.5" customHeight="1">
      <c r="A135" s="90"/>
      <c r="B135" s="90" t="s">
        <v>2900</v>
      </c>
      <c r="C135" s="90">
        <f t="shared" si="30"/>
        <v>134</v>
      </c>
      <c r="D135" s="92" t="str">
        <f t="shared" si="1"/>
        <v>PP25-134</v>
      </c>
      <c r="E135" s="92">
        <v>45779.0</v>
      </c>
      <c r="F135" s="110"/>
      <c r="G135" s="93" t="s">
        <v>3010</v>
      </c>
      <c r="H135" s="94" t="s">
        <v>19</v>
      </c>
      <c r="I135" s="94"/>
      <c r="J135" s="95" t="s">
        <v>1113</v>
      </c>
      <c r="K135" s="96">
        <v>9.3173824E7</v>
      </c>
      <c r="L135" s="97">
        <f t="shared" si="42"/>
        <v>5217734.144</v>
      </c>
      <c r="M135" s="97">
        <f t="shared" si="34"/>
        <v>98391558.14</v>
      </c>
      <c r="N135" s="98">
        <f t="shared" si="36"/>
        <v>10823071.4</v>
      </c>
      <c r="O135" s="97">
        <f t="shared" si="5"/>
        <v>109214629.5</v>
      </c>
      <c r="P135" s="99"/>
      <c r="Q135" s="90" t="s">
        <v>2903</v>
      </c>
      <c r="R135" s="100" t="str">
        <f>VLOOKUP(D135,'[1]NSFP KPPE'!$A$5:$E$1000,5,FALSE)</f>
        <v>#REF!</v>
      </c>
      <c r="S135" s="101" t="str">
        <f t="shared" si="7"/>
        <v>#REF!</v>
      </c>
      <c r="T135" s="102" t="str">
        <f t="shared" si="8"/>
        <v>PP25-134</v>
      </c>
      <c r="U135" s="95"/>
      <c r="V135" s="95"/>
      <c r="W135" s="103"/>
      <c r="X135" s="103"/>
      <c r="Y135" s="103"/>
      <c r="Z135" s="104"/>
    </row>
    <row r="136" ht="49.5" customHeight="1">
      <c r="A136" s="90"/>
      <c r="B136" s="90" t="s">
        <v>2900</v>
      </c>
      <c r="C136" s="90">
        <f t="shared" si="30"/>
        <v>135</v>
      </c>
      <c r="D136" s="92" t="str">
        <f t="shared" si="1"/>
        <v>PP25-135</v>
      </c>
      <c r="E136" s="120">
        <v>45804.0</v>
      </c>
      <c r="F136" s="93"/>
      <c r="G136" s="93" t="s">
        <v>3010</v>
      </c>
      <c r="H136" s="94"/>
      <c r="I136" s="94"/>
      <c r="J136" s="95" t="s">
        <v>511</v>
      </c>
      <c r="K136" s="96">
        <v>3585400.0</v>
      </c>
      <c r="L136" s="97">
        <f t="shared" ref="L136:L138" si="43">K136*6%</f>
        <v>215124</v>
      </c>
      <c r="M136" s="97">
        <f t="shared" si="34"/>
        <v>3800524</v>
      </c>
      <c r="N136" s="98">
        <f t="shared" si="36"/>
        <v>418057.64</v>
      </c>
      <c r="O136" s="97">
        <f t="shared" si="5"/>
        <v>4218581.64</v>
      </c>
      <c r="P136" s="99"/>
      <c r="Q136" s="90" t="s">
        <v>2903</v>
      </c>
      <c r="R136" s="100"/>
      <c r="S136" s="101" t="str">
        <f t="shared" si="7"/>
        <v>#REF!</v>
      </c>
      <c r="T136" s="102" t="str">
        <f t="shared" si="8"/>
        <v>PP25-135</v>
      </c>
      <c r="U136" s="95"/>
      <c r="V136" s="95"/>
      <c r="W136" s="103"/>
      <c r="X136" s="103"/>
      <c r="Y136" s="103"/>
      <c r="Z136" s="104"/>
    </row>
    <row r="137" ht="49.5" customHeight="1">
      <c r="A137" s="90"/>
      <c r="B137" s="90" t="s">
        <v>2900</v>
      </c>
      <c r="C137" s="90">
        <f t="shared" si="30"/>
        <v>136</v>
      </c>
      <c r="D137" s="92" t="str">
        <f t="shared" si="1"/>
        <v>PP25-136</v>
      </c>
      <c r="E137" s="120">
        <v>45804.0</v>
      </c>
      <c r="F137" s="93"/>
      <c r="G137" s="93" t="s">
        <v>3010</v>
      </c>
      <c r="H137" s="94"/>
      <c r="I137" s="94"/>
      <c r="J137" s="95" t="s">
        <v>513</v>
      </c>
      <c r="K137" s="96">
        <v>9613873.0</v>
      </c>
      <c r="L137" s="97">
        <f t="shared" si="43"/>
        <v>576832.38</v>
      </c>
      <c r="M137" s="97">
        <f t="shared" si="34"/>
        <v>10190705.38</v>
      </c>
      <c r="N137" s="98">
        <f t="shared" si="36"/>
        <v>1120977.592</v>
      </c>
      <c r="O137" s="97">
        <f t="shared" si="5"/>
        <v>11311682.97</v>
      </c>
      <c r="P137" s="99"/>
      <c r="Q137" s="90" t="s">
        <v>2903</v>
      </c>
      <c r="R137" s="100"/>
      <c r="S137" s="101" t="str">
        <f t="shared" si="7"/>
        <v>#REF!</v>
      </c>
      <c r="T137" s="102" t="str">
        <f t="shared" si="8"/>
        <v>PP25-136</v>
      </c>
      <c r="U137" s="95"/>
      <c r="V137" s="95"/>
      <c r="W137" s="103"/>
      <c r="X137" s="103"/>
      <c r="Y137" s="103"/>
      <c r="Z137" s="104"/>
    </row>
    <row r="138" ht="49.5" customHeight="1">
      <c r="A138" s="90"/>
      <c r="B138" s="90" t="s">
        <v>2900</v>
      </c>
      <c r="C138" s="90">
        <f t="shared" si="30"/>
        <v>137</v>
      </c>
      <c r="D138" s="92" t="str">
        <f t="shared" si="1"/>
        <v>PP25-137</v>
      </c>
      <c r="E138" s="120">
        <v>45804.0</v>
      </c>
      <c r="F138" s="93"/>
      <c r="G138" s="93" t="s">
        <v>3010</v>
      </c>
      <c r="H138" s="94"/>
      <c r="I138" s="94"/>
      <c r="J138" s="95" t="s">
        <v>515</v>
      </c>
      <c r="K138" s="96">
        <v>3.155862E7</v>
      </c>
      <c r="L138" s="97">
        <f t="shared" si="43"/>
        <v>1893517.2</v>
      </c>
      <c r="M138" s="97">
        <f t="shared" si="34"/>
        <v>33452137.2</v>
      </c>
      <c r="N138" s="98">
        <f t="shared" si="36"/>
        <v>3679735.092</v>
      </c>
      <c r="O138" s="97">
        <f t="shared" si="5"/>
        <v>37131872.29</v>
      </c>
      <c r="P138" s="99"/>
      <c r="Q138" s="90" t="s">
        <v>2903</v>
      </c>
      <c r="R138" s="100"/>
      <c r="S138" s="101" t="str">
        <f t="shared" si="7"/>
        <v>#REF!</v>
      </c>
      <c r="T138" s="102" t="str">
        <f t="shared" si="8"/>
        <v>PP25-137</v>
      </c>
      <c r="U138" s="95"/>
      <c r="V138" s="95"/>
      <c r="W138" s="103"/>
      <c r="X138" s="103"/>
      <c r="Y138" s="103"/>
      <c r="Z138" s="104"/>
    </row>
    <row r="139" ht="49.5" customHeight="1">
      <c r="A139" s="90"/>
      <c r="B139" s="90" t="s">
        <v>2900</v>
      </c>
      <c r="C139" s="90">
        <f t="shared" si="30"/>
        <v>138</v>
      </c>
      <c r="D139" s="92" t="str">
        <f t="shared" si="1"/>
        <v>PP25-138</v>
      </c>
      <c r="E139" s="92">
        <v>45783.0</v>
      </c>
      <c r="F139" s="93"/>
      <c r="G139" s="110" t="s">
        <v>3010</v>
      </c>
      <c r="H139" s="94"/>
      <c r="I139" s="94"/>
      <c r="J139" s="95" t="s">
        <v>1129</v>
      </c>
      <c r="K139" s="96">
        <v>1.7233819E7</v>
      </c>
      <c r="L139" s="97">
        <f t="shared" ref="L139:L140" si="44">K139*7.5%</f>
        <v>1292536.425</v>
      </c>
      <c r="M139" s="97">
        <f t="shared" si="34"/>
        <v>18526355.43</v>
      </c>
      <c r="N139" s="98">
        <f t="shared" si="36"/>
        <v>2037899.097</v>
      </c>
      <c r="O139" s="97">
        <f t="shared" si="5"/>
        <v>20564254.52</v>
      </c>
      <c r="P139" s="99"/>
      <c r="Q139" s="90" t="s">
        <v>2903</v>
      </c>
      <c r="R139" s="100"/>
      <c r="S139" s="101" t="str">
        <f t="shared" si="7"/>
        <v>#REF!</v>
      </c>
      <c r="T139" s="102" t="str">
        <f t="shared" si="8"/>
        <v>PP25-138</v>
      </c>
      <c r="U139" s="95"/>
      <c r="V139" s="95"/>
      <c r="W139" s="103"/>
      <c r="X139" s="103"/>
      <c r="Y139" s="103"/>
      <c r="Z139" s="104"/>
    </row>
    <row r="140" ht="49.5" customHeight="1">
      <c r="A140" s="90"/>
      <c r="B140" s="90" t="s">
        <v>2900</v>
      </c>
      <c r="C140" s="90">
        <f t="shared" si="30"/>
        <v>139</v>
      </c>
      <c r="D140" s="92" t="str">
        <f t="shared" si="1"/>
        <v>PP25-139</v>
      </c>
      <c r="E140" s="92">
        <v>45783.0</v>
      </c>
      <c r="F140" s="93"/>
      <c r="G140" s="110" t="s">
        <v>3010</v>
      </c>
      <c r="H140" s="94"/>
      <c r="I140" s="94"/>
      <c r="J140" s="95" t="s">
        <v>1147</v>
      </c>
      <c r="K140" s="96">
        <v>8616910.0</v>
      </c>
      <c r="L140" s="97">
        <f t="shared" si="44"/>
        <v>646268.25</v>
      </c>
      <c r="M140" s="97">
        <f t="shared" si="34"/>
        <v>9263178.25</v>
      </c>
      <c r="N140" s="98">
        <f t="shared" si="36"/>
        <v>1018949.608</v>
      </c>
      <c r="O140" s="97">
        <f t="shared" si="5"/>
        <v>10282127.86</v>
      </c>
      <c r="P140" s="99"/>
      <c r="Q140" s="90" t="s">
        <v>2903</v>
      </c>
      <c r="R140" s="100"/>
      <c r="S140" s="101" t="str">
        <f t="shared" si="7"/>
        <v>#REF!</v>
      </c>
      <c r="T140" s="102" t="str">
        <f t="shared" si="8"/>
        <v>PP25-139</v>
      </c>
      <c r="U140" s="95"/>
      <c r="V140" s="95"/>
      <c r="W140" s="103"/>
      <c r="X140" s="103"/>
      <c r="Y140" s="103"/>
      <c r="Z140" s="104"/>
    </row>
    <row r="141" ht="49.5" hidden="1" customHeight="1">
      <c r="A141" s="90"/>
      <c r="B141" s="90" t="s">
        <v>2900</v>
      </c>
      <c r="C141" s="90">
        <f t="shared" si="30"/>
        <v>140</v>
      </c>
      <c r="D141" s="92" t="str">
        <f t="shared" si="1"/>
        <v>PP25-140</v>
      </c>
      <c r="E141" s="92"/>
      <c r="F141" s="93"/>
      <c r="G141" s="93"/>
      <c r="H141" s="94"/>
      <c r="I141" s="94"/>
      <c r="J141" s="95"/>
      <c r="K141" s="96"/>
      <c r="L141" s="97"/>
      <c r="M141" s="97"/>
      <c r="N141" s="98"/>
      <c r="O141" s="97"/>
      <c r="P141" s="99"/>
      <c r="Q141" s="90"/>
      <c r="R141" s="100" t="str">
        <f>VLOOKUP(D141,'[1]NSFP KPPE'!$A$5:$E$1000,5,FALSE)</f>
        <v>#REF!</v>
      </c>
      <c r="S141" s="101" t="str">
        <f t="shared" si="7"/>
        <v>#REF!</v>
      </c>
      <c r="T141" s="102" t="str">
        <f t="shared" si="8"/>
        <v>PP25-140</v>
      </c>
      <c r="U141" s="95"/>
      <c r="V141" s="95"/>
      <c r="W141" s="103"/>
      <c r="X141" s="103"/>
      <c r="Y141" s="103"/>
      <c r="Z141" s="104"/>
    </row>
    <row r="142" ht="49.5" customHeight="1">
      <c r="A142" s="90"/>
      <c r="B142" s="90" t="s">
        <v>2900</v>
      </c>
      <c r="C142" s="90">
        <f t="shared" si="30"/>
        <v>141</v>
      </c>
      <c r="D142" s="92" t="str">
        <f t="shared" si="1"/>
        <v>PP25-141</v>
      </c>
      <c r="E142" s="92">
        <v>45783.0</v>
      </c>
      <c r="F142" s="93"/>
      <c r="G142" s="110" t="s">
        <v>3010</v>
      </c>
      <c r="H142" s="94"/>
      <c r="I142" s="94"/>
      <c r="J142" s="95" t="s">
        <v>1153</v>
      </c>
      <c r="K142" s="96">
        <v>8616910.0</v>
      </c>
      <c r="L142" s="97">
        <f t="shared" ref="L142:L143" si="45">K142*7.5%</f>
        <v>646268.25</v>
      </c>
      <c r="M142" s="97">
        <f t="shared" ref="M142:M233" si="46">K142+L142</f>
        <v>9263178.25</v>
      </c>
      <c r="N142" s="98">
        <f t="shared" ref="N142:N147" si="47">M142*11%</f>
        <v>1018949.608</v>
      </c>
      <c r="O142" s="97">
        <f t="shared" ref="O142:O233" si="48">M142+N142</f>
        <v>10282127.86</v>
      </c>
      <c r="P142" s="99"/>
      <c r="Q142" s="90" t="s">
        <v>2903</v>
      </c>
      <c r="R142" s="100"/>
      <c r="S142" s="101" t="str">
        <f t="shared" si="7"/>
        <v>#REF!</v>
      </c>
      <c r="T142" s="102" t="str">
        <f t="shared" si="8"/>
        <v>PP25-141</v>
      </c>
      <c r="U142" s="95"/>
      <c r="V142" s="95"/>
      <c r="W142" s="103"/>
      <c r="X142" s="103"/>
      <c r="Y142" s="103"/>
      <c r="Z142" s="104"/>
    </row>
    <row r="143" ht="49.5" customHeight="1">
      <c r="A143" s="90"/>
      <c r="B143" s="90" t="s">
        <v>2900</v>
      </c>
      <c r="C143" s="90">
        <f t="shared" si="30"/>
        <v>142</v>
      </c>
      <c r="D143" s="92" t="str">
        <f t="shared" si="1"/>
        <v>PP25-142</v>
      </c>
      <c r="E143" s="92">
        <v>45783.0</v>
      </c>
      <c r="F143" s="93"/>
      <c r="G143" s="110" t="s">
        <v>3010</v>
      </c>
      <c r="H143" s="94"/>
      <c r="I143" s="94"/>
      <c r="J143" s="95" t="s">
        <v>1155</v>
      </c>
      <c r="K143" s="96">
        <v>8170416.0</v>
      </c>
      <c r="L143" s="97">
        <f t="shared" si="45"/>
        <v>612781.2</v>
      </c>
      <c r="M143" s="97">
        <f t="shared" si="46"/>
        <v>8783197.2</v>
      </c>
      <c r="N143" s="98">
        <f t="shared" si="47"/>
        <v>966151.692</v>
      </c>
      <c r="O143" s="97">
        <f t="shared" si="48"/>
        <v>9749348.892</v>
      </c>
      <c r="P143" s="99"/>
      <c r="Q143" s="90" t="s">
        <v>2903</v>
      </c>
      <c r="R143" s="100"/>
      <c r="S143" s="101" t="str">
        <f t="shared" si="7"/>
        <v>#REF!</v>
      </c>
      <c r="T143" s="102" t="str">
        <f t="shared" si="8"/>
        <v>PP25-142</v>
      </c>
      <c r="U143" s="95"/>
      <c r="V143" s="95"/>
      <c r="W143" s="103"/>
      <c r="X143" s="103"/>
      <c r="Y143" s="103"/>
      <c r="Z143" s="104"/>
    </row>
    <row r="144" ht="49.5" customHeight="1">
      <c r="A144" s="90"/>
      <c r="B144" s="90" t="s">
        <v>2900</v>
      </c>
      <c r="C144" s="90">
        <f t="shared" si="30"/>
        <v>143</v>
      </c>
      <c r="D144" s="92" t="str">
        <f t="shared" si="1"/>
        <v>PP25-143</v>
      </c>
      <c r="E144" s="92">
        <v>45783.0</v>
      </c>
      <c r="F144" s="93"/>
      <c r="G144" s="110" t="s">
        <v>3010</v>
      </c>
      <c r="H144" s="94"/>
      <c r="I144" s="94"/>
      <c r="J144" s="95" t="s">
        <v>1165</v>
      </c>
      <c r="K144" s="96">
        <v>2.2996294E7</v>
      </c>
      <c r="L144" s="97">
        <f>K144*5.6%</f>
        <v>1287792.464</v>
      </c>
      <c r="M144" s="97">
        <f t="shared" si="46"/>
        <v>24284086.46</v>
      </c>
      <c r="N144" s="98">
        <f t="shared" si="47"/>
        <v>2671249.511</v>
      </c>
      <c r="O144" s="97">
        <f t="shared" si="48"/>
        <v>26955335.98</v>
      </c>
      <c r="P144" s="99"/>
      <c r="Q144" s="90" t="s">
        <v>2903</v>
      </c>
      <c r="R144" s="100"/>
      <c r="S144" s="101" t="str">
        <f t="shared" si="7"/>
        <v>#REF!</v>
      </c>
      <c r="T144" s="102" t="str">
        <f t="shared" si="8"/>
        <v>PP25-143</v>
      </c>
      <c r="U144" s="95"/>
      <c r="V144" s="95"/>
      <c r="W144" s="103"/>
      <c r="X144" s="103"/>
      <c r="Y144" s="103"/>
      <c r="Z144" s="104"/>
    </row>
    <row r="145" ht="49.5" customHeight="1">
      <c r="A145" s="90"/>
      <c r="B145" s="90" t="s">
        <v>2900</v>
      </c>
      <c r="C145" s="90">
        <f t="shared" si="30"/>
        <v>144</v>
      </c>
      <c r="D145" s="92" t="str">
        <f t="shared" si="1"/>
        <v>PP25-144</v>
      </c>
      <c r="E145" s="92">
        <v>45793.0</v>
      </c>
      <c r="F145" s="93"/>
      <c r="G145" s="110" t="s">
        <v>3010</v>
      </c>
      <c r="H145" s="94"/>
      <c r="I145" s="94"/>
      <c r="J145" s="95" t="s">
        <v>547</v>
      </c>
      <c r="K145" s="96">
        <v>1.783751E7</v>
      </c>
      <c r="L145" s="97">
        <f t="shared" ref="L145:L146" si="49">K145*5.3%</f>
        <v>945388.03</v>
      </c>
      <c r="M145" s="97">
        <f t="shared" si="46"/>
        <v>18782898.03</v>
      </c>
      <c r="N145" s="98">
        <f t="shared" si="47"/>
        <v>2066118.783</v>
      </c>
      <c r="O145" s="97">
        <f t="shared" si="48"/>
        <v>20849016.81</v>
      </c>
      <c r="P145" s="99"/>
      <c r="Q145" s="90" t="s">
        <v>2949</v>
      </c>
      <c r="R145" s="100"/>
      <c r="S145" s="101" t="str">
        <f t="shared" si="7"/>
        <v>#REF!</v>
      </c>
      <c r="T145" s="102" t="str">
        <f t="shared" si="8"/>
        <v>PP25-144</v>
      </c>
      <c r="U145" s="95"/>
      <c r="V145" s="95"/>
      <c r="W145" s="103"/>
      <c r="X145" s="103"/>
      <c r="Y145" s="103"/>
      <c r="Z145" s="104"/>
    </row>
    <row r="146" ht="49.5" customHeight="1">
      <c r="A146" s="90"/>
      <c r="B146" s="90" t="s">
        <v>2900</v>
      </c>
      <c r="C146" s="90">
        <f t="shared" si="30"/>
        <v>145</v>
      </c>
      <c r="D146" s="92" t="str">
        <f t="shared" si="1"/>
        <v>PP25-145</v>
      </c>
      <c r="E146" s="92">
        <v>45793.0</v>
      </c>
      <c r="F146" s="110"/>
      <c r="G146" s="110" t="s">
        <v>3010</v>
      </c>
      <c r="H146" s="94"/>
      <c r="I146" s="94"/>
      <c r="J146" s="95" t="s">
        <v>549</v>
      </c>
      <c r="K146" s="96">
        <v>1.726964E7</v>
      </c>
      <c r="L146" s="97">
        <f t="shared" si="49"/>
        <v>915290.92</v>
      </c>
      <c r="M146" s="97">
        <f t="shared" si="46"/>
        <v>18184930.92</v>
      </c>
      <c r="N146" s="98">
        <f t="shared" si="47"/>
        <v>2000342.401</v>
      </c>
      <c r="O146" s="97">
        <f t="shared" si="48"/>
        <v>20185273.32</v>
      </c>
      <c r="P146" s="99"/>
      <c r="Q146" s="90" t="s">
        <v>2949</v>
      </c>
      <c r="R146" s="100"/>
      <c r="S146" s="101" t="str">
        <f t="shared" si="7"/>
        <v>#REF!</v>
      </c>
      <c r="T146" s="102" t="str">
        <f t="shared" si="8"/>
        <v>PP25-145</v>
      </c>
      <c r="U146" s="95"/>
      <c r="V146" s="95"/>
      <c r="W146" s="103"/>
      <c r="X146" s="103"/>
      <c r="Y146" s="103"/>
      <c r="Z146" s="104"/>
    </row>
    <row r="147" ht="49.5" customHeight="1">
      <c r="A147" s="90"/>
      <c r="B147" s="90" t="s">
        <v>2900</v>
      </c>
      <c r="C147" s="90">
        <f t="shared" si="30"/>
        <v>146</v>
      </c>
      <c r="D147" s="92" t="str">
        <f t="shared" si="1"/>
        <v>PP25-146</v>
      </c>
      <c r="E147" s="92">
        <v>45793.0</v>
      </c>
      <c r="F147" s="110"/>
      <c r="G147" s="110" t="s">
        <v>3010</v>
      </c>
      <c r="H147" s="94"/>
      <c r="I147" s="94"/>
      <c r="J147" s="95" t="s">
        <v>552</v>
      </c>
      <c r="K147" s="96">
        <v>9327127.0</v>
      </c>
      <c r="L147" s="97">
        <f t="shared" ref="L147:L150" si="50">K147*10%</f>
        <v>932712.7</v>
      </c>
      <c r="M147" s="97">
        <f t="shared" si="46"/>
        <v>10259839.7</v>
      </c>
      <c r="N147" s="98">
        <f t="shared" si="47"/>
        <v>1128582.367</v>
      </c>
      <c r="O147" s="97">
        <f t="shared" si="48"/>
        <v>11388422.07</v>
      </c>
      <c r="P147" s="99"/>
      <c r="Q147" s="90" t="s">
        <v>2903</v>
      </c>
      <c r="R147" s="100"/>
      <c r="S147" s="101" t="str">
        <f t="shared" si="7"/>
        <v>#REF!</v>
      </c>
      <c r="T147" s="102" t="str">
        <f t="shared" si="8"/>
        <v>PP25-146</v>
      </c>
      <c r="U147" s="95"/>
      <c r="V147" s="95"/>
      <c r="W147" s="103"/>
      <c r="X147" s="103"/>
      <c r="Y147" s="103"/>
      <c r="Z147" s="104"/>
    </row>
    <row r="148" ht="49.5" customHeight="1">
      <c r="A148" s="90"/>
      <c r="B148" s="90" t="s">
        <v>2900</v>
      </c>
      <c r="C148" s="90">
        <f t="shared" si="30"/>
        <v>147</v>
      </c>
      <c r="D148" s="92" t="str">
        <f t="shared" si="1"/>
        <v>PP25-147</v>
      </c>
      <c r="E148" s="92">
        <v>45793.0</v>
      </c>
      <c r="F148" s="110"/>
      <c r="G148" s="110" t="s">
        <v>3010</v>
      </c>
      <c r="H148" s="94"/>
      <c r="I148" s="94"/>
      <c r="J148" s="95" t="s">
        <v>554</v>
      </c>
      <c r="K148" s="96">
        <v>7717878.0</v>
      </c>
      <c r="L148" s="97">
        <f t="shared" si="50"/>
        <v>771787.8</v>
      </c>
      <c r="M148" s="97">
        <f t="shared" si="46"/>
        <v>8489665.8</v>
      </c>
      <c r="N148" s="98">
        <v>0.0</v>
      </c>
      <c r="O148" s="97">
        <f t="shared" si="48"/>
        <v>8489665.8</v>
      </c>
      <c r="P148" s="99"/>
      <c r="Q148" s="90" t="s">
        <v>2903</v>
      </c>
      <c r="R148" s="100"/>
      <c r="S148" s="101" t="str">
        <f t="shared" si="7"/>
        <v>#REF!</v>
      </c>
      <c r="T148" s="102" t="str">
        <f t="shared" si="8"/>
        <v>PP25-147</v>
      </c>
      <c r="U148" s="95"/>
      <c r="V148" s="95"/>
      <c r="W148" s="103"/>
      <c r="X148" s="103"/>
      <c r="Y148" s="103"/>
      <c r="Z148" s="104"/>
    </row>
    <row r="149" ht="49.5" customHeight="1">
      <c r="A149" s="90"/>
      <c r="B149" s="90" t="s">
        <v>2900</v>
      </c>
      <c r="C149" s="90">
        <f t="shared" si="30"/>
        <v>148</v>
      </c>
      <c r="D149" s="92" t="str">
        <f t="shared" si="1"/>
        <v>PP25-148</v>
      </c>
      <c r="E149" s="92">
        <v>45793.0</v>
      </c>
      <c r="F149" s="110"/>
      <c r="G149" s="110" t="s">
        <v>3010</v>
      </c>
      <c r="H149" s="94"/>
      <c r="I149" s="94"/>
      <c r="J149" s="95" t="s">
        <v>556</v>
      </c>
      <c r="K149" s="96">
        <v>1.0134545E7</v>
      </c>
      <c r="L149" s="97">
        <f t="shared" si="50"/>
        <v>1013454.5</v>
      </c>
      <c r="M149" s="97">
        <f t="shared" si="46"/>
        <v>11147999.5</v>
      </c>
      <c r="N149" s="98">
        <v>0.0</v>
      </c>
      <c r="O149" s="97">
        <f t="shared" si="48"/>
        <v>11147999.5</v>
      </c>
      <c r="P149" s="99"/>
      <c r="Q149" s="90" t="s">
        <v>2903</v>
      </c>
      <c r="R149" s="100"/>
      <c r="S149" s="101" t="str">
        <f t="shared" si="7"/>
        <v>#REF!</v>
      </c>
      <c r="T149" s="102" t="str">
        <f t="shared" si="8"/>
        <v>PP25-148</v>
      </c>
      <c r="U149" s="95"/>
      <c r="V149" s="95"/>
      <c r="W149" s="103"/>
      <c r="X149" s="103"/>
      <c r="Y149" s="103"/>
      <c r="Z149" s="104"/>
    </row>
    <row r="150" ht="49.5" customHeight="1">
      <c r="A150" s="90"/>
      <c r="B150" s="90" t="s">
        <v>2900</v>
      </c>
      <c r="C150" s="90">
        <f t="shared" si="30"/>
        <v>149</v>
      </c>
      <c r="D150" s="92" t="str">
        <f t="shared" si="1"/>
        <v>PP25-149</v>
      </c>
      <c r="E150" s="92">
        <v>45793.0</v>
      </c>
      <c r="F150" s="110"/>
      <c r="G150" s="110" t="s">
        <v>3010</v>
      </c>
      <c r="H150" s="94"/>
      <c r="I150" s="94"/>
      <c r="J150" s="95" t="s">
        <v>558</v>
      </c>
      <c r="K150" s="96">
        <v>1.3699029E7</v>
      </c>
      <c r="L150" s="97">
        <f t="shared" si="50"/>
        <v>1369902.9</v>
      </c>
      <c r="M150" s="97">
        <f t="shared" si="46"/>
        <v>15068931.9</v>
      </c>
      <c r="N150" s="98">
        <v>0.0</v>
      </c>
      <c r="O150" s="97">
        <f t="shared" si="48"/>
        <v>15068931.9</v>
      </c>
      <c r="P150" s="99"/>
      <c r="Q150" s="90" t="s">
        <v>2903</v>
      </c>
      <c r="R150" s="100"/>
      <c r="S150" s="101" t="str">
        <f t="shared" si="7"/>
        <v>#REF!</v>
      </c>
      <c r="T150" s="102" t="str">
        <f t="shared" si="8"/>
        <v>PP25-149</v>
      </c>
      <c r="U150" s="95"/>
      <c r="V150" s="95"/>
      <c r="W150" s="103"/>
      <c r="X150" s="103"/>
      <c r="Y150" s="103"/>
      <c r="Z150" s="103"/>
    </row>
    <row r="151" ht="49.5" customHeight="1">
      <c r="A151" s="90"/>
      <c r="B151" s="90" t="s">
        <v>2900</v>
      </c>
      <c r="C151" s="90">
        <f t="shared" si="30"/>
        <v>150</v>
      </c>
      <c r="D151" s="92" t="str">
        <f t="shared" si="1"/>
        <v>PP25-150</v>
      </c>
      <c r="E151" s="92">
        <v>45796.0</v>
      </c>
      <c r="F151" s="110"/>
      <c r="G151" s="110" t="s">
        <v>3010</v>
      </c>
      <c r="H151" s="94"/>
      <c r="I151" s="94"/>
      <c r="J151" s="95" t="s">
        <v>560</v>
      </c>
      <c r="K151" s="96">
        <v>1.6490203E7</v>
      </c>
      <c r="L151" s="97">
        <f t="shared" ref="L151:L155" si="51">K151*5.3%</f>
        <v>873980.759</v>
      </c>
      <c r="M151" s="97">
        <f t="shared" si="46"/>
        <v>17364183.76</v>
      </c>
      <c r="N151" s="98">
        <f t="shared" ref="N151:N152" si="52">M151*11%</f>
        <v>1910060.213</v>
      </c>
      <c r="O151" s="97">
        <f t="shared" si="48"/>
        <v>19274243.97</v>
      </c>
      <c r="P151" s="99"/>
      <c r="Q151" s="90" t="s">
        <v>2949</v>
      </c>
      <c r="R151" s="100"/>
      <c r="S151" s="101" t="str">
        <f t="shared" si="7"/>
        <v>#REF!</v>
      </c>
      <c r="T151" s="102" t="str">
        <f t="shared" si="8"/>
        <v>PP25-150</v>
      </c>
      <c r="U151" s="95"/>
      <c r="V151" s="95"/>
      <c r="W151" s="103"/>
      <c r="X151" s="103"/>
      <c r="Y151" s="103"/>
      <c r="Z151" s="104"/>
    </row>
    <row r="152" ht="49.5" customHeight="1">
      <c r="A152" s="90"/>
      <c r="B152" s="90" t="s">
        <v>2900</v>
      </c>
      <c r="C152" s="90">
        <f t="shared" si="30"/>
        <v>151</v>
      </c>
      <c r="D152" s="92" t="str">
        <f t="shared" si="1"/>
        <v>PP25-151</v>
      </c>
      <c r="E152" s="92">
        <v>45796.0</v>
      </c>
      <c r="F152" s="110"/>
      <c r="G152" s="110" t="s">
        <v>3010</v>
      </c>
      <c r="H152" s="94"/>
      <c r="I152" s="94"/>
      <c r="J152" s="95" t="s">
        <v>562</v>
      </c>
      <c r="K152" s="96">
        <v>1.0308346E7</v>
      </c>
      <c r="L152" s="97">
        <f t="shared" si="51"/>
        <v>546342.338</v>
      </c>
      <c r="M152" s="97">
        <f t="shared" si="46"/>
        <v>10854688.34</v>
      </c>
      <c r="N152" s="98">
        <f t="shared" si="52"/>
        <v>1194015.717</v>
      </c>
      <c r="O152" s="97">
        <f t="shared" si="48"/>
        <v>12048704.06</v>
      </c>
      <c r="P152" s="99"/>
      <c r="Q152" s="90" t="s">
        <v>2949</v>
      </c>
      <c r="R152" s="100"/>
      <c r="S152" s="101" t="str">
        <f t="shared" si="7"/>
        <v>#REF!</v>
      </c>
      <c r="T152" s="102" t="str">
        <f t="shared" si="8"/>
        <v>PP25-151</v>
      </c>
      <c r="U152" s="95"/>
      <c r="V152" s="95"/>
      <c r="W152" s="103"/>
      <c r="X152" s="103"/>
      <c r="Y152" s="103"/>
      <c r="Z152" s="104"/>
    </row>
    <row r="153" ht="49.5" customHeight="1">
      <c r="A153" s="90"/>
      <c r="B153" s="90" t="s">
        <v>2900</v>
      </c>
      <c r="C153" s="90">
        <f t="shared" si="30"/>
        <v>152</v>
      </c>
      <c r="D153" s="92" t="str">
        <f t="shared" si="1"/>
        <v>PP25-152</v>
      </c>
      <c r="E153" s="92">
        <v>45796.0</v>
      </c>
      <c r="F153" s="110"/>
      <c r="G153" s="110" t="s">
        <v>3010</v>
      </c>
      <c r="H153" s="94"/>
      <c r="I153" s="94"/>
      <c r="J153" s="95" t="s">
        <v>564</v>
      </c>
      <c r="K153" s="96">
        <v>4580000.0</v>
      </c>
      <c r="L153" s="97">
        <f t="shared" si="51"/>
        <v>242740</v>
      </c>
      <c r="M153" s="97">
        <f t="shared" si="46"/>
        <v>4822740</v>
      </c>
      <c r="N153" s="98">
        <v>0.0</v>
      </c>
      <c r="O153" s="97">
        <f t="shared" si="48"/>
        <v>4822740</v>
      </c>
      <c r="P153" s="99"/>
      <c r="Q153" s="90" t="s">
        <v>2949</v>
      </c>
      <c r="R153" s="100"/>
      <c r="S153" s="101" t="str">
        <f t="shared" si="7"/>
        <v>#REF!</v>
      </c>
      <c r="T153" s="102" t="str">
        <f t="shared" si="8"/>
        <v>PP25-152</v>
      </c>
      <c r="U153" s="95"/>
      <c r="V153" s="95"/>
      <c r="W153" s="103"/>
      <c r="X153" s="103"/>
      <c r="Y153" s="103"/>
      <c r="Z153" s="104"/>
    </row>
    <row r="154" ht="49.5" customHeight="1">
      <c r="A154" s="90"/>
      <c r="B154" s="90" t="s">
        <v>2900</v>
      </c>
      <c r="C154" s="90">
        <f t="shared" si="30"/>
        <v>153</v>
      </c>
      <c r="D154" s="92" t="str">
        <f t="shared" si="1"/>
        <v>PP25-153</v>
      </c>
      <c r="E154" s="92">
        <v>45796.0</v>
      </c>
      <c r="F154" s="93"/>
      <c r="G154" s="110" t="s">
        <v>3010</v>
      </c>
      <c r="H154" s="94"/>
      <c r="I154" s="94"/>
      <c r="J154" s="95" t="s">
        <v>566</v>
      </c>
      <c r="K154" s="96">
        <v>6969627.0</v>
      </c>
      <c r="L154" s="97">
        <f t="shared" si="51"/>
        <v>369390.231</v>
      </c>
      <c r="M154" s="97">
        <f t="shared" si="46"/>
        <v>7339017.231</v>
      </c>
      <c r="N154" s="98">
        <f>M154*11%</f>
        <v>807291.8954</v>
      </c>
      <c r="O154" s="97">
        <f t="shared" si="48"/>
        <v>8146309.126</v>
      </c>
      <c r="P154" s="99"/>
      <c r="Q154" s="90" t="s">
        <v>2949</v>
      </c>
      <c r="R154" s="100"/>
      <c r="S154" s="101" t="str">
        <f t="shared" si="7"/>
        <v>#REF!</v>
      </c>
      <c r="T154" s="102" t="str">
        <f t="shared" si="8"/>
        <v>PP25-153</v>
      </c>
      <c r="U154" s="109"/>
      <c r="V154" s="95"/>
      <c r="W154" s="103"/>
      <c r="X154" s="103"/>
      <c r="Y154" s="103"/>
      <c r="Z154" s="104"/>
    </row>
    <row r="155" ht="49.5" customHeight="1">
      <c r="A155" s="90"/>
      <c r="B155" s="90" t="s">
        <v>2900</v>
      </c>
      <c r="C155" s="90">
        <f t="shared" si="30"/>
        <v>154</v>
      </c>
      <c r="D155" s="92" t="str">
        <f t="shared" si="1"/>
        <v>PP25-154</v>
      </c>
      <c r="E155" s="92">
        <v>45796.0</v>
      </c>
      <c r="F155" s="110"/>
      <c r="G155" s="110" t="s">
        <v>3010</v>
      </c>
      <c r="H155" s="94"/>
      <c r="I155" s="94"/>
      <c r="J155" s="95" t="s">
        <v>568</v>
      </c>
      <c r="K155" s="96">
        <v>1.0139636E7</v>
      </c>
      <c r="L155" s="97">
        <f t="shared" si="51"/>
        <v>537400.708</v>
      </c>
      <c r="M155" s="97">
        <f t="shared" si="46"/>
        <v>10677036.71</v>
      </c>
      <c r="N155" s="98">
        <f>L155*11%</f>
        <v>59114.07788</v>
      </c>
      <c r="O155" s="97">
        <f t="shared" si="48"/>
        <v>10736150.79</v>
      </c>
      <c r="P155" s="99"/>
      <c r="Q155" s="90" t="s">
        <v>2949</v>
      </c>
      <c r="R155" s="100"/>
      <c r="S155" s="101" t="str">
        <f t="shared" si="7"/>
        <v>#REF!</v>
      </c>
      <c r="T155" s="102" t="str">
        <f t="shared" si="8"/>
        <v>PP25-154</v>
      </c>
      <c r="U155" s="95"/>
      <c r="V155" s="95"/>
      <c r="W155" s="103"/>
      <c r="X155" s="103"/>
      <c r="Y155" s="103"/>
      <c r="Z155" s="104"/>
    </row>
    <row r="156" ht="49.5" customHeight="1">
      <c r="A156" s="90"/>
      <c r="B156" s="90" t="s">
        <v>2900</v>
      </c>
      <c r="C156" s="90">
        <f t="shared" si="30"/>
        <v>155</v>
      </c>
      <c r="D156" s="92" t="str">
        <f t="shared" si="1"/>
        <v>PP25-155</v>
      </c>
      <c r="E156" s="92">
        <v>45796.0</v>
      </c>
      <c r="F156" s="110"/>
      <c r="G156" s="110" t="s">
        <v>570</v>
      </c>
      <c r="H156" s="94"/>
      <c r="I156" s="94"/>
      <c r="J156" s="95" t="s">
        <v>571</v>
      </c>
      <c r="K156" s="96">
        <v>2.174E7</v>
      </c>
      <c r="L156" s="97"/>
      <c r="M156" s="97">
        <f t="shared" si="46"/>
        <v>21740000</v>
      </c>
      <c r="N156" s="98">
        <f t="shared" ref="N156:N200" si="53">M156*11%</f>
        <v>2391400</v>
      </c>
      <c r="O156" s="97">
        <f t="shared" si="48"/>
        <v>24131400</v>
      </c>
      <c r="P156" s="99"/>
      <c r="Q156" s="90" t="s">
        <v>38</v>
      </c>
      <c r="R156" s="100"/>
      <c r="S156" s="101" t="str">
        <f t="shared" si="7"/>
        <v>#REF!</v>
      </c>
      <c r="T156" s="102" t="str">
        <f t="shared" si="8"/>
        <v>PP25-155</v>
      </c>
      <c r="U156" s="95"/>
      <c r="V156" s="95"/>
      <c r="W156" s="103"/>
      <c r="X156" s="103"/>
      <c r="Y156" s="103"/>
      <c r="Z156" s="104"/>
    </row>
    <row r="157" ht="49.5" customHeight="1">
      <c r="A157" s="90"/>
      <c r="B157" s="90" t="s">
        <v>2900</v>
      </c>
      <c r="C157" s="90">
        <f t="shared" si="30"/>
        <v>156</v>
      </c>
      <c r="D157" s="92" t="str">
        <f t="shared" si="1"/>
        <v>PP25-156</v>
      </c>
      <c r="E157" s="92">
        <v>45800.0</v>
      </c>
      <c r="F157" s="110"/>
      <c r="G157" s="110" t="s">
        <v>3010</v>
      </c>
      <c r="H157" s="94"/>
      <c r="I157" s="94"/>
      <c r="J157" s="95" t="s">
        <v>573</v>
      </c>
      <c r="K157" s="96">
        <v>5.2480776E7</v>
      </c>
      <c r="L157" s="97">
        <f t="shared" ref="L157:L164" si="54">K157*5.3%</f>
        <v>2781481.128</v>
      </c>
      <c r="M157" s="97">
        <f t="shared" si="46"/>
        <v>55262257.13</v>
      </c>
      <c r="N157" s="98">
        <f t="shared" si="53"/>
        <v>6078848.284</v>
      </c>
      <c r="O157" s="97">
        <f t="shared" si="48"/>
        <v>61341105.41</v>
      </c>
      <c r="P157" s="99"/>
      <c r="Q157" s="90" t="s">
        <v>3002</v>
      </c>
      <c r="R157" s="100"/>
      <c r="S157" s="101" t="str">
        <f t="shared" si="7"/>
        <v>#REF!</v>
      </c>
      <c r="T157" s="102" t="str">
        <f t="shared" si="8"/>
        <v>PP25-156</v>
      </c>
      <c r="U157" s="95"/>
      <c r="V157" s="95"/>
      <c r="W157" s="103"/>
      <c r="X157" s="103"/>
      <c r="Y157" s="103"/>
      <c r="Z157" s="104"/>
    </row>
    <row r="158" ht="49.5" customHeight="1">
      <c r="A158" s="90"/>
      <c r="B158" s="90" t="s">
        <v>2900</v>
      </c>
      <c r="C158" s="90">
        <f t="shared" si="30"/>
        <v>157</v>
      </c>
      <c r="D158" s="92" t="str">
        <f t="shared" si="1"/>
        <v>PP25-157</v>
      </c>
      <c r="E158" s="92">
        <v>45800.0</v>
      </c>
      <c r="F158" s="110"/>
      <c r="G158" s="110" t="s">
        <v>3010</v>
      </c>
      <c r="H158" s="94"/>
      <c r="I158" s="94"/>
      <c r="J158" s="95" t="s">
        <v>575</v>
      </c>
      <c r="K158" s="96">
        <v>1.17942236E8</v>
      </c>
      <c r="L158" s="97">
        <f t="shared" si="54"/>
        <v>6250938.508</v>
      </c>
      <c r="M158" s="97">
        <f t="shared" si="46"/>
        <v>124193174.5</v>
      </c>
      <c r="N158" s="98">
        <f t="shared" si="53"/>
        <v>13661249.2</v>
      </c>
      <c r="O158" s="97">
        <f t="shared" si="48"/>
        <v>137854423.7</v>
      </c>
      <c r="P158" s="99"/>
      <c r="Q158" s="90" t="s">
        <v>3002</v>
      </c>
      <c r="R158" s="100"/>
      <c r="S158" s="101" t="str">
        <f t="shared" si="7"/>
        <v>#REF!</v>
      </c>
      <c r="T158" s="102" t="str">
        <f t="shared" si="8"/>
        <v>PP25-157</v>
      </c>
      <c r="U158" s="95"/>
      <c r="V158" s="95"/>
      <c r="W158" s="103"/>
      <c r="X158" s="103"/>
      <c r="Y158" s="103"/>
      <c r="Z158" s="104"/>
    </row>
    <row r="159" ht="49.5" customHeight="1">
      <c r="A159" s="90"/>
      <c r="B159" s="90" t="s">
        <v>2900</v>
      </c>
      <c r="C159" s="90">
        <f t="shared" si="30"/>
        <v>158</v>
      </c>
      <c r="D159" s="92" t="str">
        <f t="shared" si="1"/>
        <v>PP25-158</v>
      </c>
      <c r="E159" s="92">
        <v>45800.0</v>
      </c>
      <c r="F159" s="110"/>
      <c r="G159" s="110" t="s">
        <v>3010</v>
      </c>
      <c r="H159" s="94"/>
      <c r="I159" s="94"/>
      <c r="J159" s="95" t="s">
        <v>577</v>
      </c>
      <c r="K159" s="96">
        <v>5.1918197E7</v>
      </c>
      <c r="L159" s="97">
        <f t="shared" si="54"/>
        <v>2751664.441</v>
      </c>
      <c r="M159" s="97">
        <f t="shared" si="46"/>
        <v>54669861.44</v>
      </c>
      <c r="N159" s="98">
        <f t="shared" si="53"/>
        <v>6013684.759</v>
      </c>
      <c r="O159" s="97">
        <f t="shared" si="48"/>
        <v>60683546.2</v>
      </c>
      <c r="P159" s="99"/>
      <c r="Q159" s="90" t="s">
        <v>3002</v>
      </c>
      <c r="R159" s="100"/>
      <c r="S159" s="101" t="str">
        <f t="shared" si="7"/>
        <v>#REF!</v>
      </c>
      <c r="T159" s="102" t="str">
        <f t="shared" si="8"/>
        <v>PP25-158</v>
      </c>
      <c r="U159" s="95"/>
      <c r="V159" s="95"/>
      <c r="W159" s="103"/>
      <c r="X159" s="103"/>
      <c r="Y159" s="103"/>
      <c r="Z159" s="104"/>
    </row>
    <row r="160" ht="49.5" customHeight="1">
      <c r="A160" s="90"/>
      <c r="B160" s="90" t="s">
        <v>2900</v>
      </c>
      <c r="C160" s="90">
        <f t="shared" si="30"/>
        <v>159</v>
      </c>
      <c r="D160" s="92" t="str">
        <f t="shared" si="1"/>
        <v>PP25-159</v>
      </c>
      <c r="E160" s="92">
        <v>45800.0</v>
      </c>
      <c r="F160" s="110"/>
      <c r="G160" s="110" t="s">
        <v>3010</v>
      </c>
      <c r="H160" s="94"/>
      <c r="I160" s="94"/>
      <c r="J160" s="95" t="s">
        <v>579</v>
      </c>
      <c r="K160" s="96">
        <v>1.23816242E8</v>
      </c>
      <c r="L160" s="97">
        <f t="shared" si="54"/>
        <v>6562260.826</v>
      </c>
      <c r="M160" s="97">
        <f t="shared" si="46"/>
        <v>130378502.8</v>
      </c>
      <c r="N160" s="98">
        <f t="shared" si="53"/>
        <v>14341635.31</v>
      </c>
      <c r="O160" s="97">
        <f t="shared" si="48"/>
        <v>144720138.1</v>
      </c>
      <c r="P160" s="99"/>
      <c r="Q160" s="90" t="s">
        <v>3002</v>
      </c>
      <c r="R160" s="100"/>
      <c r="S160" s="101" t="str">
        <f t="shared" si="7"/>
        <v>#REF!</v>
      </c>
      <c r="T160" s="102" t="str">
        <f t="shared" si="8"/>
        <v>PP25-159</v>
      </c>
      <c r="U160" s="95"/>
      <c r="V160" s="95"/>
      <c r="W160" s="103"/>
      <c r="X160" s="103"/>
      <c r="Y160" s="103"/>
      <c r="Z160" s="104"/>
    </row>
    <row r="161" ht="49.5" customHeight="1">
      <c r="A161" s="90"/>
      <c r="B161" s="90" t="s">
        <v>2900</v>
      </c>
      <c r="C161" s="90">
        <f t="shared" si="30"/>
        <v>160</v>
      </c>
      <c r="D161" s="92" t="str">
        <f t="shared" si="1"/>
        <v>PP25-160</v>
      </c>
      <c r="E161" s="92">
        <v>45801.0</v>
      </c>
      <c r="F161" s="93"/>
      <c r="G161" s="110" t="s">
        <v>3010</v>
      </c>
      <c r="H161" s="94"/>
      <c r="I161" s="94"/>
      <c r="J161" s="95" t="s">
        <v>581</v>
      </c>
      <c r="K161" s="96">
        <v>3.39477992E8</v>
      </c>
      <c r="L161" s="97">
        <f t="shared" si="54"/>
        <v>17992333.58</v>
      </c>
      <c r="M161" s="97">
        <f t="shared" si="46"/>
        <v>357470325.6</v>
      </c>
      <c r="N161" s="98">
        <f t="shared" si="53"/>
        <v>39321735.81</v>
      </c>
      <c r="O161" s="97">
        <f t="shared" si="48"/>
        <v>396792061.4</v>
      </c>
      <c r="P161" s="99"/>
      <c r="Q161" s="90" t="s">
        <v>3002</v>
      </c>
      <c r="R161" s="100"/>
      <c r="S161" s="101" t="str">
        <f t="shared" si="7"/>
        <v>#REF!</v>
      </c>
      <c r="T161" s="102" t="str">
        <f t="shared" si="8"/>
        <v>PP25-160</v>
      </c>
      <c r="U161" s="95"/>
      <c r="V161" s="95"/>
      <c r="W161" s="103"/>
      <c r="X161" s="103"/>
      <c r="Y161" s="103"/>
      <c r="Z161" s="104"/>
    </row>
    <row r="162" ht="49.5" customHeight="1">
      <c r="A162" s="90"/>
      <c r="B162" s="90" t="s">
        <v>2900</v>
      </c>
      <c r="C162" s="90">
        <f t="shared" si="30"/>
        <v>161</v>
      </c>
      <c r="D162" s="92" t="str">
        <f t="shared" si="1"/>
        <v>PP25-161</v>
      </c>
      <c r="E162" s="92">
        <v>45801.0</v>
      </c>
      <c r="F162" s="93"/>
      <c r="G162" s="110" t="s">
        <v>3010</v>
      </c>
      <c r="H162" s="94"/>
      <c r="I162" s="94"/>
      <c r="J162" s="95" t="s">
        <v>583</v>
      </c>
      <c r="K162" s="96">
        <v>2.70143E8</v>
      </c>
      <c r="L162" s="97">
        <f t="shared" si="54"/>
        <v>14317579</v>
      </c>
      <c r="M162" s="97">
        <f t="shared" si="46"/>
        <v>284460579</v>
      </c>
      <c r="N162" s="98">
        <f t="shared" si="53"/>
        <v>31290663.69</v>
      </c>
      <c r="O162" s="97">
        <f t="shared" si="48"/>
        <v>315751242.7</v>
      </c>
      <c r="P162" s="99"/>
      <c r="Q162" s="90" t="s">
        <v>3002</v>
      </c>
      <c r="R162" s="100"/>
      <c r="S162" s="101" t="str">
        <f t="shared" si="7"/>
        <v>#REF!</v>
      </c>
      <c r="T162" s="102" t="str">
        <f t="shared" si="8"/>
        <v>PP25-161</v>
      </c>
      <c r="U162" s="95"/>
      <c r="V162" s="95"/>
      <c r="W162" s="103"/>
      <c r="X162" s="103"/>
      <c r="Y162" s="103"/>
      <c r="Z162" s="104"/>
    </row>
    <row r="163" ht="49.5" customHeight="1">
      <c r="A163" s="90"/>
      <c r="B163" s="90" t="s">
        <v>2900</v>
      </c>
      <c r="C163" s="90">
        <f t="shared" si="30"/>
        <v>162</v>
      </c>
      <c r="D163" s="92" t="str">
        <f t="shared" si="1"/>
        <v>PP25-162</v>
      </c>
      <c r="E163" s="92">
        <v>45801.0</v>
      </c>
      <c r="F163" s="110"/>
      <c r="G163" s="110" t="s">
        <v>3010</v>
      </c>
      <c r="H163" s="94"/>
      <c r="I163" s="94"/>
      <c r="J163" s="95" t="s">
        <v>585</v>
      </c>
      <c r="K163" s="96">
        <v>3.48041001E8</v>
      </c>
      <c r="L163" s="97">
        <f t="shared" si="54"/>
        <v>18446173.05</v>
      </c>
      <c r="M163" s="97">
        <f t="shared" si="46"/>
        <v>366487174.1</v>
      </c>
      <c r="N163" s="98">
        <f t="shared" si="53"/>
        <v>40313589.15</v>
      </c>
      <c r="O163" s="97">
        <f t="shared" si="48"/>
        <v>406800763.2</v>
      </c>
      <c r="P163" s="99"/>
      <c r="Q163" s="90" t="s">
        <v>3002</v>
      </c>
      <c r="R163" s="100"/>
      <c r="S163" s="101" t="str">
        <f t="shared" si="7"/>
        <v>#REF!</v>
      </c>
      <c r="T163" s="102" t="str">
        <f t="shared" si="8"/>
        <v>PP25-162</v>
      </c>
      <c r="U163" s="95"/>
      <c r="V163" s="95"/>
      <c r="W163" s="103"/>
      <c r="X163" s="103"/>
      <c r="Y163" s="103"/>
      <c r="Z163" s="104"/>
    </row>
    <row r="164" ht="49.5" customHeight="1">
      <c r="A164" s="90"/>
      <c r="B164" s="90" t="s">
        <v>2900</v>
      </c>
      <c r="C164" s="90">
        <f t="shared" si="30"/>
        <v>163</v>
      </c>
      <c r="D164" s="92" t="str">
        <f t="shared" si="1"/>
        <v>PP25-163</v>
      </c>
      <c r="E164" s="92">
        <v>45801.0</v>
      </c>
      <c r="F164" s="110"/>
      <c r="G164" s="110" t="s">
        <v>3010</v>
      </c>
      <c r="H164" s="94"/>
      <c r="I164" s="94"/>
      <c r="J164" s="95" t="s">
        <v>587</v>
      </c>
      <c r="K164" s="96">
        <v>3.34183877E8</v>
      </c>
      <c r="L164" s="97">
        <f t="shared" si="54"/>
        <v>17711745.48</v>
      </c>
      <c r="M164" s="97">
        <f t="shared" si="46"/>
        <v>351895622.5</v>
      </c>
      <c r="N164" s="98">
        <f t="shared" si="53"/>
        <v>38708518.47</v>
      </c>
      <c r="O164" s="97">
        <f t="shared" si="48"/>
        <v>390604141</v>
      </c>
      <c r="P164" s="99"/>
      <c r="Q164" s="90" t="s">
        <v>3002</v>
      </c>
      <c r="R164" s="100"/>
      <c r="S164" s="101" t="str">
        <f t="shared" si="7"/>
        <v>#REF!</v>
      </c>
      <c r="T164" s="102" t="str">
        <f t="shared" si="8"/>
        <v>PP25-163</v>
      </c>
      <c r="U164" s="95"/>
      <c r="V164" s="95"/>
      <c r="W164" s="103"/>
      <c r="X164" s="103"/>
      <c r="Y164" s="103"/>
      <c r="Z164" s="104"/>
    </row>
    <row r="165" ht="49.5" customHeight="1">
      <c r="A165" s="90"/>
      <c r="B165" s="90" t="s">
        <v>2900</v>
      </c>
      <c r="C165" s="90">
        <f t="shared" si="30"/>
        <v>164</v>
      </c>
      <c r="D165" s="92" t="str">
        <f t="shared" si="1"/>
        <v>PP25-164</v>
      </c>
      <c r="E165" s="92">
        <v>45804.0</v>
      </c>
      <c r="F165" s="110"/>
      <c r="G165" s="110" t="s">
        <v>3010</v>
      </c>
      <c r="H165" s="94"/>
      <c r="I165" s="94"/>
      <c r="J165" s="95" t="s">
        <v>1251</v>
      </c>
      <c r="K165" s="96">
        <v>3.49304265E8</v>
      </c>
      <c r="L165" s="97"/>
      <c r="M165" s="97">
        <f t="shared" si="46"/>
        <v>349304265</v>
      </c>
      <c r="N165" s="98">
        <f t="shared" si="53"/>
        <v>38423469.15</v>
      </c>
      <c r="O165" s="97">
        <f t="shared" si="48"/>
        <v>387727734.2</v>
      </c>
      <c r="P165" s="99"/>
      <c r="Q165" s="111" t="s">
        <v>2911</v>
      </c>
      <c r="R165" s="100"/>
      <c r="S165" s="101" t="str">
        <f t="shared" si="7"/>
        <v>#REF!</v>
      </c>
      <c r="T165" s="102" t="str">
        <f t="shared" si="8"/>
        <v>PP25-164</v>
      </c>
      <c r="U165" s="95"/>
      <c r="V165" s="95"/>
      <c r="W165" s="103"/>
      <c r="X165" s="103"/>
      <c r="Y165" s="103"/>
      <c r="Z165" s="104"/>
    </row>
    <row r="166" ht="49.5" customHeight="1">
      <c r="A166" s="90"/>
      <c r="B166" s="90" t="s">
        <v>2900</v>
      </c>
      <c r="C166" s="90">
        <f t="shared" si="30"/>
        <v>165</v>
      </c>
      <c r="D166" s="92" t="str">
        <f t="shared" si="1"/>
        <v>PP25-165</v>
      </c>
      <c r="E166" s="92">
        <v>45804.0</v>
      </c>
      <c r="F166" s="110"/>
      <c r="G166" s="110" t="s">
        <v>3010</v>
      </c>
      <c r="H166" s="93" t="s">
        <v>19</v>
      </c>
      <c r="I166" s="93" t="s">
        <v>2910</v>
      </c>
      <c r="J166" s="95" t="s">
        <v>1256</v>
      </c>
      <c r="K166" s="96">
        <v>1.769279E7</v>
      </c>
      <c r="L166" s="97">
        <f>K166*5.8%</f>
        <v>1026181.82</v>
      </c>
      <c r="M166" s="97">
        <f t="shared" si="46"/>
        <v>18718971.82</v>
      </c>
      <c r="N166" s="98">
        <f t="shared" si="53"/>
        <v>2059086.9</v>
      </c>
      <c r="O166" s="97">
        <f t="shared" si="48"/>
        <v>20778058.72</v>
      </c>
      <c r="P166" s="99"/>
      <c r="Q166" s="111" t="s">
        <v>2911</v>
      </c>
      <c r="R166" s="100"/>
      <c r="S166" s="101" t="str">
        <f t="shared" si="7"/>
        <v>#REF!</v>
      </c>
      <c r="T166" s="102" t="str">
        <f t="shared" si="8"/>
        <v>PP25-165</v>
      </c>
      <c r="U166" s="95"/>
      <c r="V166" s="95"/>
      <c r="W166" s="103"/>
      <c r="X166" s="103"/>
      <c r="Y166" s="103"/>
      <c r="Z166" s="104"/>
    </row>
    <row r="167" ht="49.5" customHeight="1">
      <c r="A167" s="90"/>
      <c r="B167" s="90" t="s">
        <v>2900</v>
      </c>
      <c r="C167" s="90">
        <f t="shared" si="30"/>
        <v>166</v>
      </c>
      <c r="D167" s="92" t="str">
        <f t="shared" si="1"/>
        <v>PP25-166</v>
      </c>
      <c r="E167" s="92">
        <v>45804.0</v>
      </c>
      <c r="F167" s="110"/>
      <c r="G167" s="110" t="s">
        <v>3010</v>
      </c>
      <c r="H167" s="93" t="s">
        <v>19</v>
      </c>
      <c r="I167" s="93" t="s">
        <v>2910</v>
      </c>
      <c r="J167" s="95" t="s">
        <v>1262</v>
      </c>
      <c r="K167" s="96">
        <v>8.4661625E7</v>
      </c>
      <c r="L167" s="97"/>
      <c r="M167" s="97">
        <f t="shared" si="46"/>
        <v>84661625</v>
      </c>
      <c r="N167" s="98">
        <f t="shared" si="53"/>
        <v>9312778.75</v>
      </c>
      <c r="O167" s="97">
        <f t="shared" si="48"/>
        <v>93974403.75</v>
      </c>
      <c r="P167" s="99"/>
      <c r="Q167" s="111" t="s">
        <v>2911</v>
      </c>
      <c r="R167" s="100"/>
      <c r="S167" s="101" t="str">
        <f t="shared" si="7"/>
        <v>#REF!</v>
      </c>
      <c r="T167" s="102" t="str">
        <f t="shared" si="8"/>
        <v>PP25-166</v>
      </c>
      <c r="U167" s="95"/>
      <c r="V167" s="95"/>
      <c r="W167" s="103"/>
      <c r="X167" s="103"/>
      <c r="Y167" s="103"/>
      <c r="Z167" s="104"/>
    </row>
    <row r="168" ht="49.5" customHeight="1">
      <c r="A168" s="90"/>
      <c r="B168" s="90" t="s">
        <v>2900</v>
      </c>
      <c r="C168" s="90">
        <f t="shared" si="30"/>
        <v>167</v>
      </c>
      <c r="D168" s="92" t="str">
        <f t="shared" si="1"/>
        <v>PP25-167</v>
      </c>
      <c r="E168" s="92">
        <v>45804.0</v>
      </c>
      <c r="F168" s="110"/>
      <c r="G168" s="110" t="s">
        <v>3010</v>
      </c>
      <c r="H168" s="93" t="s">
        <v>19</v>
      </c>
      <c r="I168" s="93" t="s">
        <v>2910</v>
      </c>
      <c r="J168" s="95" t="s">
        <v>1267</v>
      </c>
      <c r="K168" s="96">
        <v>5.0605189E7</v>
      </c>
      <c r="L168" s="97"/>
      <c r="M168" s="97">
        <f t="shared" si="46"/>
        <v>50605189</v>
      </c>
      <c r="N168" s="98">
        <f t="shared" si="53"/>
        <v>5566570.79</v>
      </c>
      <c r="O168" s="97">
        <f t="shared" si="48"/>
        <v>56171759.79</v>
      </c>
      <c r="P168" s="99"/>
      <c r="Q168" s="111" t="s">
        <v>2911</v>
      </c>
      <c r="R168" s="100"/>
      <c r="S168" s="101" t="str">
        <f t="shared" si="7"/>
        <v>#REF!</v>
      </c>
      <c r="T168" s="102" t="str">
        <f t="shared" si="8"/>
        <v>PP25-167</v>
      </c>
      <c r="U168" s="95"/>
      <c r="V168" s="95"/>
      <c r="W168" s="103"/>
      <c r="X168" s="103"/>
      <c r="Y168" s="103"/>
      <c r="Z168" s="104"/>
    </row>
    <row r="169" ht="49.5" customHeight="1">
      <c r="A169" s="90"/>
      <c r="B169" s="90" t="s">
        <v>2900</v>
      </c>
      <c r="C169" s="90">
        <f t="shared" si="30"/>
        <v>168</v>
      </c>
      <c r="D169" s="92" t="str">
        <f t="shared" si="1"/>
        <v>PP25-168</v>
      </c>
      <c r="E169" s="92">
        <v>45804.0</v>
      </c>
      <c r="F169" s="110"/>
      <c r="G169" s="110" t="s">
        <v>3010</v>
      </c>
      <c r="H169" s="93" t="s">
        <v>19</v>
      </c>
      <c r="I169" s="93" t="s">
        <v>2910</v>
      </c>
      <c r="J169" s="95" t="s">
        <v>1272</v>
      </c>
      <c r="K169" s="96">
        <v>5.0262129E7</v>
      </c>
      <c r="L169" s="97"/>
      <c r="M169" s="97">
        <f t="shared" si="46"/>
        <v>50262129</v>
      </c>
      <c r="N169" s="98">
        <f t="shared" si="53"/>
        <v>5528834.19</v>
      </c>
      <c r="O169" s="97">
        <f t="shared" si="48"/>
        <v>55790963.19</v>
      </c>
      <c r="P169" s="99"/>
      <c r="Q169" s="111" t="s">
        <v>2911</v>
      </c>
      <c r="R169" s="100"/>
      <c r="S169" s="101" t="str">
        <f t="shared" si="7"/>
        <v>#REF!</v>
      </c>
      <c r="T169" s="102" t="str">
        <f t="shared" si="8"/>
        <v>PP25-168</v>
      </c>
      <c r="U169" s="95"/>
      <c r="V169" s="95"/>
      <c r="W169" s="103"/>
      <c r="X169" s="103"/>
      <c r="Y169" s="103"/>
      <c r="Z169" s="104"/>
    </row>
    <row r="170" ht="49.5" customHeight="1">
      <c r="A170" s="90"/>
      <c r="B170" s="90" t="s">
        <v>2900</v>
      </c>
      <c r="C170" s="90">
        <f t="shared" si="30"/>
        <v>169</v>
      </c>
      <c r="D170" s="92" t="str">
        <f t="shared" si="1"/>
        <v>PP25-169</v>
      </c>
      <c r="E170" s="92">
        <v>45804.0</v>
      </c>
      <c r="F170" s="110"/>
      <c r="G170" s="110" t="s">
        <v>3010</v>
      </c>
      <c r="H170" s="93" t="s">
        <v>19</v>
      </c>
      <c r="I170" s="93" t="s">
        <v>2910</v>
      </c>
      <c r="J170" s="95" t="s">
        <v>1277</v>
      </c>
      <c r="K170" s="96">
        <v>7255244.0</v>
      </c>
      <c r="L170" s="97">
        <f>K170*5.8%</f>
        <v>420804.152</v>
      </c>
      <c r="M170" s="97">
        <f t="shared" si="46"/>
        <v>7676048.152</v>
      </c>
      <c r="N170" s="98">
        <f t="shared" si="53"/>
        <v>844365.2967</v>
      </c>
      <c r="O170" s="97">
        <f t="shared" si="48"/>
        <v>8520413.449</v>
      </c>
      <c r="P170" s="99"/>
      <c r="Q170" s="111" t="s">
        <v>2911</v>
      </c>
      <c r="R170" s="100"/>
      <c r="S170" s="101" t="str">
        <f t="shared" si="7"/>
        <v>#REF!</v>
      </c>
      <c r="T170" s="102" t="str">
        <f t="shared" si="8"/>
        <v>PP25-169</v>
      </c>
      <c r="U170" s="95"/>
      <c r="V170" s="95"/>
      <c r="W170" s="103"/>
      <c r="X170" s="103"/>
      <c r="Y170" s="103"/>
      <c r="Z170" s="104"/>
    </row>
    <row r="171" ht="49.5" customHeight="1">
      <c r="A171" s="90"/>
      <c r="B171" s="90" t="s">
        <v>2900</v>
      </c>
      <c r="C171" s="90">
        <f t="shared" si="30"/>
        <v>170</v>
      </c>
      <c r="D171" s="92" t="str">
        <f t="shared" si="1"/>
        <v>PP25-170</v>
      </c>
      <c r="E171" s="92">
        <v>45805.0</v>
      </c>
      <c r="F171" s="93"/>
      <c r="G171" s="110" t="s">
        <v>3010</v>
      </c>
      <c r="H171" s="93" t="s">
        <v>19</v>
      </c>
      <c r="I171" s="93"/>
      <c r="J171" s="95" t="s">
        <v>614</v>
      </c>
      <c r="K171" s="96">
        <v>8.19941583E8</v>
      </c>
      <c r="L171" s="97">
        <f>K171*5.5%</f>
        <v>45096787.07</v>
      </c>
      <c r="M171" s="97">
        <f t="shared" si="46"/>
        <v>865038370.1</v>
      </c>
      <c r="N171" s="98">
        <f t="shared" si="53"/>
        <v>95154220.71</v>
      </c>
      <c r="O171" s="97">
        <f t="shared" si="48"/>
        <v>960192590.8</v>
      </c>
      <c r="P171" s="99"/>
      <c r="Q171" s="90" t="s">
        <v>2903</v>
      </c>
      <c r="R171" s="100"/>
      <c r="S171" s="101" t="str">
        <f t="shared" si="7"/>
        <v>#REF!</v>
      </c>
      <c r="T171" s="102" t="str">
        <f t="shared" si="8"/>
        <v>PP25-170</v>
      </c>
      <c r="U171" s="95"/>
      <c r="V171" s="95"/>
      <c r="W171" s="103"/>
      <c r="X171" s="103"/>
      <c r="Y171" s="103"/>
      <c r="Z171" s="104"/>
    </row>
    <row r="172" ht="49.5" customHeight="1">
      <c r="A172" s="90"/>
      <c r="B172" s="90" t="s">
        <v>2900</v>
      </c>
      <c r="C172" s="90">
        <f t="shared" si="30"/>
        <v>171</v>
      </c>
      <c r="D172" s="92" t="str">
        <f t="shared" si="1"/>
        <v>PP25-171</v>
      </c>
      <c r="E172" s="92">
        <v>45805.0</v>
      </c>
      <c r="F172" s="93"/>
      <c r="G172" s="110" t="s">
        <v>3010</v>
      </c>
      <c r="H172" s="93" t="s">
        <v>19</v>
      </c>
      <c r="I172" s="93" t="s">
        <v>2910</v>
      </c>
      <c r="J172" s="95" t="s">
        <v>1281</v>
      </c>
      <c r="K172" s="96">
        <v>9.5203042E7</v>
      </c>
      <c r="L172" s="97"/>
      <c r="M172" s="97">
        <f t="shared" si="46"/>
        <v>95203042</v>
      </c>
      <c r="N172" s="98">
        <f t="shared" si="53"/>
        <v>10472334.62</v>
      </c>
      <c r="O172" s="97">
        <f t="shared" si="48"/>
        <v>105675376.6</v>
      </c>
      <c r="P172" s="99"/>
      <c r="Q172" s="111" t="s">
        <v>2911</v>
      </c>
      <c r="R172" s="100"/>
      <c r="S172" s="101" t="str">
        <f t="shared" si="7"/>
        <v>#REF!</v>
      </c>
      <c r="T172" s="102" t="str">
        <f t="shared" si="8"/>
        <v>PP25-171</v>
      </c>
      <c r="U172" s="95"/>
      <c r="V172" s="95"/>
      <c r="W172" s="103"/>
      <c r="X172" s="103"/>
      <c r="Y172" s="103"/>
      <c r="Z172" s="104"/>
    </row>
    <row r="173" ht="49.5" customHeight="1">
      <c r="A173" s="90"/>
      <c r="B173" s="90" t="s">
        <v>2900</v>
      </c>
      <c r="C173" s="90">
        <f t="shared" si="30"/>
        <v>172</v>
      </c>
      <c r="D173" s="92" t="str">
        <f t="shared" si="1"/>
        <v>PP25-172</v>
      </c>
      <c r="E173" s="92">
        <v>45805.0</v>
      </c>
      <c r="F173" s="93"/>
      <c r="G173" s="110" t="s">
        <v>3010</v>
      </c>
      <c r="H173" s="93" t="s">
        <v>19</v>
      </c>
      <c r="I173" s="93" t="s">
        <v>2910</v>
      </c>
      <c r="J173" s="95" t="s">
        <v>1286</v>
      </c>
      <c r="K173" s="96">
        <v>4.0138754E7</v>
      </c>
      <c r="L173" s="97"/>
      <c r="M173" s="97">
        <f t="shared" si="46"/>
        <v>40138754</v>
      </c>
      <c r="N173" s="98">
        <f t="shared" si="53"/>
        <v>4415262.94</v>
      </c>
      <c r="O173" s="97">
        <f t="shared" si="48"/>
        <v>44554016.94</v>
      </c>
      <c r="P173" s="99"/>
      <c r="Q173" s="111" t="s">
        <v>2911</v>
      </c>
      <c r="R173" s="100"/>
      <c r="S173" s="101" t="str">
        <f t="shared" si="7"/>
        <v>#REF!</v>
      </c>
      <c r="T173" s="102" t="str">
        <f t="shared" si="8"/>
        <v>PP25-172</v>
      </c>
      <c r="U173" s="95"/>
      <c r="V173" s="95"/>
      <c r="W173" s="103"/>
      <c r="X173" s="103"/>
      <c r="Y173" s="103"/>
      <c r="Z173" s="104"/>
    </row>
    <row r="174" ht="49.5" customHeight="1">
      <c r="A174" s="90"/>
      <c r="B174" s="90" t="s">
        <v>2900</v>
      </c>
      <c r="C174" s="90">
        <f t="shared" si="30"/>
        <v>173</v>
      </c>
      <c r="D174" s="92" t="str">
        <f t="shared" si="1"/>
        <v>PP25-173</v>
      </c>
      <c r="E174" s="92">
        <v>45805.0</v>
      </c>
      <c r="F174" s="93"/>
      <c r="G174" s="110" t="s">
        <v>3010</v>
      </c>
      <c r="H174" s="93" t="s">
        <v>19</v>
      </c>
      <c r="I174" s="93" t="s">
        <v>2910</v>
      </c>
      <c r="J174" s="95" t="s">
        <v>1291</v>
      </c>
      <c r="K174" s="96">
        <v>3140496.0</v>
      </c>
      <c r="L174" s="97"/>
      <c r="M174" s="97">
        <f t="shared" si="46"/>
        <v>3140496</v>
      </c>
      <c r="N174" s="98">
        <f t="shared" si="53"/>
        <v>345454.56</v>
      </c>
      <c r="O174" s="97">
        <f t="shared" si="48"/>
        <v>3485950.56</v>
      </c>
      <c r="P174" s="99"/>
      <c r="Q174" s="111" t="s">
        <v>2911</v>
      </c>
      <c r="R174" s="100"/>
      <c r="S174" s="101" t="str">
        <f t="shared" si="7"/>
        <v>#REF!</v>
      </c>
      <c r="T174" s="102" t="str">
        <f t="shared" si="8"/>
        <v>PP25-173</v>
      </c>
      <c r="U174" s="95"/>
      <c r="V174" s="95"/>
      <c r="W174" s="103"/>
      <c r="X174" s="103"/>
      <c r="Y174" s="103"/>
      <c r="Z174" s="104"/>
    </row>
    <row r="175" ht="49.5" customHeight="1">
      <c r="A175" s="90"/>
      <c r="B175" s="90" t="s">
        <v>2900</v>
      </c>
      <c r="C175" s="90">
        <f t="shared" si="30"/>
        <v>174</v>
      </c>
      <c r="D175" s="92" t="str">
        <f t="shared" si="1"/>
        <v>PP25-174</v>
      </c>
      <c r="E175" s="92">
        <v>45805.0</v>
      </c>
      <c r="F175" s="93"/>
      <c r="G175" s="110" t="s">
        <v>3010</v>
      </c>
      <c r="H175" s="93" t="s">
        <v>19</v>
      </c>
      <c r="I175" s="93" t="s">
        <v>2910</v>
      </c>
      <c r="J175" s="95" t="s">
        <v>1295</v>
      </c>
      <c r="K175" s="96">
        <v>942318.0</v>
      </c>
      <c r="L175" s="97"/>
      <c r="M175" s="97">
        <f t="shared" si="46"/>
        <v>942318</v>
      </c>
      <c r="N175" s="98">
        <f t="shared" si="53"/>
        <v>103654.98</v>
      </c>
      <c r="O175" s="97">
        <f t="shared" si="48"/>
        <v>1045972.98</v>
      </c>
      <c r="P175" s="99"/>
      <c r="Q175" s="111" t="s">
        <v>2911</v>
      </c>
      <c r="R175" s="100"/>
      <c r="S175" s="101" t="str">
        <f t="shared" si="7"/>
        <v>#REF!</v>
      </c>
      <c r="T175" s="102" t="str">
        <f t="shared" si="8"/>
        <v>PP25-174</v>
      </c>
      <c r="U175" s="95"/>
      <c r="V175" s="95"/>
      <c r="W175" s="103"/>
      <c r="X175" s="103"/>
      <c r="Y175" s="103"/>
      <c r="Z175" s="104"/>
    </row>
    <row r="176" ht="49.5" customHeight="1">
      <c r="A176" s="90"/>
      <c r="B176" s="90" t="s">
        <v>2900</v>
      </c>
      <c r="C176" s="90">
        <f t="shared" si="30"/>
        <v>175</v>
      </c>
      <c r="D176" s="92" t="str">
        <f t="shared" si="1"/>
        <v>PP25-175</v>
      </c>
      <c r="E176" s="92">
        <v>45805.0</v>
      </c>
      <c r="F176" s="93"/>
      <c r="G176" s="110" t="s">
        <v>3010</v>
      </c>
      <c r="H176" s="93" t="s">
        <v>19</v>
      </c>
      <c r="I176" s="93" t="s">
        <v>2910</v>
      </c>
      <c r="J176" s="95" t="s">
        <v>1298</v>
      </c>
      <c r="K176" s="96">
        <v>9455528.0</v>
      </c>
      <c r="L176" s="97"/>
      <c r="M176" s="97">
        <f t="shared" si="46"/>
        <v>9455528</v>
      </c>
      <c r="N176" s="98">
        <f t="shared" si="53"/>
        <v>1040108.08</v>
      </c>
      <c r="O176" s="97">
        <f t="shared" si="48"/>
        <v>10495636.08</v>
      </c>
      <c r="P176" s="99"/>
      <c r="Q176" s="111" t="s">
        <v>2911</v>
      </c>
      <c r="R176" s="100"/>
      <c r="S176" s="101" t="str">
        <f t="shared" si="7"/>
        <v>#REF!</v>
      </c>
      <c r="T176" s="102" t="str">
        <f t="shared" si="8"/>
        <v>PP25-175</v>
      </c>
      <c r="U176" s="95"/>
      <c r="V176" s="95"/>
      <c r="W176" s="103"/>
      <c r="X176" s="103"/>
      <c r="Y176" s="103"/>
      <c r="Z176" s="104"/>
    </row>
    <row r="177" ht="49.5" customHeight="1">
      <c r="A177" s="90"/>
      <c r="B177" s="90" t="s">
        <v>2900</v>
      </c>
      <c r="C177" s="90">
        <f t="shared" si="30"/>
        <v>176</v>
      </c>
      <c r="D177" s="92" t="str">
        <f t="shared" si="1"/>
        <v>PP25-176</v>
      </c>
      <c r="E177" s="92">
        <v>45805.0</v>
      </c>
      <c r="F177" s="93"/>
      <c r="G177" s="110" t="s">
        <v>3010</v>
      </c>
      <c r="H177" s="93" t="s">
        <v>19</v>
      </c>
      <c r="I177" s="93" t="s">
        <v>2910</v>
      </c>
      <c r="J177" s="95" t="s">
        <v>1303</v>
      </c>
      <c r="K177" s="96">
        <v>1336294.0</v>
      </c>
      <c r="L177" s="97"/>
      <c r="M177" s="97">
        <f t="shared" si="46"/>
        <v>1336294</v>
      </c>
      <c r="N177" s="98">
        <f t="shared" si="53"/>
        <v>146992.34</v>
      </c>
      <c r="O177" s="97">
        <f t="shared" si="48"/>
        <v>1483286.34</v>
      </c>
      <c r="P177" s="99"/>
      <c r="Q177" s="111" t="s">
        <v>2911</v>
      </c>
      <c r="R177" s="100"/>
      <c r="S177" s="101" t="str">
        <f t="shared" si="7"/>
        <v>#REF!</v>
      </c>
      <c r="T177" s="102" t="str">
        <f t="shared" si="8"/>
        <v>PP25-176</v>
      </c>
      <c r="U177" s="95"/>
      <c r="V177" s="95"/>
      <c r="W177" s="103"/>
      <c r="X177" s="103"/>
      <c r="Y177" s="103"/>
      <c r="Z177" s="104"/>
    </row>
    <row r="178" ht="49.5" customHeight="1">
      <c r="A178" s="90"/>
      <c r="B178" s="90" t="s">
        <v>2900</v>
      </c>
      <c r="C178" s="90">
        <f t="shared" si="30"/>
        <v>177</v>
      </c>
      <c r="D178" s="92" t="str">
        <f t="shared" si="1"/>
        <v>PP25-177</v>
      </c>
      <c r="E178" s="120">
        <v>45810.0</v>
      </c>
      <c r="F178" s="93"/>
      <c r="G178" s="110" t="s">
        <v>3010</v>
      </c>
      <c r="H178" s="93" t="s">
        <v>19</v>
      </c>
      <c r="I178" s="94"/>
      <c r="J178" s="95" t="s">
        <v>639</v>
      </c>
      <c r="K178" s="96">
        <v>6.7830337E7</v>
      </c>
      <c r="L178" s="97">
        <f t="shared" ref="L178:L180" si="55">K178*6%</f>
        <v>4069820.22</v>
      </c>
      <c r="M178" s="97">
        <f t="shared" si="46"/>
        <v>71900157.22</v>
      </c>
      <c r="N178" s="98">
        <f t="shared" si="53"/>
        <v>7909017.294</v>
      </c>
      <c r="O178" s="97">
        <f t="shared" si="48"/>
        <v>79809174.51</v>
      </c>
      <c r="P178" s="99"/>
      <c r="Q178" s="90" t="s">
        <v>2903</v>
      </c>
      <c r="R178" s="100"/>
      <c r="S178" s="101" t="str">
        <f t="shared" si="7"/>
        <v>#REF!</v>
      </c>
      <c r="T178" s="102" t="str">
        <f t="shared" si="8"/>
        <v>PP25-177</v>
      </c>
      <c r="U178" s="95"/>
      <c r="V178" s="95"/>
      <c r="W178" s="103"/>
      <c r="X178" s="103"/>
      <c r="Y178" s="103"/>
      <c r="Z178" s="104"/>
    </row>
    <row r="179" ht="49.5" customHeight="1">
      <c r="A179" s="90"/>
      <c r="B179" s="90" t="s">
        <v>2900</v>
      </c>
      <c r="C179" s="90">
        <f t="shared" si="30"/>
        <v>178</v>
      </c>
      <c r="D179" s="92" t="str">
        <f t="shared" si="1"/>
        <v>PP25-178</v>
      </c>
      <c r="E179" s="120">
        <v>45810.0</v>
      </c>
      <c r="F179" s="93"/>
      <c r="G179" s="110" t="s">
        <v>3010</v>
      </c>
      <c r="H179" s="93" t="s">
        <v>19</v>
      </c>
      <c r="I179" s="94"/>
      <c r="J179" s="95" t="s">
        <v>641</v>
      </c>
      <c r="K179" s="96">
        <v>4.2617016E7</v>
      </c>
      <c r="L179" s="97">
        <f t="shared" si="55"/>
        <v>2557020.96</v>
      </c>
      <c r="M179" s="97">
        <f t="shared" si="46"/>
        <v>45174036.96</v>
      </c>
      <c r="N179" s="98">
        <f t="shared" si="53"/>
        <v>4969144.066</v>
      </c>
      <c r="O179" s="97">
        <f t="shared" si="48"/>
        <v>50143181.03</v>
      </c>
      <c r="P179" s="99"/>
      <c r="Q179" s="90" t="s">
        <v>2903</v>
      </c>
      <c r="R179" s="100"/>
      <c r="S179" s="101" t="str">
        <f t="shared" si="7"/>
        <v>#REF!</v>
      </c>
      <c r="T179" s="102" t="str">
        <f t="shared" si="8"/>
        <v>PP25-178</v>
      </c>
      <c r="U179" s="95"/>
      <c r="V179" s="95"/>
      <c r="W179" s="103"/>
      <c r="X179" s="103"/>
      <c r="Y179" s="103"/>
      <c r="Z179" s="104"/>
    </row>
    <row r="180" ht="49.5" customHeight="1">
      <c r="A180" s="90"/>
      <c r="B180" s="90" t="s">
        <v>2900</v>
      </c>
      <c r="C180" s="90">
        <f t="shared" si="30"/>
        <v>179</v>
      </c>
      <c r="D180" s="92" t="str">
        <f t="shared" si="1"/>
        <v>PP25-179</v>
      </c>
      <c r="E180" s="120">
        <v>45810.0</v>
      </c>
      <c r="F180" s="93"/>
      <c r="G180" s="110" t="s">
        <v>3010</v>
      </c>
      <c r="H180" s="93" t="s">
        <v>19</v>
      </c>
      <c r="I180" s="94"/>
      <c r="J180" s="95" t="s">
        <v>643</v>
      </c>
      <c r="K180" s="96">
        <v>4.04457096E8</v>
      </c>
      <c r="L180" s="97">
        <f t="shared" si="55"/>
        <v>24267425.76</v>
      </c>
      <c r="M180" s="97">
        <f t="shared" si="46"/>
        <v>428724521.8</v>
      </c>
      <c r="N180" s="98">
        <f t="shared" si="53"/>
        <v>47159697.39</v>
      </c>
      <c r="O180" s="97">
        <f t="shared" si="48"/>
        <v>475884219.2</v>
      </c>
      <c r="P180" s="99"/>
      <c r="Q180" s="90" t="s">
        <v>2903</v>
      </c>
      <c r="R180" s="100"/>
      <c r="S180" s="101" t="str">
        <f t="shared" si="7"/>
        <v>#REF!</v>
      </c>
      <c r="T180" s="102" t="str">
        <f t="shared" si="8"/>
        <v>PP25-179</v>
      </c>
      <c r="U180" s="95"/>
      <c r="V180" s="95"/>
      <c r="W180" s="103"/>
      <c r="X180" s="103"/>
      <c r="Y180" s="103"/>
      <c r="Z180" s="104"/>
    </row>
    <row r="181" ht="49.5" customHeight="1">
      <c r="A181" s="90"/>
      <c r="B181" s="90" t="s">
        <v>2900</v>
      </c>
      <c r="C181" s="90">
        <f t="shared" si="30"/>
        <v>180</v>
      </c>
      <c r="D181" s="92" t="str">
        <f t="shared" si="1"/>
        <v>PP25-180</v>
      </c>
      <c r="E181" s="120">
        <v>45810.0</v>
      </c>
      <c r="F181" s="93"/>
      <c r="G181" s="110" t="s">
        <v>3010</v>
      </c>
      <c r="H181" s="93" t="s">
        <v>19</v>
      </c>
      <c r="I181" s="94"/>
      <c r="J181" s="95" t="s">
        <v>1315</v>
      </c>
      <c r="K181" s="96">
        <v>2.46048134E8</v>
      </c>
      <c r="L181" s="97">
        <f>K181*5.6%</f>
        <v>13778695.5</v>
      </c>
      <c r="M181" s="97">
        <f t="shared" si="46"/>
        <v>259826829.5</v>
      </c>
      <c r="N181" s="98">
        <f t="shared" si="53"/>
        <v>28580951.25</v>
      </c>
      <c r="O181" s="97">
        <f t="shared" si="48"/>
        <v>288407780.7</v>
      </c>
      <c r="P181" s="99"/>
      <c r="Q181" s="90" t="s">
        <v>2903</v>
      </c>
      <c r="R181" s="100"/>
      <c r="S181" s="101" t="str">
        <f t="shared" si="7"/>
        <v>#REF!</v>
      </c>
      <c r="T181" s="102" t="str">
        <f t="shared" si="8"/>
        <v>PP25-180</v>
      </c>
      <c r="U181" s="95"/>
      <c r="V181" s="95"/>
      <c r="W181" s="103"/>
      <c r="X181" s="103"/>
      <c r="Y181" s="103"/>
      <c r="Z181" s="103"/>
    </row>
    <row r="182" ht="49.5" customHeight="1">
      <c r="A182" s="90"/>
      <c r="B182" s="90" t="s">
        <v>2900</v>
      </c>
      <c r="C182" s="90">
        <f t="shared" si="30"/>
        <v>181</v>
      </c>
      <c r="D182" s="92" t="str">
        <f t="shared" si="1"/>
        <v>PP25-181</v>
      </c>
      <c r="E182" s="120">
        <v>45810.0</v>
      </c>
      <c r="F182" s="110"/>
      <c r="G182" s="110" t="s">
        <v>3010</v>
      </c>
      <c r="H182" s="93" t="s">
        <v>19</v>
      </c>
      <c r="I182" s="94"/>
      <c r="J182" s="95" t="s">
        <v>650</v>
      </c>
      <c r="K182" s="96">
        <v>1.6301621E8</v>
      </c>
      <c r="L182" s="97">
        <f t="shared" ref="L182:L184" si="56">K182*5.3%</f>
        <v>8639859.13</v>
      </c>
      <c r="M182" s="97">
        <f t="shared" si="46"/>
        <v>171656069.1</v>
      </c>
      <c r="N182" s="98">
        <f t="shared" si="53"/>
        <v>18882167.6</v>
      </c>
      <c r="O182" s="97">
        <f t="shared" si="48"/>
        <v>190538236.7</v>
      </c>
      <c r="P182" s="99"/>
      <c r="Q182" s="90" t="s">
        <v>2949</v>
      </c>
      <c r="R182" s="100" t="str">
        <f t="shared" ref="R182:R186" si="57">VLOOKUP(D182,'[1]NSFP KPPE'!$A$5:$E$1000,5,FALSE)</f>
        <v>#REF!</v>
      </c>
      <c r="S182" s="101" t="str">
        <f t="shared" si="7"/>
        <v>#REF!</v>
      </c>
      <c r="T182" s="102" t="str">
        <f t="shared" si="8"/>
        <v>PP25-181</v>
      </c>
      <c r="U182" s="95"/>
      <c r="V182" s="95"/>
      <c r="W182" s="103"/>
      <c r="X182" s="103"/>
      <c r="Y182" s="103"/>
      <c r="Z182" s="104"/>
    </row>
    <row r="183" ht="49.5" customHeight="1">
      <c r="A183" s="90"/>
      <c r="B183" s="90" t="s">
        <v>2900</v>
      </c>
      <c r="C183" s="90">
        <f t="shared" si="30"/>
        <v>182</v>
      </c>
      <c r="D183" s="92" t="str">
        <f t="shared" si="1"/>
        <v>PP25-182</v>
      </c>
      <c r="E183" s="120">
        <v>45810.0</v>
      </c>
      <c r="F183" s="110"/>
      <c r="G183" s="110" t="s">
        <v>3010</v>
      </c>
      <c r="H183" s="93" t="s">
        <v>19</v>
      </c>
      <c r="I183" s="94"/>
      <c r="J183" s="95" t="s">
        <v>652</v>
      </c>
      <c r="K183" s="96">
        <v>4.8368243E7</v>
      </c>
      <c r="L183" s="97">
        <f t="shared" si="56"/>
        <v>2563516.879</v>
      </c>
      <c r="M183" s="97">
        <f t="shared" si="46"/>
        <v>50931759.88</v>
      </c>
      <c r="N183" s="98">
        <f t="shared" si="53"/>
        <v>5602493.587</v>
      </c>
      <c r="O183" s="97">
        <f t="shared" si="48"/>
        <v>56534253.47</v>
      </c>
      <c r="P183" s="99"/>
      <c r="Q183" s="90" t="s">
        <v>2949</v>
      </c>
      <c r="R183" s="100" t="str">
        <f t="shared" si="57"/>
        <v>#REF!</v>
      </c>
      <c r="S183" s="101" t="str">
        <f t="shared" si="7"/>
        <v>#REF!</v>
      </c>
      <c r="T183" s="102" t="str">
        <f t="shared" si="8"/>
        <v>PP25-182</v>
      </c>
      <c r="U183" s="95"/>
      <c r="V183" s="95"/>
      <c r="W183" s="103"/>
      <c r="X183" s="103"/>
      <c r="Y183" s="103"/>
      <c r="Z183" s="104"/>
    </row>
    <row r="184" ht="49.5" customHeight="1">
      <c r="A184" s="90"/>
      <c r="B184" s="90" t="s">
        <v>2900</v>
      </c>
      <c r="C184" s="90">
        <f t="shared" si="30"/>
        <v>183</v>
      </c>
      <c r="D184" s="92" t="str">
        <f t="shared" si="1"/>
        <v>PP25-183</v>
      </c>
      <c r="E184" s="120">
        <v>45810.0</v>
      </c>
      <c r="F184" s="110"/>
      <c r="G184" s="110" t="s">
        <v>3010</v>
      </c>
      <c r="H184" s="93" t="s">
        <v>19</v>
      </c>
      <c r="I184" s="94"/>
      <c r="J184" s="95" t="s">
        <v>654</v>
      </c>
      <c r="K184" s="96">
        <v>3.5404832E7</v>
      </c>
      <c r="L184" s="97">
        <f t="shared" si="56"/>
        <v>1876456.096</v>
      </c>
      <c r="M184" s="97">
        <f t="shared" si="46"/>
        <v>37281288.1</v>
      </c>
      <c r="N184" s="98">
        <f t="shared" si="53"/>
        <v>4100941.691</v>
      </c>
      <c r="O184" s="97">
        <f t="shared" si="48"/>
        <v>41382229.79</v>
      </c>
      <c r="P184" s="99"/>
      <c r="Q184" s="90" t="s">
        <v>2949</v>
      </c>
      <c r="R184" s="100" t="str">
        <f t="shared" si="57"/>
        <v>#REF!</v>
      </c>
      <c r="S184" s="101" t="str">
        <f t="shared" si="7"/>
        <v>#REF!</v>
      </c>
      <c r="T184" s="102" t="str">
        <f t="shared" si="8"/>
        <v>PP25-183</v>
      </c>
      <c r="U184" s="95"/>
      <c r="V184" s="95"/>
      <c r="W184" s="103"/>
      <c r="X184" s="103"/>
      <c r="Y184" s="103"/>
      <c r="Z184" s="104"/>
    </row>
    <row r="185" ht="49.5" customHeight="1">
      <c r="A185" s="90"/>
      <c r="B185" s="90" t="s">
        <v>2900</v>
      </c>
      <c r="C185" s="90">
        <f t="shared" si="30"/>
        <v>184</v>
      </c>
      <c r="D185" s="92" t="str">
        <f t="shared" si="1"/>
        <v>PP25-184</v>
      </c>
      <c r="E185" s="120">
        <v>45811.0</v>
      </c>
      <c r="F185" s="110"/>
      <c r="G185" s="110" t="s">
        <v>3010</v>
      </c>
      <c r="H185" s="93" t="s">
        <v>19</v>
      </c>
      <c r="I185" s="93"/>
      <c r="J185" s="95" t="s">
        <v>1329</v>
      </c>
      <c r="K185" s="96">
        <v>8.660004E7</v>
      </c>
      <c r="L185" s="97">
        <f>K185*5.6%</f>
        <v>4849602.24</v>
      </c>
      <c r="M185" s="97">
        <f t="shared" si="46"/>
        <v>91449642.24</v>
      </c>
      <c r="N185" s="98">
        <f t="shared" si="53"/>
        <v>10059460.65</v>
      </c>
      <c r="O185" s="97">
        <f t="shared" si="48"/>
        <v>101509102.9</v>
      </c>
      <c r="P185" s="99"/>
      <c r="Q185" s="109" t="s">
        <v>2903</v>
      </c>
      <c r="R185" s="100" t="str">
        <f t="shared" si="57"/>
        <v>#REF!</v>
      </c>
      <c r="S185" s="101" t="str">
        <f t="shared" si="7"/>
        <v>#REF!</v>
      </c>
      <c r="T185" s="102" t="str">
        <f t="shared" si="8"/>
        <v>PP25-184</v>
      </c>
      <c r="U185" s="95"/>
      <c r="V185" s="95"/>
      <c r="W185" s="103"/>
      <c r="X185" s="103"/>
      <c r="Y185" s="103"/>
      <c r="Z185" s="104"/>
    </row>
    <row r="186" ht="49.5" customHeight="1">
      <c r="A186" s="90"/>
      <c r="B186" s="90" t="s">
        <v>2900</v>
      </c>
      <c r="C186" s="90">
        <f t="shared" si="30"/>
        <v>185</v>
      </c>
      <c r="D186" s="92" t="str">
        <f t="shared" si="1"/>
        <v>PP25-185</v>
      </c>
      <c r="E186" s="120">
        <v>45812.0</v>
      </c>
      <c r="F186" s="93"/>
      <c r="G186" s="110" t="s">
        <v>3010</v>
      </c>
      <c r="H186" s="93" t="s">
        <v>19</v>
      </c>
      <c r="I186" s="94"/>
      <c r="J186" s="95" t="s">
        <v>661</v>
      </c>
      <c r="K186" s="96">
        <v>1.00067186E8</v>
      </c>
      <c r="L186" s="97"/>
      <c r="M186" s="97">
        <f t="shared" si="46"/>
        <v>100067186</v>
      </c>
      <c r="N186" s="98">
        <f t="shared" si="53"/>
        <v>11007390.46</v>
      </c>
      <c r="O186" s="97">
        <f t="shared" si="48"/>
        <v>111074576.5</v>
      </c>
      <c r="P186" s="99"/>
      <c r="Q186" s="90" t="s">
        <v>2903</v>
      </c>
      <c r="R186" s="100" t="str">
        <f t="shared" si="57"/>
        <v>#REF!</v>
      </c>
      <c r="S186" s="101" t="str">
        <f t="shared" si="7"/>
        <v>#REF!</v>
      </c>
      <c r="T186" s="102" t="str">
        <f t="shared" si="8"/>
        <v>PP25-185</v>
      </c>
      <c r="U186" s="95"/>
      <c r="V186" s="95"/>
      <c r="W186" s="103"/>
      <c r="X186" s="103"/>
      <c r="Y186" s="103"/>
      <c r="Z186" s="104"/>
    </row>
    <row r="187" ht="49.5" customHeight="1">
      <c r="A187" s="90"/>
      <c r="B187" s="90" t="s">
        <v>2900</v>
      </c>
      <c r="C187" s="90">
        <f t="shared" si="30"/>
        <v>186</v>
      </c>
      <c r="D187" s="92" t="str">
        <f t="shared" si="1"/>
        <v>PP25-186</v>
      </c>
      <c r="E187" s="120">
        <v>45812.0</v>
      </c>
      <c r="F187" s="93"/>
      <c r="G187" s="110" t="s">
        <v>3010</v>
      </c>
      <c r="H187" s="93" t="s">
        <v>19</v>
      </c>
      <c r="I187" s="94"/>
      <c r="J187" s="95" t="s">
        <v>663</v>
      </c>
      <c r="K187" s="96">
        <v>4.8436967E7</v>
      </c>
      <c r="L187" s="97">
        <f t="shared" ref="L187:L189" si="58">K187*6%</f>
        <v>2906218.02</v>
      </c>
      <c r="M187" s="97">
        <f t="shared" si="46"/>
        <v>51343185.02</v>
      </c>
      <c r="N187" s="98">
        <f t="shared" si="53"/>
        <v>5647750.352</v>
      </c>
      <c r="O187" s="97">
        <f t="shared" si="48"/>
        <v>56990935.37</v>
      </c>
      <c r="P187" s="99"/>
      <c r="Q187" s="90" t="s">
        <v>2903</v>
      </c>
      <c r="R187" s="100"/>
      <c r="S187" s="101" t="str">
        <f t="shared" si="7"/>
        <v>#REF!</v>
      </c>
      <c r="T187" s="102" t="str">
        <f t="shared" si="8"/>
        <v>PP25-186</v>
      </c>
      <c r="U187" s="95"/>
      <c r="V187" s="95"/>
      <c r="W187" s="103"/>
      <c r="X187" s="103"/>
      <c r="Y187" s="103"/>
      <c r="Z187" s="104"/>
    </row>
    <row r="188" ht="49.5" customHeight="1">
      <c r="A188" s="90"/>
      <c r="B188" s="90" t="s">
        <v>2900</v>
      </c>
      <c r="C188" s="90">
        <f t="shared" si="30"/>
        <v>187</v>
      </c>
      <c r="D188" s="92" t="str">
        <f t="shared" si="1"/>
        <v>PP25-187</v>
      </c>
      <c r="E188" s="120">
        <v>45812.0</v>
      </c>
      <c r="F188" s="93"/>
      <c r="G188" s="110" t="s">
        <v>3010</v>
      </c>
      <c r="H188" s="93" t="s">
        <v>19</v>
      </c>
      <c r="I188" s="94"/>
      <c r="J188" s="95" t="s">
        <v>665</v>
      </c>
      <c r="K188" s="96">
        <v>5.8414806E7</v>
      </c>
      <c r="L188" s="97">
        <f t="shared" si="58"/>
        <v>3504888.36</v>
      </c>
      <c r="M188" s="97">
        <f t="shared" si="46"/>
        <v>61919694.36</v>
      </c>
      <c r="N188" s="98">
        <f t="shared" si="53"/>
        <v>6811166.38</v>
      </c>
      <c r="O188" s="97">
        <f t="shared" si="48"/>
        <v>68730860.74</v>
      </c>
      <c r="P188" s="99"/>
      <c r="Q188" s="90" t="s">
        <v>2903</v>
      </c>
      <c r="R188" s="100"/>
      <c r="S188" s="101" t="str">
        <f t="shared" si="7"/>
        <v>#REF!</v>
      </c>
      <c r="T188" s="102" t="str">
        <f t="shared" si="8"/>
        <v>PP25-187</v>
      </c>
      <c r="U188" s="95"/>
      <c r="V188" s="95"/>
      <c r="W188" s="103"/>
      <c r="X188" s="103"/>
      <c r="Y188" s="103"/>
      <c r="Z188" s="104"/>
    </row>
    <row r="189" ht="49.5" customHeight="1">
      <c r="A189" s="90"/>
      <c r="B189" s="90" t="s">
        <v>2900</v>
      </c>
      <c r="C189" s="90">
        <f t="shared" si="30"/>
        <v>188</v>
      </c>
      <c r="D189" s="92" t="str">
        <f t="shared" si="1"/>
        <v>PP25-188</v>
      </c>
      <c r="E189" s="120">
        <v>45812.0</v>
      </c>
      <c r="F189" s="93"/>
      <c r="G189" s="110" t="s">
        <v>3010</v>
      </c>
      <c r="H189" s="93" t="s">
        <v>19</v>
      </c>
      <c r="I189" s="94"/>
      <c r="J189" s="95" t="s">
        <v>667</v>
      </c>
      <c r="K189" s="96">
        <v>1.05643745E8</v>
      </c>
      <c r="L189" s="97">
        <f t="shared" si="58"/>
        <v>6338624.7</v>
      </c>
      <c r="M189" s="97">
        <f t="shared" si="46"/>
        <v>111982369.7</v>
      </c>
      <c r="N189" s="98">
        <f t="shared" si="53"/>
        <v>12318060.67</v>
      </c>
      <c r="O189" s="97">
        <f t="shared" si="48"/>
        <v>124300430.4</v>
      </c>
      <c r="P189" s="99"/>
      <c r="Q189" s="90" t="s">
        <v>2903</v>
      </c>
      <c r="R189" s="100"/>
      <c r="S189" s="101" t="str">
        <f t="shared" si="7"/>
        <v>#REF!</v>
      </c>
      <c r="T189" s="102" t="str">
        <f t="shared" si="8"/>
        <v>PP25-188</v>
      </c>
      <c r="U189" s="95"/>
      <c r="V189" s="95"/>
      <c r="W189" s="103"/>
      <c r="X189" s="103"/>
      <c r="Y189" s="103"/>
      <c r="Z189" s="104"/>
    </row>
    <row r="190" ht="49.5" customHeight="1">
      <c r="A190" s="90"/>
      <c r="B190" s="90" t="s">
        <v>2900</v>
      </c>
      <c r="C190" s="90">
        <f t="shared" si="30"/>
        <v>189</v>
      </c>
      <c r="D190" s="92" t="str">
        <f t="shared" si="1"/>
        <v>PP25-189</v>
      </c>
      <c r="E190" s="120">
        <v>45812.0</v>
      </c>
      <c r="F190" s="93"/>
      <c r="G190" s="110" t="s">
        <v>3010</v>
      </c>
      <c r="H190" s="93" t="s">
        <v>19</v>
      </c>
      <c r="I190" s="94"/>
      <c r="J190" s="95" t="s">
        <v>669</v>
      </c>
      <c r="K190" s="96">
        <v>2.135698E7</v>
      </c>
      <c r="L190" s="97">
        <f>K190*10%</f>
        <v>2135698</v>
      </c>
      <c r="M190" s="97">
        <f t="shared" si="46"/>
        <v>23492678</v>
      </c>
      <c r="N190" s="98">
        <f t="shared" si="53"/>
        <v>2584194.58</v>
      </c>
      <c r="O190" s="97">
        <f t="shared" si="48"/>
        <v>26076872.58</v>
      </c>
      <c r="P190" s="99"/>
      <c r="Q190" s="90" t="s">
        <v>2903</v>
      </c>
      <c r="R190" s="100"/>
      <c r="S190" s="101" t="str">
        <f t="shared" si="7"/>
        <v>#REF!</v>
      </c>
      <c r="T190" s="102" t="str">
        <f t="shared" si="8"/>
        <v>PP25-189</v>
      </c>
      <c r="U190" s="95"/>
      <c r="V190" s="95"/>
      <c r="W190" s="103"/>
      <c r="X190" s="103"/>
      <c r="Y190" s="103"/>
      <c r="Z190" s="104"/>
    </row>
    <row r="191" ht="49.5" customHeight="1">
      <c r="A191" s="90"/>
      <c r="B191" s="90" t="s">
        <v>2900</v>
      </c>
      <c r="C191" s="90">
        <f t="shared" si="30"/>
        <v>190</v>
      </c>
      <c r="D191" s="92" t="str">
        <f t="shared" si="1"/>
        <v>PP25-190</v>
      </c>
      <c r="E191" s="120">
        <v>45813.0</v>
      </c>
      <c r="F191" s="93"/>
      <c r="G191" s="110" t="s">
        <v>3010</v>
      </c>
      <c r="H191" s="93" t="s">
        <v>19</v>
      </c>
      <c r="I191" s="94"/>
      <c r="J191" s="95" t="s">
        <v>671</v>
      </c>
      <c r="K191" s="96">
        <v>8649863.0</v>
      </c>
      <c r="L191" s="97">
        <f t="shared" ref="L191:L192" si="59">K191*5.3%</f>
        <v>458442.739</v>
      </c>
      <c r="M191" s="97">
        <f t="shared" si="46"/>
        <v>9108305.739</v>
      </c>
      <c r="N191" s="98">
        <f t="shared" si="53"/>
        <v>1001913.631</v>
      </c>
      <c r="O191" s="97">
        <f t="shared" si="48"/>
        <v>10110219.37</v>
      </c>
      <c r="P191" s="99"/>
      <c r="Q191" s="90" t="s">
        <v>2949</v>
      </c>
      <c r="R191" s="100"/>
      <c r="S191" s="101" t="str">
        <f t="shared" si="7"/>
        <v>#REF!</v>
      </c>
      <c r="T191" s="102" t="str">
        <f t="shared" si="8"/>
        <v>PP25-190</v>
      </c>
      <c r="U191" s="95"/>
      <c r="V191" s="95"/>
      <c r="W191" s="103"/>
      <c r="X191" s="103"/>
      <c r="Y191" s="103"/>
      <c r="Z191" s="104"/>
    </row>
    <row r="192" ht="49.5" customHeight="1">
      <c r="A192" s="90"/>
      <c r="B192" s="90" t="s">
        <v>2900</v>
      </c>
      <c r="C192" s="90">
        <f t="shared" si="30"/>
        <v>191</v>
      </c>
      <c r="D192" s="92" t="str">
        <f t="shared" si="1"/>
        <v>PP25-191</v>
      </c>
      <c r="E192" s="120">
        <v>45813.0</v>
      </c>
      <c r="F192" s="93"/>
      <c r="G192" s="110" t="s">
        <v>3010</v>
      </c>
      <c r="H192" s="93" t="s">
        <v>19</v>
      </c>
      <c r="I192" s="94"/>
      <c r="J192" s="95" t="s">
        <v>673</v>
      </c>
      <c r="K192" s="96">
        <v>8422337.0</v>
      </c>
      <c r="L192" s="97">
        <f t="shared" si="59"/>
        <v>446383.861</v>
      </c>
      <c r="M192" s="97">
        <f t="shared" si="46"/>
        <v>8868720.861</v>
      </c>
      <c r="N192" s="98">
        <f t="shared" si="53"/>
        <v>975559.2947</v>
      </c>
      <c r="O192" s="97">
        <f t="shared" si="48"/>
        <v>9844280.156</v>
      </c>
      <c r="P192" s="99"/>
      <c r="Q192" s="90" t="s">
        <v>2949</v>
      </c>
      <c r="R192" s="100"/>
      <c r="S192" s="101" t="str">
        <f t="shared" si="7"/>
        <v>#REF!</v>
      </c>
      <c r="T192" s="102" t="str">
        <f t="shared" si="8"/>
        <v>PP25-191</v>
      </c>
      <c r="U192" s="95"/>
      <c r="V192" s="95"/>
      <c r="W192" s="103"/>
      <c r="X192" s="103"/>
      <c r="Y192" s="103"/>
      <c r="Z192" s="104"/>
    </row>
    <row r="193" ht="49.5" customHeight="1">
      <c r="A193" s="90"/>
      <c r="B193" s="90" t="s">
        <v>2900</v>
      </c>
      <c r="C193" s="90">
        <f t="shared" si="30"/>
        <v>192</v>
      </c>
      <c r="D193" s="92" t="str">
        <f t="shared" si="1"/>
        <v>PP25-192</v>
      </c>
      <c r="E193" s="120">
        <v>45818.0</v>
      </c>
      <c r="F193" s="93"/>
      <c r="G193" s="110" t="s">
        <v>3010</v>
      </c>
      <c r="H193" s="93" t="s">
        <v>19</v>
      </c>
      <c r="I193" s="94"/>
      <c r="J193" s="95" t="s">
        <v>1360</v>
      </c>
      <c r="K193" s="96">
        <v>4.4293936E7</v>
      </c>
      <c r="L193" s="97">
        <f>K193*10%</f>
        <v>4429393.6</v>
      </c>
      <c r="M193" s="97">
        <f t="shared" si="46"/>
        <v>48723329.6</v>
      </c>
      <c r="N193" s="98">
        <f t="shared" si="53"/>
        <v>5359566.256</v>
      </c>
      <c r="O193" s="97">
        <f t="shared" si="48"/>
        <v>54082895.86</v>
      </c>
      <c r="P193" s="99"/>
      <c r="Q193" s="90" t="s">
        <v>2903</v>
      </c>
      <c r="R193" s="100"/>
      <c r="S193" s="101" t="str">
        <f t="shared" si="7"/>
        <v>#REF!</v>
      </c>
      <c r="T193" s="102" t="str">
        <f t="shared" si="8"/>
        <v>PP25-192</v>
      </c>
      <c r="U193" s="95"/>
      <c r="V193" s="95"/>
      <c r="W193" s="103"/>
      <c r="X193" s="103"/>
      <c r="Y193" s="103"/>
      <c r="Z193" s="104"/>
    </row>
    <row r="194" ht="49.5" customHeight="1">
      <c r="A194" s="90"/>
      <c r="B194" s="90" t="s">
        <v>2900</v>
      </c>
      <c r="C194" s="90">
        <f t="shared" si="30"/>
        <v>193</v>
      </c>
      <c r="D194" s="92" t="str">
        <f t="shared" si="1"/>
        <v>PP25-193</v>
      </c>
      <c r="E194" s="120">
        <v>45818.0</v>
      </c>
      <c r="F194" s="93"/>
      <c r="G194" s="110" t="s">
        <v>3010</v>
      </c>
      <c r="H194" s="93" t="s">
        <v>19</v>
      </c>
      <c r="I194" s="94"/>
      <c r="J194" s="95" t="s">
        <v>680</v>
      </c>
      <c r="K194" s="96">
        <v>2.71250705E8</v>
      </c>
      <c r="L194" s="97">
        <f>K194*6.3%</f>
        <v>17088794.42</v>
      </c>
      <c r="M194" s="97">
        <f t="shared" si="46"/>
        <v>288339499.4</v>
      </c>
      <c r="N194" s="98">
        <f t="shared" si="53"/>
        <v>31717344.94</v>
      </c>
      <c r="O194" s="97">
        <f t="shared" si="48"/>
        <v>320056844.4</v>
      </c>
      <c r="P194" s="99"/>
      <c r="Q194" s="90" t="s">
        <v>2903</v>
      </c>
      <c r="R194" s="100"/>
      <c r="S194" s="101" t="str">
        <f t="shared" si="7"/>
        <v>#REF!</v>
      </c>
      <c r="T194" s="102" t="str">
        <f t="shared" si="8"/>
        <v>PP25-193</v>
      </c>
      <c r="U194" s="95"/>
      <c r="V194" s="95"/>
      <c r="W194" s="103"/>
      <c r="X194" s="103"/>
      <c r="Y194" s="103"/>
      <c r="Z194" s="104"/>
    </row>
    <row r="195" ht="49.5" customHeight="1">
      <c r="A195" s="90"/>
      <c r="B195" s="90" t="s">
        <v>2900</v>
      </c>
      <c r="C195" s="90">
        <f t="shared" si="30"/>
        <v>194</v>
      </c>
      <c r="D195" s="92" t="str">
        <f t="shared" si="1"/>
        <v>PP25-194</v>
      </c>
      <c r="E195" s="120">
        <v>45818.0</v>
      </c>
      <c r="F195" s="93"/>
      <c r="G195" s="110" t="s">
        <v>3010</v>
      </c>
      <c r="H195" s="93" t="s">
        <v>19</v>
      </c>
      <c r="I195" s="94"/>
      <c r="J195" s="95" t="s">
        <v>1362</v>
      </c>
      <c r="K195" s="96">
        <v>6.5756E7</v>
      </c>
      <c r="L195" s="97">
        <f>K195*5.6%</f>
        <v>3682336</v>
      </c>
      <c r="M195" s="97">
        <f t="shared" si="46"/>
        <v>69438336</v>
      </c>
      <c r="N195" s="98">
        <f t="shared" si="53"/>
        <v>7638216.96</v>
      </c>
      <c r="O195" s="97">
        <f t="shared" si="48"/>
        <v>77076552.96</v>
      </c>
      <c r="P195" s="99"/>
      <c r="Q195" s="90" t="s">
        <v>2903</v>
      </c>
      <c r="R195" s="100"/>
      <c r="S195" s="101" t="str">
        <f t="shared" si="7"/>
        <v>#REF!</v>
      </c>
      <c r="T195" s="102" t="str">
        <f t="shared" si="8"/>
        <v>PP25-194</v>
      </c>
      <c r="U195" s="95"/>
      <c r="V195" s="95"/>
      <c r="W195" s="103"/>
      <c r="X195" s="103"/>
      <c r="Y195" s="103"/>
      <c r="Z195" s="104"/>
    </row>
    <row r="196" ht="49.5" customHeight="1">
      <c r="A196" s="90"/>
      <c r="B196" s="90" t="s">
        <v>2900</v>
      </c>
      <c r="C196" s="90">
        <f t="shared" si="30"/>
        <v>195</v>
      </c>
      <c r="D196" s="92" t="str">
        <f t="shared" si="1"/>
        <v>PP25-195</v>
      </c>
      <c r="E196" s="120">
        <v>45820.0</v>
      </c>
      <c r="F196" s="93"/>
      <c r="G196" s="110" t="s">
        <v>3010</v>
      </c>
      <c r="H196" s="93" t="s">
        <v>19</v>
      </c>
      <c r="I196" s="94"/>
      <c r="J196" s="95" t="s">
        <v>1368</v>
      </c>
      <c r="K196" s="96">
        <v>1.7233819E7</v>
      </c>
      <c r="L196" s="97">
        <f t="shared" ref="L196:L200" si="60">K196*7.5%</f>
        <v>1292536.425</v>
      </c>
      <c r="M196" s="97">
        <f t="shared" si="46"/>
        <v>18526355.43</v>
      </c>
      <c r="N196" s="98">
        <f t="shared" si="53"/>
        <v>2037899.097</v>
      </c>
      <c r="O196" s="97">
        <f t="shared" si="48"/>
        <v>20564254.52</v>
      </c>
      <c r="P196" s="99"/>
      <c r="Q196" s="90" t="s">
        <v>2903</v>
      </c>
      <c r="R196" s="100"/>
      <c r="S196" s="101" t="str">
        <f t="shared" si="7"/>
        <v>#REF!</v>
      </c>
      <c r="T196" s="102" t="str">
        <f t="shared" si="8"/>
        <v>PP25-195</v>
      </c>
      <c r="U196" s="95"/>
      <c r="V196" s="95"/>
      <c r="W196" s="103"/>
      <c r="X196" s="103"/>
      <c r="Y196" s="103"/>
      <c r="Z196" s="104"/>
    </row>
    <row r="197" ht="49.5" customHeight="1">
      <c r="A197" s="90"/>
      <c r="B197" s="90" t="s">
        <v>2900</v>
      </c>
      <c r="C197" s="90">
        <f t="shared" si="30"/>
        <v>196</v>
      </c>
      <c r="D197" s="92" t="str">
        <f t="shared" si="1"/>
        <v>PP25-196</v>
      </c>
      <c r="E197" s="120">
        <v>45820.0</v>
      </c>
      <c r="F197" s="93"/>
      <c r="G197" s="110" t="s">
        <v>3010</v>
      </c>
      <c r="H197" s="93" t="s">
        <v>19</v>
      </c>
      <c r="I197" s="94"/>
      <c r="J197" s="95" t="s">
        <v>1370</v>
      </c>
      <c r="K197" s="96">
        <v>8616910.0</v>
      </c>
      <c r="L197" s="97">
        <f t="shared" si="60"/>
        <v>646268.25</v>
      </c>
      <c r="M197" s="97">
        <f t="shared" si="46"/>
        <v>9263178.25</v>
      </c>
      <c r="N197" s="98">
        <f t="shared" si="53"/>
        <v>1018949.608</v>
      </c>
      <c r="O197" s="97">
        <f t="shared" si="48"/>
        <v>10282127.86</v>
      </c>
      <c r="P197" s="99"/>
      <c r="Q197" s="90" t="s">
        <v>2903</v>
      </c>
      <c r="R197" s="100"/>
      <c r="S197" s="101" t="str">
        <f t="shared" si="7"/>
        <v>#REF!</v>
      </c>
      <c r="T197" s="102" t="str">
        <f t="shared" si="8"/>
        <v>PP25-196</v>
      </c>
      <c r="U197" s="95"/>
      <c r="V197" s="95"/>
      <c r="W197" s="103"/>
      <c r="X197" s="103"/>
      <c r="Y197" s="103"/>
      <c r="Z197" s="104"/>
    </row>
    <row r="198" ht="49.5" customHeight="1">
      <c r="A198" s="90"/>
      <c r="B198" s="90" t="s">
        <v>2900</v>
      </c>
      <c r="C198" s="90">
        <f t="shared" si="30"/>
        <v>197</v>
      </c>
      <c r="D198" s="92" t="str">
        <f t="shared" si="1"/>
        <v>PP25-197</v>
      </c>
      <c r="E198" s="120">
        <v>45820.0</v>
      </c>
      <c r="F198" s="93"/>
      <c r="G198" s="110" t="s">
        <v>3010</v>
      </c>
      <c r="H198" s="93" t="s">
        <v>19</v>
      </c>
      <c r="I198" s="94"/>
      <c r="J198" s="95" t="s">
        <v>1372</v>
      </c>
      <c r="K198" s="96">
        <v>1.8691284E7</v>
      </c>
      <c r="L198" s="97">
        <f t="shared" si="60"/>
        <v>1401846.3</v>
      </c>
      <c r="M198" s="97">
        <f t="shared" si="46"/>
        <v>20093130.3</v>
      </c>
      <c r="N198" s="98">
        <f t="shared" si="53"/>
        <v>2210244.333</v>
      </c>
      <c r="O198" s="97">
        <f t="shared" si="48"/>
        <v>22303374.63</v>
      </c>
      <c r="P198" s="99"/>
      <c r="Q198" s="90" t="s">
        <v>2903</v>
      </c>
      <c r="R198" s="100"/>
      <c r="S198" s="101" t="str">
        <f t="shared" si="7"/>
        <v>#REF!</v>
      </c>
      <c r="T198" s="102" t="str">
        <f t="shared" si="8"/>
        <v>PP25-197</v>
      </c>
      <c r="U198" s="95"/>
      <c r="V198" s="95"/>
      <c r="W198" s="103"/>
      <c r="X198" s="103"/>
      <c r="Y198" s="103"/>
      <c r="Z198" s="103"/>
    </row>
    <row r="199" ht="49.5" customHeight="1">
      <c r="A199" s="90"/>
      <c r="B199" s="90" t="s">
        <v>2900</v>
      </c>
      <c r="C199" s="90">
        <f t="shared" si="30"/>
        <v>198</v>
      </c>
      <c r="D199" s="92" t="str">
        <f t="shared" si="1"/>
        <v>PP25-198</v>
      </c>
      <c r="E199" s="120">
        <v>45820.0</v>
      </c>
      <c r="F199" s="93"/>
      <c r="G199" s="110" t="s">
        <v>3010</v>
      </c>
      <c r="H199" s="93" t="s">
        <v>19</v>
      </c>
      <c r="I199" s="94"/>
      <c r="J199" s="95" t="s">
        <v>1378</v>
      </c>
      <c r="K199" s="96">
        <v>8616910.0</v>
      </c>
      <c r="L199" s="97">
        <f t="shared" si="60"/>
        <v>646268.25</v>
      </c>
      <c r="M199" s="97">
        <f t="shared" si="46"/>
        <v>9263178.25</v>
      </c>
      <c r="N199" s="98">
        <f t="shared" si="53"/>
        <v>1018949.608</v>
      </c>
      <c r="O199" s="97">
        <f t="shared" si="48"/>
        <v>10282127.86</v>
      </c>
      <c r="P199" s="99"/>
      <c r="Q199" s="90" t="s">
        <v>2903</v>
      </c>
      <c r="R199" s="100"/>
      <c r="S199" s="101" t="str">
        <f t="shared" si="7"/>
        <v>#REF!</v>
      </c>
      <c r="T199" s="102" t="str">
        <f t="shared" si="8"/>
        <v>PP25-198</v>
      </c>
      <c r="U199" s="95"/>
      <c r="V199" s="95"/>
      <c r="W199" s="103"/>
      <c r="X199" s="103"/>
      <c r="Y199" s="103"/>
      <c r="Z199" s="104"/>
    </row>
    <row r="200" ht="49.5" customHeight="1">
      <c r="A200" s="90"/>
      <c r="B200" s="90" t="s">
        <v>2900</v>
      </c>
      <c r="C200" s="90">
        <f t="shared" si="30"/>
        <v>199</v>
      </c>
      <c r="D200" s="92" t="str">
        <f t="shared" si="1"/>
        <v>PP25-199</v>
      </c>
      <c r="E200" s="120">
        <v>45820.0</v>
      </c>
      <c r="F200" s="93"/>
      <c r="G200" s="110" t="s">
        <v>3010</v>
      </c>
      <c r="H200" s="93" t="s">
        <v>19</v>
      </c>
      <c r="I200" s="94"/>
      <c r="J200" s="95" t="s">
        <v>1380</v>
      </c>
      <c r="K200" s="96">
        <v>8170416.0</v>
      </c>
      <c r="L200" s="97">
        <f t="shared" si="60"/>
        <v>612781.2</v>
      </c>
      <c r="M200" s="97">
        <f t="shared" si="46"/>
        <v>8783197.2</v>
      </c>
      <c r="N200" s="98">
        <f t="shared" si="53"/>
        <v>966151.692</v>
      </c>
      <c r="O200" s="97">
        <f t="shared" si="48"/>
        <v>9749348.892</v>
      </c>
      <c r="P200" s="99"/>
      <c r="Q200" s="90" t="s">
        <v>2903</v>
      </c>
      <c r="R200" s="100"/>
      <c r="S200" s="101" t="str">
        <f t="shared" si="7"/>
        <v>#REF!</v>
      </c>
      <c r="T200" s="102" t="str">
        <f t="shared" si="8"/>
        <v>PP25-199</v>
      </c>
      <c r="U200" s="95"/>
      <c r="V200" s="95"/>
      <c r="W200" s="103"/>
      <c r="X200" s="103"/>
      <c r="Y200" s="103"/>
      <c r="Z200" s="104"/>
    </row>
    <row r="201" ht="49.5" customHeight="1">
      <c r="A201" s="90"/>
      <c r="B201" s="90" t="s">
        <v>2900</v>
      </c>
      <c r="C201" s="90">
        <f t="shared" si="30"/>
        <v>200</v>
      </c>
      <c r="D201" s="92" t="str">
        <f t="shared" si="1"/>
        <v>PP25-200</v>
      </c>
      <c r="E201" s="120">
        <v>45821.0</v>
      </c>
      <c r="F201" s="93"/>
      <c r="G201" s="93" t="s">
        <v>3010</v>
      </c>
      <c r="H201" s="94"/>
      <c r="I201" s="94"/>
      <c r="J201" s="95" t="s">
        <v>696</v>
      </c>
      <c r="K201" s="96">
        <v>2.3141933E7</v>
      </c>
      <c r="L201" s="97"/>
      <c r="M201" s="97">
        <f t="shared" si="46"/>
        <v>23141933</v>
      </c>
      <c r="N201" s="98"/>
      <c r="O201" s="97">
        <f t="shared" si="48"/>
        <v>23141933</v>
      </c>
      <c r="P201" s="99"/>
      <c r="Q201" s="90" t="s">
        <v>2903</v>
      </c>
      <c r="R201" s="100"/>
      <c r="S201" s="101" t="str">
        <f t="shared" si="7"/>
        <v>#REF!</v>
      </c>
      <c r="T201" s="102" t="str">
        <f t="shared" si="8"/>
        <v>PP25-200</v>
      </c>
      <c r="U201" s="95"/>
      <c r="V201" s="95"/>
      <c r="W201" s="103"/>
      <c r="X201" s="103"/>
      <c r="Y201" s="103"/>
      <c r="Z201" s="104"/>
    </row>
    <row r="202" ht="49.5" customHeight="1">
      <c r="A202" s="90"/>
      <c r="B202" s="90" t="s">
        <v>2900</v>
      </c>
      <c r="C202" s="90">
        <f t="shared" si="30"/>
        <v>201</v>
      </c>
      <c r="D202" s="92" t="str">
        <f t="shared" si="1"/>
        <v>PP25-201</v>
      </c>
      <c r="E202" s="120">
        <v>45821.0</v>
      </c>
      <c r="F202" s="93"/>
      <c r="G202" s="93" t="s">
        <v>3010</v>
      </c>
      <c r="H202" s="94"/>
      <c r="I202" s="94"/>
      <c r="J202" s="95" t="s">
        <v>698</v>
      </c>
      <c r="K202" s="96">
        <v>1388516.0</v>
      </c>
      <c r="L202" s="97"/>
      <c r="M202" s="97">
        <f t="shared" si="46"/>
        <v>1388516</v>
      </c>
      <c r="N202" s="98">
        <f t="shared" ref="N202:N211" si="61">M202*11%</f>
        <v>152736.76</v>
      </c>
      <c r="O202" s="97">
        <f t="shared" si="48"/>
        <v>1541252.76</v>
      </c>
      <c r="P202" s="99"/>
      <c r="Q202" s="90" t="s">
        <v>2903</v>
      </c>
      <c r="R202" s="100"/>
      <c r="S202" s="101" t="str">
        <f t="shared" si="7"/>
        <v>#REF!</v>
      </c>
      <c r="T202" s="102" t="str">
        <f t="shared" si="8"/>
        <v>PP25-201</v>
      </c>
      <c r="U202" s="95"/>
      <c r="V202" s="95"/>
      <c r="W202" s="103"/>
      <c r="X202" s="103"/>
      <c r="Y202" s="103"/>
      <c r="Z202" s="104"/>
    </row>
    <row r="203" ht="49.5" customHeight="1">
      <c r="A203" s="90"/>
      <c r="B203" s="90" t="s">
        <v>2900</v>
      </c>
      <c r="C203" s="90">
        <f t="shared" si="30"/>
        <v>202</v>
      </c>
      <c r="D203" s="92" t="str">
        <f t="shared" si="1"/>
        <v>PP25-202</v>
      </c>
      <c r="E203" s="120">
        <v>45821.0</v>
      </c>
      <c r="F203" s="93"/>
      <c r="G203" s="93" t="s">
        <v>3010</v>
      </c>
      <c r="H203" s="94"/>
      <c r="I203" s="94"/>
      <c r="J203" s="95" t="s">
        <v>700</v>
      </c>
      <c r="K203" s="96">
        <v>6068839.0</v>
      </c>
      <c r="L203" s="97"/>
      <c r="M203" s="97">
        <f t="shared" si="46"/>
        <v>6068839</v>
      </c>
      <c r="N203" s="98">
        <f t="shared" si="61"/>
        <v>667572.29</v>
      </c>
      <c r="O203" s="97">
        <f t="shared" si="48"/>
        <v>6736411.29</v>
      </c>
      <c r="P203" s="99"/>
      <c r="Q203" s="90" t="s">
        <v>2903</v>
      </c>
      <c r="R203" s="100"/>
      <c r="S203" s="101" t="str">
        <f t="shared" si="7"/>
        <v>#REF!</v>
      </c>
      <c r="T203" s="102" t="str">
        <f t="shared" si="8"/>
        <v>PP25-202</v>
      </c>
      <c r="U203" s="95"/>
      <c r="V203" s="95"/>
      <c r="W203" s="103"/>
      <c r="X203" s="103"/>
      <c r="Y203" s="103"/>
      <c r="Z203" s="104"/>
    </row>
    <row r="204" ht="49.5" customHeight="1">
      <c r="A204" s="90"/>
      <c r="B204" s="90" t="s">
        <v>2900</v>
      </c>
      <c r="C204" s="90">
        <f t="shared" si="30"/>
        <v>203</v>
      </c>
      <c r="D204" s="92" t="str">
        <f t="shared" si="1"/>
        <v>PP25-203</v>
      </c>
      <c r="E204" s="120">
        <v>45821.0</v>
      </c>
      <c r="F204" s="93"/>
      <c r="G204" s="93" t="s">
        <v>3010</v>
      </c>
      <c r="H204" s="94"/>
      <c r="I204" s="94"/>
      <c r="J204" s="95" t="s">
        <v>702</v>
      </c>
      <c r="K204" s="96">
        <v>364130.0</v>
      </c>
      <c r="L204" s="97"/>
      <c r="M204" s="97">
        <f t="shared" si="46"/>
        <v>364130</v>
      </c>
      <c r="N204" s="98">
        <f t="shared" si="61"/>
        <v>40054.3</v>
      </c>
      <c r="O204" s="97">
        <f t="shared" si="48"/>
        <v>404184.3</v>
      </c>
      <c r="P204" s="99"/>
      <c r="Q204" s="90" t="s">
        <v>2903</v>
      </c>
      <c r="R204" s="100"/>
      <c r="S204" s="101" t="str">
        <f t="shared" si="7"/>
        <v>#REF!</v>
      </c>
      <c r="T204" s="102" t="str">
        <f t="shared" si="8"/>
        <v>PP25-203</v>
      </c>
      <c r="U204" s="95"/>
      <c r="V204" s="95"/>
      <c r="W204" s="103"/>
      <c r="X204" s="103"/>
      <c r="Y204" s="103"/>
      <c r="Z204" s="104"/>
    </row>
    <row r="205" ht="49.5" customHeight="1">
      <c r="A205" s="90"/>
      <c r="B205" s="90" t="s">
        <v>2900</v>
      </c>
      <c r="C205" s="90">
        <f t="shared" si="30"/>
        <v>204</v>
      </c>
      <c r="D205" s="121" t="str">
        <f t="shared" si="1"/>
        <v>PP25-204</v>
      </c>
      <c r="E205" s="122"/>
      <c r="F205" s="123"/>
      <c r="G205" s="123"/>
      <c r="H205" s="124"/>
      <c r="I205" s="124"/>
      <c r="J205" s="125"/>
      <c r="K205" s="126"/>
      <c r="L205" s="127"/>
      <c r="M205" s="127">
        <f t="shared" si="46"/>
        <v>0</v>
      </c>
      <c r="N205" s="128">
        <f t="shared" si="61"/>
        <v>0</v>
      </c>
      <c r="O205" s="127">
        <f t="shared" si="48"/>
        <v>0</v>
      </c>
      <c r="P205" s="129"/>
      <c r="Q205" s="130" t="s">
        <v>2934</v>
      </c>
      <c r="R205" s="129" t="s">
        <v>1394</v>
      </c>
      <c r="S205" s="101" t="str">
        <f t="shared" si="7"/>
        <v>#REF!</v>
      </c>
      <c r="T205" s="102" t="str">
        <f t="shared" si="8"/>
        <v>PP25-204</v>
      </c>
      <c r="U205" s="95"/>
      <c r="V205" s="95"/>
      <c r="W205" s="103"/>
      <c r="X205" s="103"/>
      <c r="Y205" s="103"/>
      <c r="Z205" s="104"/>
    </row>
    <row r="206" ht="49.5" customHeight="1">
      <c r="A206" s="90"/>
      <c r="B206" s="90" t="s">
        <v>2900</v>
      </c>
      <c r="C206" s="90">
        <f t="shared" si="30"/>
        <v>205</v>
      </c>
      <c r="D206" s="92" t="str">
        <f t="shared" si="1"/>
        <v>PP25-205</v>
      </c>
      <c r="E206" s="120">
        <v>45824.0</v>
      </c>
      <c r="F206" s="93"/>
      <c r="G206" s="93" t="s">
        <v>708</v>
      </c>
      <c r="H206" s="94"/>
      <c r="I206" s="94"/>
      <c r="J206" s="95" t="s">
        <v>709</v>
      </c>
      <c r="K206" s="96">
        <v>2.165E7</v>
      </c>
      <c r="L206" s="97"/>
      <c r="M206" s="97">
        <f t="shared" si="46"/>
        <v>21650000</v>
      </c>
      <c r="N206" s="98">
        <f t="shared" si="61"/>
        <v>2381500</v>
      </c>
      <c r="O206" s="97">
        <f t="shared" si="48"/>
        <v>24031500</v>
      </c>
      <c r="P206" s="99"/>
      <c r="Q206" s="90" t="s">
        <v>38</v>
      </c>
      <c r="R206" s="100"/>
      <c r="S206" s="101" t="str">
        <f t="shared" si="7"/>
        <v>#REF!</v>
      </c>
      <c r="T206" s="102" t="str">
        <f t="shared" si="8"/>
        <v>PP25-205</v>
      </c>
      <c r="U206" s="95"/>
      <c r="V206" s="95"/>
      <c r="W206" s="103"/>
      <c r="X206" s="103"/>
      <c r="Y206" s="103"/>
      <c r="Z206" s="103"/>
    </row>
    <row r="207" ht="49.5" customHeight="1">
      <c r="A207" s="90"/>
      <c r="B207" s="90" t="s">
        <v>2900</v>
      </c>
      <c r="C207" s="90">
        <f t="shared" si="30"/>
        <v>206</v>
      </c>
      <c r="D207" s="92" t="str">
        <f t="shared" si="1"/>
        <v>PP25-206</v>
      </c>
      <c r="E207" s="120">
        <v>45824.0</v>
      </c>
      <c r="F207" s="93"/>
      <c r="G207" s="93" t="s">
        <v>3010</v>
      </c>
      <c r="H207" s="94"/>
      <c r="I207" s="94"/>
      <c r="J207" s="95" t="s">
        <v>1251</v>
      </c>
      <c r="K207" s="96">
        <v>3.49304265E8</v>
      </c>
      <c r="L207" s="97"/>
      <c r="M207" s="97">
        <f t="shared" si="46"/>
        <v>349304265</v>
      </c>
      <c r="N207" s="98">
        <f t="shared" si="61"/>
        <v>38423469.15</v>
      </c>
      <c r="O207" s="97">
        <f t="shared" si="48"/>
        <v>387727734.2</v>
      </c>
      <c r="P207" s="99"/>
      <c r="Q207" s="90" t="s">
        <v>2934</v>
      </c>
      <c r="R207" s="100"/>
      <c r="S207" s="101" t="str">
        <f t="shared" si="7"/>
        <v>#REF!</v>
      </c>
      <c r="T207" s="102" t="str">
        <f t="shared" si="8"/>
        <v>PP25-206</v>
      </c>
      <c r="U207" s="95"/>
      <c r="V207" s="95"/>
      <c r="W207" s="103"/>
      <c r="X207" s="103"/>
      <c r="Y207" s="103"/>
      <c r="Z207" s="104"/>
    </row>
    <row r="208" ht="49.5" customHeight="1">
      <c r="A208" s="90"/>
      <c r="B208" s="90" t="s">
        <v>2900</v>
      </c>
      <c r="C208" s="90">
        <f t="shared" si="30"/>
        <v>207</v>
      </c>
      <c r="D208" s="92" t="str">
        <f t="shared" si="1"/>
        <v>PP25-207</v>
      </c>
      <c r="E208" s="120">
        <v>45832.0</v>
      </c>
      <c r="F208" s="93"/>
      <c r="G208" s="93" t="s">
        <v>3010</v>
      </c>
      <c r="H208" s="94"/>
      <c r="I208" s="94"/>
      <c r="J208" s="95" t="s">
        <v>715</v>
      </c>
      <c r="K208" s="96">
        <v>1.19859039E8</v>
      </c>
      <c r="L208" s="97">
        <f t="shared" ref="L208:L210" si="62">K208*5.3%</f>
        <v>6352529.067</v>
      </c>
      <c r="M208" s="97">
        <f t="shared" si="46"/>
        <v>126211568.1</v>
      </c>
      <c r="N208" s="98">
        <f t="shared" si="61"/>
        <v>13883272.49</v>
      </c>
      <c r="O208" s="97">
        <f t="shared" si="48"/>
        <v>140094840.6</v>
      </c>
      <c r="P208" s="99"/>
      <c r="Q208" s="90" t="s">
        <v>3002</v>
      </c>
      <c r="R208" s="100"/>
      <c r="S208" s="101" t="str">
        <f t="shared" si="7"/>
        <v>#REF!</v>
      </c>
      <c r="T208" s="102" t="str">
        <f t="shared" si="8"/>
        <v>PP25-207</v>
      </c>
      <c r="U208" s="95"/>
      <c r="V208" s="95"/>
      <c r="W208" s="103"/>
      <c r="X208" s="103"/>
      <c r="Y208" s="103"/>
      <c r="Z208" s="104"/>
    </row>
    <row r="209" ht="49.5" customHeight="1">
      <c r="A209" s="90"/>
      <c r="B209" s="90" t="s">
        <v>2900</v>
      </c>
      <c r="C209" s="90">
        <f t="shared" si="30"/>
        <v>208</v>
      </c>
      <c r="D209" s="92" t="str">
        <f t="shared" si="1"/>
        <v>PP25-208</v>
      </c>
      <c r="E209" s="120">
        <v>45832.0</v>
      </c>
      <c r="F209" s="93"/>
      <c r="G209" s="93" t="s">
        <v>3010</v>
      </c>
      <c r="H209" s="94"/>
      <c r="I209" s="94"/>
      <c r="J209" s="95" t="s">
        <v>717</v>
      </c>
      <c r="K209" s="96">
        <v>2.79655E7</v>
      </c>
      <c r="L209" s="97">
        <f t="shared" si="62"/>
        <v>1482171.5</v>
      </c>
      <c r="M209" s="97">
        <f t="shared" si="46"/>
        <v>29447671.5</v>
      </c>
      <c r="N209" s="98">
        <f t="shared" si="61"/>
        <v>3239243.865</v>
      </c>
      <c r="O209" s="97">
        <f t="shared" si="48"/>
        <v>32686915.37</v>
      </c>
      <c r="P209" s="99"/>
      <c r="Q209" s="90" t="s">
        <v>3002</v>
      </c>
      <c r="R209" s="100"/>
      <c r="S209" s="101" t="str">
        <f t="shared" si="7"/>
        <v>#REF!</v>
      </c>
      <c r="T209" s="102" t="str">
        <f t="shared" si="8"/>
        <v>PP25-208</v>
      </c>
      <c r="U209" s="95"/>
      <c r="V209" s="95"/>
      <c r="W209" s="103"/>
      <c r="X209" s="103"/>
      <c r="Y209" s="103"/>
      <c r="Z209" s="104"/>
    </row>
    <row r="210" ht="49.5" customHeight="1">
      <c r="A210" s="90"/>
      <c r="B210" s="90" t="s">
        <v>2900</v>
      </c>
      <c r="C210" s="90">
        <f t="shared" si="30"/>
        <v>209</v>
      </c>
      <c r="D210" s="92" t="str">
        <f t="shared" si="1"/>
        <v>PP25-209</v>
      </c>
      <c r="E210" s="120">
        <v>45832.0</v>
      </c>
      <c r="F210" s="93"/>
      <c r="G210" s="93" t="s">
        <v>3010</v>
      </c>
      <c r="H210" s="94"/>
      <c r="I210" s="94"/>
      <c r="J210" s="95" t="s">
        <v>719</v>
      </c>
      <c r="K210" s="96">
        <v>3.36053617E8</v>
      </c>
      <c r="L210" s="97">
        <f t="shared" si="62"/>
        <v>17810841.7</v>
      </c>
      <c r="M210" s="97">
        <f t="shared" si="46"/>
        <v>353864458.7</v>
      </c>
      <c r="N210" s="98">
        <f t="shared" si="61"/>
        <v>38925090.46</v>
      </c>
      <c r="O210" s="97">
        <f t="shared" si="48"/>
        <v>392789549.2</v>
      </c>
      <c r="P210" s="99"/>
      <c r="Q210" s="90" t="s">
        <v>3002</v>
      </c>
      <c r="R210" s="100"/>
      <c r="S210" s="101" t="str">
        <f t="shared" si="7"/>
        <v>#REF!</v>
      </c>
      <c r="T210" s="102" t="str">
        <f t="shared" si="8"/>
        <v>PP25-209</v>
      </c>
      <c r="U210" s="95"/>
      <c r="V210" s="95"/>
      <c r="W210" s="103"/>
      <c r="X210" s="103"/>
      <c r="Y210" s="103"/>
      <c r="Z210" s="104"/>
    </row>
    <row r="211" ht="49.5" customHeight="1">
      <c r="A211" s="90"/>
      <c r="B211" s="90" t="s">
        <v>2900</v>
      </c>
      <c r="C211" s="90">
        <f t="shared" si="30"/>
        <v>210</v>
      </c>
      <c r="D211" s="92" t="str">
        <f t="shared" si="1"/>
        <v>PP25-210</v>
      </c>
      <c r="E211" s="120">
        <v>45839.0</v>
      </c>
      <c r="F211" s="93"/>
      <c r="G211" s="93" t="s">
        <v>3010</v>
      </c>
      <c r="H211" s="94"/>
      <c r="I211" s="94"/>
      <c r="J211" s="95" t="s">
        <v>721</v>
      </c>
      <c r="K211" s="96">
        <v>8.19941583E8</v>
      </c>
      <c r="L211" s="97"/>
      <c r="M211" s="97">
        <f t="shared" si="46"/>
        <v>819941583</v>
      </c>
      <c r="N211" s="98">
        <f t="shared" si="61"/>
        <v>90193574.13</v>
      </c>
      <c r="O211" s="97">
        <f t="shared" si="48"/>
        <v>910135157.1</v>
      </c>
      <c r="P211" s="99"/>
      <c r="Q211" s="90" t="s">
        <v>2903</v>
      </c>
      <c r="R211" s="100"/>
      <c r="S211" s="101" t="str">
        <f t="shared" si="7"/>
        <v>#REF!</v>
      </c>
      <c r="T211" s="102" t="str">
        <f t="shared" si="8"/>
        <v>PP25-210</v>
      </c>
      <c r="U211" s="95"/>
      <c r="V211" s="95"/>
      <c r="W211" s="103"/>
      <c r="X211" s="103"/>
      <c r="Y211" s="103"/>
      <c r="Z211" s="104"/>
    </row>
    <row r="212" ht="49.5" customHeight="1">
      <c r="A212" s="90"/>
      <c r="B212" s="90" t="s">
        <v>2900</v>
      </c>
      <c r="C212" s="90">
        <f t="shared" si="30"/>
        <v>211</v>
      </c>
      <c r="D212" s="92" t="str">
        <f t="shared" si="1"/>
        <v>PP25-211</v>
      </c>
      <c r="E212" s="120">
        <v>45839.0</v>
      </c>
      <c r="F212" s="93"/>
      <c r="G212" s="93" t="s">
        <v>3010</v>
      </c>
      <c r="H212" s="94"/>
      <c r="I212" s="94"/>
      <c r="J212" s="95" t="s">
        <v>723</v>
      </c>
      <c r="K212" s="96">
        <v>6.7472559E8</v>
      </c>
      <c r="L212" s="97"/>
      <c r="M212" s="97">
        <f t="shared" si="46"/>
        <v>674725590</v>
      </c>
      <c r="N212" s="98">
        <v>0.0</v>
      </c>
      <c r="O212" s="97">
        <f t="shared" si="48"/>
        <v>674725590</v>
      </c>
      <c r="P212" s="99"/>
      <c r="Q212" s="90" t="s">
        <v>2903</v>
      </c>
      <c r="R212" s="100"/>
      <c r="S212" s="101" t="str">
        <f t="shared" si="7"/>
        <v>#REF!</v>
      </c>
      <c r="T212" s="102" t="str">
        <f t="shared" si="8"/>
        <v>PP25-211</v>
      </c>
      <c r="U212" s="95"/>
      <c r="V212" s="95"/>
      <c r="W212" s="103"/>
      <c r="X212" s="103"/>
      <c r="Y212" s="103"/>
      <c r="Z212" s="103"/>
    </row>
    <row r="213" ht="49.5" customHeight="1">
      <c r="A213" s="90"/>
      <c r="B213" s="90" t="s">
        <v>2900</v>
      </c>
      <c r="C213" s="90">
        <f t="shared" si="30"/>
        <v>212</v>
      </c>
      <c r="D213" s="92" t="str">
        <f t="shared" si="1"/>
        <v>PP25-212</v>
      </c>
      <c r="E213" s="120">
        <v>45839.0</v>
      </c>
      <c r="F213" s="93"/>
      <c r="G213" s="93" t="s">
        <v>3010</v>
      </c>
      <c r="H213" s="94"/>
      <c r="I213" s="94"/>
      <c r="J213" s="95" t="s">
        <v>725</v>
      </c>
      <c r="K213" s="96">
        <v>3.7109907E7</v>
      </c>
      <c r="L213" s="97"/>
      <c r="M213" s="97">
        <f t="shared" si="46"/>
        <v>37109907</v>
      </c>
      <c r="N213" s="98">
        <f t="shared" ref="N213:N233" si="63">M213*11%</f>
        <v>4082089.77</v>
      </c>
      <c r="O213" s="97">
        <f t="shared" si="48"/>
        <v>41191996.77</v>
      </c>
      <c r="P213" s="99"/>
      <c r="Q213" s="90" t="s">
        <v>2903</v>
      </c>
      <c r="R213" s="100"/>
      <c r="S213" s="101" t="str">
        <f t="shared" si="7"/>
        <v>#REF!</v>
      </c>
      <c r="T213" s="102" t="str">
        <f t="shared" si="8"/>
        <v>PP25-212</v>
      </c>
      <c r="U213" s="95"/>
      <c r="V213" s="95"/>
      <c r="W213" s="103"/>
      <c r="X213" s="103"/>
      <c r="Y213" s="103"/>
      <c r="Z213" s="104"/>
    </row>
    <row r="214" ht="49.5" customHeight="1">
      <c r="A214" s="90"/>
      <c r="B214" s="90" t="s">
        <v>2900</v>
      </c>
      <c r="C214" s="90">
        <f t="shared" si="30"/>
        <v>213</v>
      </c>
      <c r="D214" s="92" t="str">
        <f t="shared" si="1"/>
        <v>PP25-213</v>
      </c>
      <c r="E214" s="120">
        <v>45839.0</v>
      </c>
      <c r="F214" s="93"/>
      <c r="G214" s="93" t="s">
        <v>3010</v>
      </c>
      <c r="H214" s="94"/>
      <c r="I214" s="94"/>
      <c r="J214" s="95" t="s">
        <v>727</v>
      </c>
      <c r="K214" s="96">
        <v>6.7830337E7</v>
      </c>
      <c r="L214" s="97">
        <f t="shared" ref="L214:L216" si="64">K214*6%</f>
        <v>4069820.22</v>
      </c>
      <c r="M214" s="97">
        <f t="shared" si="46"/>
        <v>71900157.22</v>
      </c>
      <c r="N214" s="98">
        <f t="shared" si="63"/>
        <v>7909017.294</v>
      </c>
      <c r="O214" s="97">
        <f t="shared" si="48"/>
        <v>79809174.51</v>
      </c>
      <c r="P214" s="99"/>
      <c r="Q214" s="90" t="s">
        <v>2903</v>
      </c>
      <c r="R214" s="100"/>
      <c r="S214" s="101" t="str">
        <f t="shared" si="7"/>
        <v>#REF!</v>
      </c>
      <c r="T214" s="102" t="str">
        <f t="shared" si="8"/>
        <v>PP25-213</v>
      </c>
      <c r="U214" s="95"/>
      <c r="V214" s="95"/>
      <c r="W214" s="103"/>
      <c r="X214" s="103"/>
      <c r="Y214" s="103"/>
      <c r="Z214" s="104"/>
    </row>
    <row r="215" ht="49.5" customHeight="1">
      <c r="A215" s="90"/>
      <c r="B215" s="90" t="s">
        <v>2900</v>
      </c>
      <c r="C215" s="90">
        <f t="shared" si="30"/>
        <v>214</v>
      </c>
      <c r="D215" s="92" t="str">
        <f t="shared" si="1"/>
        <v>PP25-214</v>
      </c>
      <c r="E215" s="120">
        <v>45838.0</v>
      </c>
      <c r="F215" s="93"/>
      <c r="G215" s="93" t="s">
        <v>3010</v>
      </c>
      <c r="H215" s="94"/>
      <c r="I215" s="94"/>
      <c r="J215" s="95" t="s">
        <v>729</v>
      </c>
      <c r="K215" s="96">
        <v>5.8946287E7</v>
      </c>
      <c r="L215" s="97">
        <f t="shared" si="64"/>
        <v>3536777.22</v>
      </c>
      <c r="M215" s="97">
        <f t="shared" si="46"/>
        <v>62483064.22</v>
      </c>
      <c r="N215" s="98">
        <f t="shared" si="63"/>
        <v>6873137.064</v>
      </c>
      <c r="O215" s="97">
        <f t="shared" si="48"/>
        <v>69356201.28</v>
      </c>
      <c r="P215" s="99"/>
      <c r="Q215" s="90" t="s">
        <v>2903</v>
      </c>
      <c r="R215" s="100"/>
      <c r="S215" s="101" t="str">
        <f t="shared" si="7"/>
        <v>#REF!</v>
      </c>
      <c r="T215" s="102" t="str">
        <f t="shared" si="8"/>
        <v>PP25-214</v>
      </c>
      <c r="U215" s="95"/>
      <c r="V215" s="95"/>
      <c r="W215" s="103"/>
      <c r="X215" s="103"/>
      <c r="Y215" s="103"/>
      <c r="Z215" s="104"/>
    </row>
    <row r="216" ht="49.5" customHeight="1">
      <c r="A216" s="90"/>
      <c r="B216" s="90" t="s">
        <v>2900</v>
      </c>
      <c r="C216" s="90">
        <f t="shared" si="30"/>
        <v>215</v>
      </c>
      <c r="D216" s="92" t="str">
        <f t="shared" si="1"/>
        <v>PP25-215</v>
      </c>
      <c r="E216" s="120">
        <v>45838.0</v>
      </c>
      <c r="F216" s="93"/>
      <c r="G216" s="93" t="s">
        <v>3010</v>
      </c>
      <c r="H216" s="94"/>
      <c r="I216" s="94"/>
      <c r="J216" s="95" t="s">
        <v>731</v>
      </c>
      <c r="K216" s="96">
        <v>4.19909799E8</v>
      </c>
      <c r="L216" s="97">
        <f t="shared" si="64"/>
        <v>25194587.94</v>
      </c>
      <c r="M216" s="97">
        <f t="shared" si="46"/>
        <v>445104386.9</v>
      </c>
      <c r="N216" s="98">
        <f t="shared" si="63"/>
        <v>48961482.56</v>
      </c>
      <c r="O216" s="97">
        <f t="shared" si="48"/>
        <v>494065869.5</v>
      </c>
      <c r="P216" s="99"/>
      <c r="Q216" s="90" t="s">
        <v>2903</v>
      </c>
      <c r="R216" s="100"/>
      <c r="S216" s="101" t="str">
        <f t="shared" si="7"/>
        <v>#REF!</v>
      </c>
      <c r="T216" s="102" t="str">
        <f t="shared" si="8"/>
        <v>PP25-215</v>
      </c>
      <c r="U216" s="95"/>
      <c r="V216" s="95"/>
      <c r="W216" s="103"/>
      <c r="X216" s="103"/>
      <c r="Y216" s="103"/>
      <c r="Z216" s="104"/>
    </row>
    <row r="217" ht="49.5" customHeight="1">
      <c r="A217" s="90"/>
      <c r="B217" s="90" t="s">
        <v>2900</v>
      </c>
      <c r="C217" s="90">
        <f t="shared" si="30"/>
        <v>216</v>
      </c>
      <c r="D217" s="92" t="str">
        <f t="shared" si="1"/>
        <v>PP25-216</v>
      </c>
      <c r="E217" s="120">
        <v>45839.0</v>
      </c>
      <c r="F217" s="93"/>
      <c r="G217" s="110" t="s">
        <v>3010</v>
      </c>
      <c r="H217" s="94"/>
      <c r="I217" s="94"/>
      <c r="J217" s="95" t="s">
        <v>733</v>
      </c>
      <c r="K217" s="96">
        <v>1.62385271E8</v>
      </c>
      <c r="L217" s="97">
        <f t="shared" ref="L217:L219" si="65">K217*5.3%</f>
        <v>8606419.363</v>
      </c>
      <c r="M217" s="97">
        <f t="shared" si="46"/>
        <v>170991690.4</v>
      </c>
      <c r="N217" s="98">
        <f t="shared" si="63"/>
        <v>18809085.94</v>
      </c>
      <c r="O217" s="97">
        <f t="shared" si="48"/>
        <v>189800776.3</v>
      </c>
      <c r="P217" s="99"/>
      <c r="Q217" s="109" t="s">
        <v>2949</v>
      </c>
      <c r="R217" s="100"/>
      <c r="S217" s="101" t="str">
        <f t="shared" si="7"/>
        <v>#REF!</v>
      </c>
      <c r="T217" s="102" t="str">
        <f t="shared" si="8"/>
        <v>PP25-216</v>
      </c>
      <c r="U217" s="95"/>
      <c r="V217" s="95"/>
      <c r="W217" s="103"/>
      <c r="X217" s="103"/>
      <c r="Y217" s="103"/>
      <c r="Z217" s="104"/>
    </row>
    <row r="218" ht="49.5" customHeight="1">
      <c r="A218" s="90"/>
      <c r="B218" s="90" t="s">
        <v>2900</v>
      </c>
      <c r="C218" s="90">
        <f t="shared" si="30"/>
        <v>217</v>
      </c>
      <c r="D218" s="92" t="str">
        <f t="shared" si="1"/>
        <v>PP25-217</v>
      </c>
      <c r="E218" s="120">
        <v>45839.0</v>
      </c>
      <c r="F218" s="93"/>
      <c r="G218" s="110" t="s">
        <v>3010</v>
      </c>
      <c r="H218" s="94"/>
      <c r="I218" s="94"/>
      <c r="J218" s="95" t="s">
        <v>735</v>
      </c>
      <c r="K218" s="96">
        <v>4.8368243E7</v>
      </c>
      <c r="L218" s="97">
        <f t="shared" si="65"/>
        <v>2563516.879</v>
      </c>
      <c r="M218" s="97">
        <f t="shared" si="46"/>
        <v>50931759.88</v>
      </c>
      <c r="N218" s="98">
        <f t="shared" si="63"/>
        <v>5602493.587</v>
      </c>
      <c r="O218" s="97">
        <f t="shared" si="48"/>
        <v>56534253.47</v>
      </c>
      <c r="P218" s="99"/>
      <c r="Q218" s="109" t="s">
        <v>2949</v>
      </c>
      <c r="R218" s="100"/>
      <c r="S218" s="101" t="str">
        <f t="shared" si="7"/>
        <v>#REF!</v>
      </c>
      <c r="T218" s="102" t="str">
        <f t="shared" si="8"/>
        <v>PP25-217</v>
      </c>
      <c r="U218" s="95"/>
      <c r="V218" s="95"/>
      <c r="W218" s="103"/>
      <c r="X218" s="103"/>
      <c r="Y218" s="103"/>
      <c r="Z218" s="104"/>
    </row>
    <row r="219" ht="49.5" customHeight="1">
      <c r="A219" s="90"/>
      <c r="B219" s="90" t="s">
        <v>2900</v>
      </c>
      <c r="C219" s="90">
        <f t="shared" si="30"/>
        <v>218</v>
      </c>
      <c r="D219" s="92" t="str">
        <f t="shared" si="1"/>
        <v>PP25-218</v>
      </c>
      <c r="E219" s="120">
        <v>45839.0</v>
      </c>
      <c r="F219" s="93"/>
      <c r="G219" s="110" t="s">
        <v>3010</v>
      </c>
      <c r="H219" s="94"/>
      <c r="I219" s="94"/>
      <c r="J219" s="95" t="s">
        <v>737</v>
      </c>
      <c r="K219" s="96">
        <v>3.5356832E7</v>
      </c>
      <c r="L219" s="97">
        <f t="shared" si="65"/>
        <v>1873912.096</v>
      </c>
      <c r="M219" s="97">
        <f t="shared" si="46"/>
        <v>37230744.1</v>
      </c>
      <c r="N219" s="98">
        <f t="shared" si="63"/>
        <v>4095381.851</v>
      </c>
      <c r="O219" s="97">
        <f t="shared" si="48"/>
        <v>41326125.95</v>
      </c>
      <c r="P219" s="131"/>
      <c r="Q219" s="109" t="s">
        <v>2949</v>
      </c>
      <c r="R219" s="100"/>
      <c r="S219" s="101" t="str">
        <f t="shared" si="7"/>
        <v>#REF!</v>
      </c>
      <c r="T219" s="102" t="str">
        <f t="shared" si="8"/>
        <v>PP25-218</v>
      </c>
      <c r="U219" s="95"/>
      <c r="V219" s="95"/>
      <c r="W219" s="103"/>
      <c r="X219" s="103"/>
      <c r="Y219" s="103"/>
      <c r="Z219" s="104"/>
    </row>
    <row r="220" ht="49.5" customHeight="1">
      <c r="A220" s="90"/>
      <c r="B220" s="90" t="s">
        <v>2900</v>
      </c>
      <c r="C220" s="90">
        <f t="shared" si="30"/>
        <v>219</v>
      </c>
      <c r="D220" s="92" t="str">
        <f t="shared" si="1"/>
        <v>PP25-219</v>
      </c>
      <c r="E220" s="120">
        <v>45839.0</v>
      </c>
      <c r="F220" s="93"/>
      <c r="G220" s="93" t="s">
        <v>3010</v>
      </c>
      <c r="H220" s="94"/>
      <c r="I220" s="94"/>
      <c r="J220" s="95" t="s">
        <v>1436</v>
      </c>
      <c r="K220" s="96">
        <v>2.43647798E8</v>
      </c>
      <c r="L220" s="97">
        <f t="shared" ref="L220:L221" si="66">K220*5.6%</f>
        <v>13644276.69</v>
      </c>
      <c r="M220" s="97">
        <f t="shared" si="46"/>
        <v>257292074.7</v>
      </c>
      <c r="N220" s="98">
        <f t="shared" si="63"/>
        <v>28302128.22</v>
      </c>
      <c r="O220" s="97">
        <f t="shared" si="48"/>
        <v>285594202.9</v>
      </c>
      <c r="P220" s="99"/>
      <c r="Q220" s="90" t="s">
        <v>2903</v>
      </c>
      <c r="R220" s="100"/>
      <c r="S220" s="101" t="str">
        <f t="shared" si="7"/>
        <v>#REF!</v>
      </c>
      <c r="T220" s="102" t="str">
        <f t="shared" si="8"/>
        <v>PP25-219</v>
      </c>
      <c r="U220" s="95"/>
      <c r="V220" s="95"/>
      <c r="W220" s="103"/>
      <c r="X220" s="103"/>
      <c r="Y220" s="103"/>
      <c r="Z220" s="104"/>
    </row>
    <row r="221" ht="49.5" customHeight="1">
      <c r="A221" s="90"/>
      <c r="B221" s="90" t="s">
        <v>2900</v>
      </c>
      <c r="C221" s="90">
        <f t="shared" si="30"/>
        <v>220</v>
      </c>
      <c r="D221" s="92" t="str">
        <f t="shared" si="1"/>
        <v>PP25-220</v>
      </c>
      <c r="E221" s="120">
        <v>45839.0</v>
      </c>
      <c r="F221" s="93"/>
      <c r="G221" s="93" t="s">
        <v>3010</v>
      </c>
      <c r="H221" s="94"/>
      <c r="I221" s="94"/>
      <c r="J221" s="95" t="s">
        <v>1442</v>
      </c>
      <c r="K221" s="96">
        <v>7.4712473E7</v>
      </c>
      <c r="L221" s="97">
        <f t="shared" si="66"/>
        <v>4183898.488</v>
      </c>
      <c r="M221" s="97">
        <f t="shared" si="46"/>
        <v>78896371.49</v>
      </c>
      <c r="N221" s="98">
        <f t="shared" si="63"/>
        <v>8678600.864</v>
      </c>
      <c r="O221" s="97">
        <f t="shared" si="48"/>
        <v>87574972.35</v>
      </c>
      <c r="P221" s="99"/>
      <c r="Q221" s="90" t="s">
        <v>2903</v>
      </c>
      <c r="R221" s="100"/>
      <c r="S221" s="101" t="str">
        <f t="shared" si="7"/>
        <v>#REF!</v>
      </c>
      <c r="T221" s="102" t="str">
        <f t="shared" si="8"/>
        <v>PP25-220</v>
      </c>
      <c r="U221" s="95"/>
      <c r="V221" s="95"/>
      <c r="W221" s="103"/>
      <c r="X221" s="103"/>
      <c r="Y221" s="103"/>
      <c r="Z221" s="104"/>
    </row>
    <row r="222" ht="49.5" customHeight="1">
      <c r="A222" s="90"/>
      <c r="B222" s="90" t="s">
        <v>2900</v>
      </c>
      <c r="C222" s="90">
        <f t="shared" si="30"/>
        <v>221</v>
      </c>
      <c r="D222" s="92" t="str">
        <f t="shared" si="1"/>
        <v>PP25-221</v>
      </c>
      <c r="E222" s="120">
        <v>45839.0</v>
      </c>
      <c r="F222" s="93"/>
      <c r="G222" s="93" t="s">
        <v>3010</v>
      </c>
      <c r="H222" s="94"/>
      <c r="I222" s="94"/>
      <c r="J222" s="95" t="s">
        <v>1448</v>
      </c>
      <c r="K222" s="96">
        <v>3.55786286E8</v>
      </c>
      <c r="L222" s="97"/>
      <c r="M222" s="97">
        <f t="shared" si="46"/>
        <v>355786286</v>
      </c>
      <c r="N222" s="98">
        <f t="shared" si="63"/>
        <v>39136491.46</v>
      </c>
      <c r="O222" s="97">
        <f t="shared" si="48"/>
        <v>394922777.5</v>
      </c>
      <c r="P222" s="99"/>
      <c r="Q222" s="109" t="s">
        <v>2934</v>
      </c>
      <c r="R222" s="100"/>
      <c r="S222" s="101" t="str">
        <f t="shared" si="7"/>
        <v>#REF!</v>
      </c>
      <c r="T222" s="102" t="str">
        <f t="shared" si="8"/>
        <v>PP25-221</v>
      </c>
      <c r="U222" s="95"/>
      <c r="V222" s="95"/>
      <c r="W222" s="103"/>
      <c r="X222" s="103"/>
      <c r="Y222" s="103"/>
      <c r="Z222" s="104"/>
    </row>
    <row r="223" ht="49.5" customHeight="1">
      <c r="A223" s="90"/>
      <c r="B223" s="90" t="s">
        <v>2900</v>
      </c>
      <c r="C223" s="90">
        <f t="shared" si="30"/>
        <v>222</v>
      </c>
      <c r="D223" s="92" t="str">
        <f t="shared" si="1"/>
        <v>PP25-222</v>
      </c>
      <c r="E223" s="120">
        <v>45839.0</v>
      </c>
      <c r="F223" s="93"/>
      <c r="G223" s="93" t="s">
        <v>3010</v>
      </c>
      <c r="H223" s="94"/>
      <c r="I223" s="94"/>
      <c r="J223" s="95" t="s">
        <v>1453</v>
      </c>
      <c r="K223" s="96">
        <v>1.7973186E7</v>
      </c>
      <c r="L223" s="97"/>
      <c r="M223" s="97">
        <f t="shared" si="46"/>
        <v>17973186</v>
      </c>
      <c r="N223" s="98">
        <f t="shared" si="63"/>
        <v>1977050.46</v>
      </c>
      <c r="O223" s="97">
        <f t="shared" si="48"/>
        <v>19950236.46</v>
      </c>
      <c r="P223" s="99"/>
      <c r="Q223" s="109" t="s">
        <v>2934</v>
      </c>
      <c r="R223" s="100"/>
      <c r="S223" s="101" t="str">
        <f t="shared" si="7"/>
        <v>#REF!</v>
      </c>
      <c r="T223" s="102" t="str">
        <f t="shared" si="8"/>
        <v>PP25-222</v>
      </c>
      <c r="U223" s="95"/>
      <c r="V223" s="95"/>
      <c r="W223" s="103"/>
      <c r="X223" s="103"/>
      <c r="Y223" s="103"/>
      <c r="Z223" s="104"/>
    </row>
    <row r="224" ht="49.5" customHeight="1">
      <c r="A224" s="90"/>
      <c r="B224" s="90" t="s">
        <v>2900</v>
      </c>
      <c r="C224" s="90">
        <f t="shared" si="30"/>
        <v>223</v>
      </c>
      <c r="D224" s="92" t="str">
        <f t="shared" si="1"/>
        <v>PP25-223</v>
      </c>
      <c r="E224" s="120">
        <v>45839.0</v>
      </c>
      <c r="F224" s="93"/>
      <c r="G224" s="93" t="s">
        <v>3010</v>
      </c>
      <c r="H224" s="94"/>
      <c r="I224" s="94"/>
      <c r="J224" s="95" t="s">
        <v>1458</v>
      </c>
      <c r="K224" s="96">
        <v>6.7407297E7</v>
      </c>
      <c r="L224" s="97"/>
      <c r="M224" s="97">
        <f t="shared" si="46"/>
        <v>67407297</v>
      </c>
      <c r="N224" s="98">
        <f t="shared" si="63"/>
        <v>7414802.67</v>
      </c>
      <c r="O224" s="97">
        <f t="shared" si="48"/>
        <v>74822099.67</v>
      </c>
      <c r="P224" s="99"/>
      <c r="Q224" s="109" t="s">
        <v>2934</v>
      </c>
      <c r="R224" s="100"/>
      <c r="S224" s="101" t="str">
        <f t="shared" si="7"/>
        <v>#REF!</v>
      </c>
      <c r="T224" s="102" t="str">
        <f t="shared" si="8"/>
        <v>PP25-223</v>
      </c>
      <c r="U224" s="95"/>
      <c r="V224" s="95"/>
      <c r="W224" s="103"/>
      <c r="X224" s="103"/>
      <c r="Y224" s="103"/>
      <c r="Z224" s="104"/>
    </row>
    <row r="225" ht="49.5" customHeight="1">
      <c r="A225" s="90"/>
      <c r="B225" s="90" t="s">
        <v>2900</v>
      </c>
      <c r="C225" s="90">
        <f t="shared" si="30"/>
        <v>224</v>
      </c>
      <c r="D225" s="92" t="str">
        <f t="shared" si="1"/>
        <v>PP25-224</v>
      </c>
      <c r="E225" s="120">
        <v>45839.0</v>
      </c>
      <c r="F225" s="93"/>
      <c r="G225" s="93" t="s">
        <v>3010</v>
      </c>
      <c r="H225" s="94"/>
      <c r="I225" s="94"/>
      <c r="J225" s="95" t="s">
        <v>1463</v>
      </c>
      <c r="K225" s="96">
        <v>4.1818705E7</v>
      </c>
      <c r="L225" s="97"/>
      <c r="M225" s="97">
        <f t="shared" si="46"/>
        <v>41818705</v>
      </c>
      <c r="N225" s="98">
        <f t="shared" si="63"/>
        <v>4600057.55</v>
      </c>
      <c r="O225" s="97">
        <f t="shared" si="48"/>
        <v>46418762.55</v>
      </c>
      <c r="P225" s="99"/>
      <c r="Q225" s="109" t="s">
        <v>2934</v>
      </c>
      <c r="R225" s="100"/>
      <c r="S225" s="101" t="str">
        <f t="shared" si="7"/>
        <v>#REF!</v>
      </c>
      <c r="T225" s="102" t="str">
        <f t="shared" si="8"/>
        <v>PP25-224</v>
      </c>
      <c r="U225" s="95"/>
      <c r="V225" s="95"/>
      <c r="W225" s="103"/>
      <c r="X225" s="103"/>
      <c r="Y225" s="103"/>
      <c r="Z225" s="104"/>
    </row>
    <row r="226" ht="49.5" customHeight="1">
      <c r="A226" s="90"/>
      <c r="B226" s="90" t="s">
        <v>2900</v>
      </c>
      <c r="C226" s="90">
        <f t="shared" si="30"/>
        <v>225</v>
      </c>
      <c r="D226" s="92" t="str">
        <f t="shared" si="1"/>
        <v>PP25-225</v>
      </c>
      <c r="E226" s="120">
        <v>45839.0</v>
      </c>
      <c r="F226" s="93"/>
      <c r="G226" s="93" t="s">
        <v>3010</v>
      </c>
      <c r="H226" s="94"/>
      <c r="I226" s="94"/>
      <c r="J226" s="95" t="s">
        <v>1468</v>
      </c>
      <c r="K226" s="96">
        <v>5.597985E7</v>
      </c>
      <c r="L226" s="97"/>
      <c r="M226" s="97">
        <f t="shared" si="46"/>
        <v>55979850</v>
      </c>
      <c r="N226" s="98">
        <f t="shared" si="63"/>
        <v>6157783.5</v>
      </c>
      <c r="O226" s="97">
        <f t="shared" si="48"/>
        <v>62137633.5</v>
      </c>
      <c r="P226" s="99"/>
      <c r="Q226" s="109" t="s">
        <v>2934</v>
      </c>
      <c r="R226" s="100"/>
      <c r="S226" s="101" t="str">
        <f t="shared" si="7"/>
        <v>#REF!</v>
      </c>
      <c r="T226" s="102" t="str">
        <f t="shared" si="8"/>
        <v>PP25-225</v>
      </c>
      <c r="U226" s="95"/>
      <c r="V226" s="95"/>
      <c r="W226" s="103"/>
      <c r="X226" s="103"/>
      <c r="Y226" s="103"/>
      <c r="Z226" s="104"/>
    </row>
    <row r="227" ht="49.5" customHeight="1">
      <c r="A227" s="90"/>
      <c r="B227" s="90" t="s">
        <v>2900</v>
      </c>
      <c r="C227" s="90">
        <f t="shared" si="30"/>
        <v>226</v>
      </c>
      <c r="D227" s="92" t="str">
        <f t="shared" si="1"/>
        <v>PP25-226</v>
      </c>
      <c r="E227" s="120">
        <v>45839.0</v>
      </c>
      <c r="F227" s="93"/>
      <c r="G227" s="93" t="s">
        <v>3010</v>
      </c>
      <c r="H227" s="94"/>
      <c r="I227" s="94"/>
      <c r="J227" s="95" t="s">
        <v>1473</v>
      </c>
      <c r="K227" s="96">
        <v>7677048.0</v>
      </c>
      <c r="L227" s="97"/>
      <c r="M227" s="97">
        <f t="shared" si="46"/>
        <v>7677048</v>
      </c>
      <c r="N227" s="98">
        <f t="shared" si="63"/>
        <v>844475.28</v>
      </c>
      <c r="O227" s="97">
        <f t="shared" si="48"/>
        <v>8521523.28</v>
      </c>
      <c r="P227" s="99"/>
      <c r="Q227" s="109" t="s">
        <v>2934</v>
      </c>
      <c r="R227" s="100"/>
      <c r="S227" s="101" t="str">
        <f t="shared" si="7"/>
        <v>#REF!</v>
      </c>
      <c r="T227" s="102" t="str">
        <f t="shared" si="8"/>
        <v>PP25-226</v>
      </c>
      <c r="U227" s="95"/>
      <c r="V227" s="95"/>
      <c r="W227" s="103"/>
      <c r="X227" s="103"/>
      <c r="Y227" s="103"/>
      <c r="Z227" s="104"/>
    </row>
    <row r="228" ht="49.5" customHeight="1">
      <c r="A228" s="90"/>
      <c r="B228" s="90" t="s">
        <v>2900</v>
      </c>
      <c r="C228" s="90">
        <f t="shared" si="30"/>
        <v>227</v>
      </c>
      <c r="D228" s="92" t="str">
        <f t="shared" si="1"/>
        <v>PP25-227</v>
      </c>
      <c r="E228" s="120">
        <v>45840.0</v>
      </c>
      <c r="F228" s="93"/>
      <c r="G228" s="93" t="s">
        <v>3010</v>
      </c>
      <c r="H228" s="94"/>
      <c r="I228" s="94"/>
      <c r="J228" s="95" t="s">
        <v>769</v>
      </c>
      <c r="K228" s="96">
        <v>4.9295913E7</v>
      </c>
      <c r="L228" s="97">
        <f t="shared" ref="L228:L230" si="67">K228*6%</f>
        <v>2957754.78</v>
      </c>
      <c r="M228" s="97">
        <f t="shared" si="46"/>
        <v>52253667.78</v>
      </c>
      <c r="N228" s="98">
        <f t="shared" si="63"/>
        <v>5747903.456</v>
      </c>
      <c r="O228" s="97">
        <f t="shared" si="48"/>
        <v>58001571.24</v>
      </c>
      <c r="P228" s="99"/>
      <c r="Q228" s="109" t="s">
        <v>2934</v>
      </c>
      <c r="R228" s="100"/>
      <c r="S228" s="101" t="str">
        <f t="shared" si="7"/>
        <v>#REF!</v>
      </c>
      <c r="T228" s="102" t="str">
        <f t="shared" si="8"/>
        <v>PP25-227</v>
      </c>
      <c r="U228" s="95"/>
      <c r="V228" s="95"/>
      <c r="W228" s="103"/>
      <c r="X228" s="103"/>
      <c r="Y228" s="103"/>
      <c r="Z228" s="104"/>
    </row>
    <row r="229" ht="49.5" customHeight="1">
      <c r="A229" s="90"/>
      <c r="B229" s="90" t="s">
        <v>2900</v>
      </c>
      <c r="C229" s="90">
        <f t="shared" si="30"/>
        <v>228</v>
      </c>
      <c r="D229" s="92" t="str">
        <f t="shared" si="1"/>
        <v>PP25-228</v>
      </c>
      <c r="E229" s="120">
        <v>45840.0</v>
      </c>
      <c r="F229" s="93"/>
      <c r="G229" s="93" t="s">
        <v>3010</v>
      </c>
      <c r="H229" s="94"/>
      <c r="I229" s="94"/>
      <c r="J229" s="95" t="s">
        <v>771</v>
      </c>
      <c r="K229" s="96">
        <v>3.6354562E7</v>
      </c>
      <c r="L229" s="97">
        <f t="shared" si="67"/>
        <v>2181273.72</v>
      </c>
      <c r="M229" s="97">
        <f t="shared" si="46"/>
        <v>38535835.72</v>
      </c>
      <c r="N229" s="98">
        <f t="shared" si="63"/>
        <v>4238941.929</v>
      </c>
      <c r="O229" s="97">
        <f t="shared" si="48"/>
        <v>42774777.65</v>
      </c>
      <c r="P229" s="95"/>
      <c r="Q229" s="109" t="s">
        <v>2934</v>
      </c>
      <c r="R229" s="100"/>
      <c r="S229" s="101" t="str">
        <f t="shared" si="7"/>
        <v>#REF!</v>
      </c>
      <c r="T229" s="102" t="str">
        <f t="shared" si="8"/>
        <v>PP25-228</v>
      </c>
      <c r="U229" s="95"/>
      <c r="V229" s="95"/>
      <c r="W229" s="103"/>
      <c r="X229" s="103"/>
      <c r="Y229" s="103"/>
      <c r="Z229" s="104"/>
    </row>
    <row r="230" ht="49.5" customHeight="1">
      <c r="A230" s="90"/>
      <c r="B230" s="90" t="s">
        <v>2900</v>
      </c>
      <c r="C230" s="90">
        <f t="shared" si="30"/>
        <v>229</v>
      </c>
      <c r="D230" s="92" t="str">
        <f t="shared" si="1"/>
        <v>PP25-229</v>
      </c>
      <c r="E230" s="120">
        <v>45840.0</v>
      </c>
      <c r="F230" s="93"/>
      <c r="G230" s="93" t="s">
        <v>3010</v>
      </c>
      <c r="H230" s="94"/>
      <c r="I230" s="94"/>
      <c r="J230" s="95" t="s">
        <v>773</v>
      </c>
      <c r="K230" s="96">
        <v>1.34524101E8</v>
      </c>
      <c r="L230" s="97">
        <f t="shared" si="67"/>
        <v>8071446.06</v>
      </c>
      <c r="M230" s="97">
        <f t="shared" si="46"/>
        <v>142595547.1</v>
      </c>
      <c r="N230" s="98">
        <f t="shared" si="63"/>
        <v>15685510.18</v>
      </c>
      <c r="O230" s="97">
        <f t="shared" si="48"/>
        <v>158281057.2</v>
      </c>
      <c r="P230" s="99"/>
      <c r="Q230" s="109" t="s">
        <v>2934</v>
      </c>
      <c r="R230" s="100"/>
      <c r="S230" s="101" t="str">
        <f t="shared" si="7"/>
        <v>#REF!</v>
      </c>
      <c r="T230" s="102" t="str">
        <f t="shared" si="8"/>
        <v>PP25-229</v>
      </c>
      <c r="U230" s="95"/>
      <c r="V230" s="95"/>
      <c r="W230" s="103"/>
      <c r="X230" s="103"/>
      <c r="Y230" s="103"/>
      <c r="Z230" s="103"/>
    </row>
    <row r="231" ht="49.5" customHeight="1">
      <c r="A231" s="90"/>
      <c r="B231" s="90" t="s">
        <v>2900</v>
      </c>
      <c r="C231" s="90">
        <f t="shared" si="30"/>
        <v>230</v>
      </c>
      <c r="D231" s="92" t="str">
        <f t="shared" si="1"/>
        <v>PP25-230</v>
      </c>
      <c r="E231" s="120">
        <v>45840.0</v>
      </c>
      <c r="F231" s="93"/>
      <c r="G231" s="110" t="s">
        <v>3010</v>
      </c>
      <c r="H231" s="94"/>
      <c r="I231" s="94"/>
      <c r="J231" s="95" t="s">
        <v>775</v>
      </c>
      <c r="K231" s="96">
        <v>3.0775366E7</v>
      </c>
      <c r="L231" s="97">
        <f>K231*5.3%</f>
        <v>1631094.398</v>
      </c>
      <c r="M231" s="97">
        <f t="shared" si="46"/>
        <v>32406460.4</v>
      </c>
      <c r="N231" s="98">
        <f t="shared" si="63"/>
        <v>3564710.644</v>
      </c>
      <c r="O231" s="97">
        <f t="shared" si="48"/>
        <v>35971171.04</v>
      </c>
      <c r="P231" s="99"/>
      <c r="Q231" s="109" t="s">
        <v>2949</v>
      </c>
      <c r="R231" s="100"/>
      <c r="S231" s="101" t="str">
        <f t="shared" si="7"/>
        <v>#REF!</v>
      </c>
      <c r="T231" s="102" t="str">
        <f t="shared" si="8"/>
        <v>PP25-230</v>
      </c>
      <c r="U231" s="95"/>
      <c r="V231" s="95"/>
      <c r="W231" s="103"/>
      <c r="X231" s="103"/>
      <c r="Y231" s="103"/>
      <c r="Z231" s="104"/>
    </row>
    <row r="232" ht="49.5" customHeight="1">
      <c r="A232" s="90"/>
      <c r="B232" s="90" t="s">
        <v>2900</v>
      </c>
      <c r="C232" s="90">
        <f t="shared" si="30"/>
        <v>231</v>
      </c>
      <c r="D232" s="92" t="str">
        <f t="shared" si="1"/>
        <v>PP25-231</v>
      </c>
      <c r="E232" s="120">
        <v>45842.0</v>
      </c>
      <c r="F232" s="93"/>
      <c r="G232" s="93" t="s">
        <v>3010</v>
      </c>
      <c r="H232" s="94"/>
      <c r="I232" s="94"/>
      <c r="J232" s="95" t="s">
        <v>777</v>
      </c>
      <c r="K232" s="96">
        <v>3.12388782E8</v>
      </c>
      <c r="L232" s="97">
        <f>K232*6.3%</f>
        <v>19680493.27</v>
      </c>
      <c r="M232" s="97">
        <f t="shared" si="46"/>
        <v>332069275.3</v>
      </c>
      <c r="N232" s="98">
        <f t="shared" si="63"/>
        <v>36527620.28</v>
      </c>
      <c r="O232" s="97">
        <f t="shared" si="48"/>
        <v>368596895.5</v>
      </c>
      <c r="P232" s="99"/>
      <c r="Q232" s="109" t="s">
        <v>21</v>
      </c>
      <c r="R232" s="100" t="str">
        <f>VLOOKUP(D232,'[1]NSFP KPPE'!$A$5:$E$1000,5,FALSE)</f>
        <v>#REF!</v>
      </c>
      <c r="S232" s="101" t="str">
        <f t="shared" si="7"/>
        <v>#REF!</v>
      </c>
      <c r="T232" s="102" t="str">
        <f t="shared" si="8"/>
        <v>PP25-231</v>
      </c>
      <c r="U232" s="95"/>
      <c r="V232" s="95"/>
      <c r="W232" s="103"/>
      <c r="X232" s="103"/>
      <c r="Y232" s="103"/>
      <c r="Z232" s="103"/>
    </row>
    <row r="233" ht="49.5" customHeight="1">
      <c r="A233" s="90"/>
      <c r="B233" s="90" t="s">
        <v>2900</v>
      </c>
      <c r="C233" s="90">
        <f t="shared" si="30"/>
        <v>232</v>
      </c>
      <c r="D233" s="92" t="str">
        <f t="shared" si="1"/>
        <v>PP25-232</v>
      </c>
      <c r="E233" s="120">
        <v>45842.0</v>
      </c>
      <c r="F233" s="93"/>
      <c r="G233" s="93" t="s">
        <v>72</v>
      </c>
      <c r="H233" s="94"/>
      <c r="I233" s="94"/>
      <c r="J233" s="95" t="s">
        <v>779</v>
      </c>
      <c r="K233" s="96">
        <v>3.7001586E7</v>
      </c>
      <c r="L233" s="97">
        <f>K233*12%</f>
        <v>4440190.32</v>
      </c>
      <c r="M233" s="97">
        <f t="shared" si="46"/>
        <v>41441776.32</v>
      </c>
      <c r="N233" s="98">
        <f t="shared" si="63"/>
        <v>4558595.395</v>
      </c>
      <c r="O233" s="97">
        <f t="shared" si="48"/>
        <v>46000371.72</v>
      </c>
      <c r="P233" s="99"/>
      <c r="Q233" s="109" t="s">
        <v>77</v>
      </c>
      <c r="R233" s="100"/>
      <c r="S233" s="101" t="str">
        <f t="shared" si="7"/>
        <v>#REF!</v>
      </c>
      <c r="T233" s="102" t="str">
        <f t="shared" si="8"/>
        <v>PP25-232</v>
      </c>
      <c r="U233" s="95"/>
      <c r="V233" s="95"/>
      <c r="W233" s="103"/>
      <c r="X233" s="103"/>
      <c r="Y233" s="103"/>
      <c r="Z233" s="104"/>
    </row>
    <row r="234" ht="49.5" customHeight="1">
      <c r="A234" s="90"/>
      <c r="B234" s="90" t="s">
        <v>2900</v>
      </c>
      <c r="C234" s="90">
        <f t="shared" si="30"/>
        <v>233</v>
      </c>
      <c r="D234" s="92" t="str">
        <f t="shared" si="1"/>
        <v>PP25-233</v>
      </c>
      <c r="E234" s="120">
        <v>45845.0</v>
      </c>
      <c r="F234" s="93"/>
      <c r="G234" s="93" t="s">
        <v>3010</v>
      </c>
      <c r="H234" s="94"/>
      <c r="I234" s="94"/>
      <c r="J234" s="95" t="s">
        <v>1502</v>
      </c>
      <c r="K234" s="96">
        <v>1.7233819E7</v>
      </c>
      <c r="L234" s="97">
        <f t="shared" ref="L234:L238" si="68">K234*7.5%</f>
        <v>1292536.425</v>
      </c>
      <c r="M234" s="97"/>
      <c r="N234" s="98"/>
      <c r="O234" s="97"/>
      <c r="P234" s="99"/>
      <c r="Q234" s="90" t="s">
        <v>2903</v>
      </c>
      <c r="R234" s="100"/>
      <c r="S234" s="101" t="str">
        <f t="shared" si="7"/>
        <v>#REF!</v>
      </c>
      <c r="T234" s="102" t="str">
        <f t="shared" si="8"/>
        <v>PP25-233</v>
      </c>
      <c r="U234" s="95"/>
      <c r="V234" s="95"/>
      <c r="W234" s="103"/>
      <c r="X234" s="103"/>
      <c r="Y234" s="103"/>
      <c r="Z234" s="104"/>
    </row>
    <row r="235" ht="49.5" customHeight="1">
      <c r="A235" s="90"/>
      <c r="B235" s="90" t="s">
        <v>2900</v>
      </c>
      <c r="C235" s="90">
        <f t="shared" si="30"/>
        <v>234</v>
      </c>
      <c r="D235" s="92" t="str">
        <f t="shared" si="1"/>
        <v>PP25-234</v>
      </c>
      <c r="E235" s="120">
        <v>45845.0</v>
      </c>
      <c r="F235" s="93"/>
      <c r="G235" s="93" t="s">
        <v>3010</v>
      </c>
      <c r="H235" s="94"/>
      <c r="I235" s="94"/>
      <c r="J235" s="95" t="s">
        <v>1504</v>
      </c>
      <c r="K235" s="96">
        <v>1.8691284E7</v>
      </c>
      <c r="L235" s="97">
        <f t="shared" si="68"/>
        <v>1401846.3</v>
      </c>
      <c r="M235" s="97">
        <f t="shared" ref="M235:M296" si="69">K235+L235</f>
        <v>20093130.3</v>
      </c>
      <c r="N235" s="98">
        <f t="shared" ref="N235:N239" si="70">M235*11%</f>
        <v>2210244.333</v>
      </c>
      <c r="O235" s="97">
        <f t="shared" ref="O235:O246" si="71">M235+N235</f>
        <v>22303374.63</v>
      </c>
      <c r="P235" s="131"/>
      <c r="Q235" s="90" t="s">
        <v>2903</v>
      </c>
      <c r="R235" s="100"/>
      <c r="S235" s="101" t="str">
        <f t="shared" si="7"/>
        <v>#REF!</v>
      </c>
      <c r="T235" s="102" t="str">
        <f t="shared" si="8"/>
        <v>PP25-234</v>
      </c>
      <c r="U235" s="95"/>
      <c r="V235" s="95"/>
      <c r="W235" s="103"/>
      <c r="X235" s="103"/>
      <c r="Y235" s="103"/>
      <c r="Z235" s="104"/>
    </row>
    <row r="236" ht="49.5" customHeight="1">
      <c r="A236" s="90"/>
      <c r="B236" s="90" t="s">
        <v>2900</v>
      </c>
      <c r="C236" s="90">
        <f t="shared" si="30"/>
        <v>235</v>
      </c>
      <c r="D236" s="92" t="str">
        <f t="shared" si="1"/>
        <v>PP25-235</v>
      </c>
      <c r="E236" s="120">
        <v>45845.0</v>
      </c>
      <c r="F236" s="93"/>
      <c r="G236" s="93" t="s">
        <v>3010</v>
      </c>
      <c r="H236" s="94"/>
      <c r="I236" s="94"/>
      <c r="J236" s="95" t="s">
        <v>1506</v>
      </c>
      <c r="K236" s="96">
        <v>8575265.0</v>
      </c>
      <c r="L236" s="97">
        <f t="shared" si="68"/>
        <v>643144.875</v>
      </c>
      <c r="M236" s="97">
        <f t="shared" si="69"/>
        <v>9218409.875</v>
      </c>
      <c r="N236" s="98">
        <f t="shared" si="70"/>
        <v>1014025.086</v>
      </c>
      <c r="O236" s="97">
        <f t="shared" si="71"/>
        <v>10232434.96</v>
      </c>
      <c r="P236" s="99"/>
      <c r="Q236" s="90" t="s">
        <v>2903</v>
      </c>
      <c r="R236" s="100"/>
      <c r="S236" s="101" t="str">
        <f t="shared" si="7"/>
        <v>#REF!</v>
      </c>
      <c r="T236" s="102" t="str">
        <f t="shared" si="8"/>
        <v>PP25-235</v>
      </c>
      <c r="U236" s="95"/>
      <c r="V236" s="95"/>
      <c r="W236" s="103"/>
      <c r="X236" s="103"/>
      <c r="Y236" s="103"/>
      <c r="Z236" s="104"/>
    </row>
    <row r="237" ht="49.5" customHeight="1">
      <c r="A237" s="90"/>
      <c r="B237" s="90" t="s">
        <v>2900</v>
      </c>
      <c r="C237" s="90">
        <f t="shared" si="30"/>
        <v>236</v>
      </c>
      <c r="D237" s="92" t="str">
        <f t="shared" si="1"/>
        <v>PP25-236</v>
      </c>
      <c r="E237" s="120">
        <v>45845.0</v>
      </c>
      <c r="F237" s="93"/>
      <c r="G237" s="93" t="s">
        <v>3010</v>
      </c>
      <c r="H237" s="94"/>
      <c r="I237" s="94"/>
      <c r="J237" s="95" t="s">
        <v>1511</v>
      </c>
      <c r="K237" s="96">
        <v>8616910.0</v>
      </c>
      <c r="L237" s="97">
        <f t="shared" si="68"/>
        <v>646268.25</v>
      </c>
      <c r="M237" s="97">
        <f t="shared" si="69"/>
        <v>9263178.25</v>
      </c>
      <c r="N237" s="98">
        <f t="shared" si="70"/>
        <v>1018949.608</v>
      </c>
      <c r="O237" s="97">
        <f t="shared" si="71"/>
        <v>10282127.86</v>
      </c>
      <c r="P237" s="99"/>
      <c r="Q237" s="90" t="s">
        <v>2903</v>
      </c>
      <c r="R237" s="100"/>
      <c r="S237" s="101" t="str">
        <f t="shared" si="7"/>
        <v>#REF!</v>
      </c>
      <c r="T237" s="102" t="str">
        <f t="shared" si="8"/>
        <v>PP25-236</v>
      </c>
      <c r="U237" s="95"/>
      <c r="V237" s="95"/>
      <c r="W237" s="103"/>
      <c r="X237" s="103"/>
      <c r="Y237" s="103"/>
      <c r="Z237" s="104"/>
    </row>
    <row r="238" ht="49.5" customHeight="1">
      <c r="A238" s="90"/>
      <c r="B238" s="90" t="s">
        <v>2900</v>
      </c>
      <c r="C238" s="90">
        <f t="shared" si="30"/>
        <v>237</v>
      </c>
      <c r="D238" s="92" t="str">
        <f t="shared" si="1"/>
        <v>PP25-237</v>
      </c>
      <c r="E238" s="120">
        <v>45845.0</v>
      </c>
      <c r="F238" s="93"/>
      <c r="G238" s="93" t="s">
        <v>3010</v>
      </c>
      <c r="H238" s="94"/>
      <c r="I238" s="94"/>
      <c r="J238" s="95" t="s">
        <v>1513</v>
      </c>
      <c r="K238" s="96">
        <v>8616910.0</v>
      </c>
      <c r="L238" s="97">
        <f t="shared" si="68"/>
        <v>646268.25</v>
      </c>
      <c r="M238" s="97">
        <f t="shared" si="69"/>
        <v>9263178.25</v>
      </c>
      <c r="N238" s="98">
        <f t="shared" si="70"/>
        <v>1018949.608</v>
      </c>
      <c r="O238" s="97">
        <f t="shared" si="71"/>
        <v>10282127.86</v>
      </c>
      <c r="P238" s="99"/>
      <c r="Q238" s="90" t="s">
        <v>2903</v>
      </c>
      <c r="R238" s="100"/>
      <c r="S238" s="101" t="str">
        <f t="shared" si="7"/>
        <v>#REF!</v>
      </c>
      <c r="T238" s="102" t="str">
        <f t="shared" si="8"/>
        <v>PP25-237</v>
      </c>
      <c r="U238" s="95"/>
      <c r="V238" s="95"/>
      <c r="W238" s="103"/>
      <c r="X238" s="103"/>
      <c r="Y238" s="103"/>
      <c r="Z238" s="104"/>
    </row>
    <row r="239" ht="49.5" customHeight="1">
      <c r="A239" s="90"/>
      <c r="B239" s="90" t="s">
        <v>2900</v>
      </c>
      <c r="C239" s="90">
        <f t="shared" si="30"/>
        <v>238</v>
      </c>
      <c r="D239" s="92" t="str">
        <f t="shared" si="1"/>
        <v>PP25-238</v>
      </c>
      <c r="E239" s="120">
        <v>45845.0</v>
      </c>
      <c r="F239" s="93"/>
      <c r="G239" s="116" t="s">
        <v>238</v>
      </c>
      <c r="H239" s="94"/>
      <c r="I239" s="94"/>
      <c r="J239" s="95" t="s">
        <v>797</v>
      </c>
      <c r="K239" s="96">
        <v>9.3531782E7</v>
      </c>
      <c r="L239" s="97">
        <f>K239*10%</f>
        <v>9353178.2</v>
      </c>
      <c r="M239" s="97">
        <f t="shared" si="69"/>
        <v>102884960.2</v>
      </c>
      <c r="N239" s="98">
        <f t="shared" si="70"/>
        <v>11317345.62</v>
      </c>
      <c r="O239" s="97">
        <f t="shared" si="71"/>
        <v>114202305.8</v>
      </c>
      <c r="P239" s="99"/>
      <c r="Q239" s="90" t="s">
        <v>2903</v>
      </c>
      <c r="R239" s="100"/>
      <c r="S239" s="101" t="str">
        <f t="shared" si="7"/>
        <v>#REF!</v>
      </c>
      <c r="T239" s="102" t="str">
        <f t="shared" si="8"/>
        <v>PP25-238</v>
      </c>
      <c r="U239" s="95"/>
      <c r="V239" s="95"/>
      <c r="W239" s="103"/>
      <c r="X239" s="103"/>
      <c r="Y239" s="103"/>
      <c r="Z239" s="104"/>
    </row>
    <row r="240" ht="49.5" customHeight="1">
      <c r="A240" s="90"/>
      <c r="B240" s="90" t="s">
        <v>2900</v>
      </c>
      <c r="C240" s="90">
        <f t="shared" si="30"/>
        <v>239</v>
      </c>
      <c r="D240" s="92" t="str">
        <f t="shared" si="1"/>
        <v>PP25-239</v>
      </c>
      <c r="E240" s="120">
        <v>45847.0</v>
      </c>
      <c r="F240" s="93"/>
      <c r="G240" s="93" t="s">
        <v>3010</v>
      </c>
      <c r="H240" s="94"/>
      <c r="I240" s="94"/>
      <c r="J240" s="95" t="s">
        <v>799</v>
      </c>
      <c r="K240" s="96">
        <v>7.3256922E7</v>
      </c>
      <c r="L240" s="97"/>
      <c r="M240" s="97">
        <f t="shared" si="69"/>
        <v>73256922</v>
      </c>
      <c r="N240" s="98">
        <v>0.0</v>
      </c>
      <c r="O240" s="97">
        <f t="shared" si="71"/>
        <v>73256922</v>
      </c>
      <c r="P240" s="99"/>
      <c r="Q240" s="90" t="s">
        <v>2903</v>
      </c>
      <c r="R240" s="100"/>
      <c r="S240" s="101" t="str">
        <f t="shared" si="7"/>
        <v>#REF!</v>
      </c>
      <c r="T240" s="102" t="str">
        <f t="shared" si="8"/>
        <v>PP25-239</v>
      </c>
      <c r="U240" s="95"/>
      <c r="V240" s="95"/>
      <c r="W240" s="103"/>
      <c r="X240" s="103"/>
      <c r="Y240" s="103"/>
      <c r="Z240" s="104"/>
    </row>
    <row r="241" ht="49.5" customHeight="1">
      <c r="A241" s="90"/>
      <c r="B241" s="90" t="s">
        <v>2900</v>
      </c>
      <c r="C241" s="90">
        <f t="shared" si="30"/>
        <v>240</v>
      </c>
      <c r="D241" s="92" t="str">
        <f t="shared" si="1"/>
        <v>PP25-240</v>
      </c>
      <c r="E241" s="120">
        <v>45847.0</v>
      </c>
      <c r="F241" s="93"/>
      <c r="G241" s="93" t="s">
        <v>3010</v>
      </c>
      <c r="H241" s="94"/>
      <c r="I241" s="94"/>
      <c r="J241" s="95" t="s">
        <v>801</v>
      </c>
      <c r="K241" s="96">
        <v>4414058.0</v>
      </c>
      <c r="L241" s="97"/>
      <c r="M241" s="97">
        <f t="shared" si="69"/>
        <v>4414058</v>
      </c>
      <c r="N241" s="98">
        <f>M241*11%</f>
        <v>485546.38</v>
      </c>
      <c r="O241" s="97">
        <f t="shared" si="71"/>
        <v>4899604.38</v>
      </c>
      <c r="P241" s="99"/>
      <c r="Q241" s="90" t="s">
        <v>2903</v>
      </c>
      <c r="R241" s="100"/>
      <c r="S241" s="101" t="str">
        <f t="shared" si="7"/>
        <v>#REF!</v>
      </c>
      <c r="T241" s="102" t="str">
        <f t="shared" si="8"/>
        <v>PP25-240</v>
      </c>
      <c r="U241" s="95"/>
      <c r="V241" s="95"/>
      <c r="W241" s="103"/>
      <c r="X241" s="103"/>
      <c r="Y241" s="103"/>
      <c r="Z241" s="104"/>
    </row>
    <row r="242" ht="49.5" customHeight="1">
      <c r="A242" s="90"/>
      <c r="B242" s="90" t="s">
        <v>2900</v>
      </c>
      <c r="C242" s="90">
        <f t="shared" si="30"/>
        <v>241</v>
      </c>
      <c r="D242" s="92" t="str">
        <f t="shared" si="1"/>
        <v>PP25-241</v>
      </c>
      <c r="E242" s="120">
        <v>45847.0</v>
      </c>
      <c r="F242" s="93"/>
      <c r="G242" s="93" t="s">
        <v>3010</v>
      </c>
      <c r="H242" s="94"/>
      <c r="I242" s="94"/>
      <c r="J242" s="95" t="s">
        <v>803</v>
      </c>
      <c r="K242" s="96">
        <v>4.7085966E7</v>
      </c>
      <c r="L242" s="97"/>
      <c r="M242" s="97">
        <f t="shared" si="69"/>
        <v>47085966</v>
      </c>
      <c r="N242" s="98">
        <v>0.0</v>
      </c>
      <c r="O242" s="97">
        <f t="shared" si="71"/>
        <v>47085966</v>
      </c>
      <c r="P242" s="99"/>
      <c r="Q242" s="90" t="s">
        <v>2903</v>
      </c>
      <c r="R242" s="100"/>
      <c r="S242" s="101" t="str">
        <f t="shared" si="7"/>
        <v>#REF!</v>
      </c>
      <c r="T242" s="102" t="str">
        <f t="shared" si="8"/>
        <v>PP25-241</v>
      </c>
      <c r="U242" s="95"/>
      <c r="V242" s="95"/>
      <c r="W242" s="103"/>
      <c r="X242" s="103"/>
      <c r="Y242" s="103"/>
      <c r="Z242" s="103"/>
    </row>
    <row r="243" ht="49.5" customHeight="1">
      <c r="A243" s="90"/>
      <c r="B243" s="90" t="s">
        <v>2900</v>
      </c>
      <c r="C243" s="90">
        <f t="shared" si="30"/>
        <v>242</v>
      </c>
      <c r="D243" s="92" t="str">
        <f t="shared" si="1"/>
        <v>PP25-242</v>
      </c>
      <c r="E243" s="120">
        <v>45847.0</v>
      </c>
      <c r="F243" s="93"/>
      <c r="G243" s="93" t="s">
        <v>3010</v>
      </c>
      <c r="H243" s="94"/>
      <c r="I243" s="94"/>
      <c r="J243" s="95" t="s">
        <v>805</v>
      </c>
      <c r="K243" s="96">
        <v>2825158.0</v>
      </c>
      <c r="L243" s="97"/>
      <c r="M243" s="97">
        <f t="shared" si="69"/>
        <v>2825158</v>
      </c>
      <c r="N243" s="98">
        <v>0.0</v>
      </c>
      <c r="O243" s="97">
        <f t="shared" si="71"/>
        <v>2825158</v>
      </c>
      <c r="P243" s="99"/>
      <c r="Q243" s="90" t="s">
        <v>2903</v>
      </c>
      <c r="R243" s="100"/>
      <c r="S243" s="101" t="str">
        <f t="shared" si="7"/>
        <v>#REF!</v>
      </c>
      <c r="T243" s="102" t="str">
        <f t="shared" si="8"/>
        <v>PP25-242</v>
      </c>
      <c r="U243" s="95"/>
      <c r="V243" s="95"/>
      <c r="W243" s="103"/>
      <c r="X243" s="103"/>
      <c r="Y243" s="103"/>
      <c r="Z243" s="104"/>
    </row>
    <row r="244" ht="49.5" customHeight="1">
      <c r="A244" s="90"/>
      <c r="B244" s="90" t="s">
        <v>2900</v>
      </c>
      <c r="C244" s="90">
        <f t="shared" si="30"/>
        <v>243</v>
      </c>
      <c r="D244" s="92" t="str">
        <f t="shared" si="1"/>
        <v>PP25-243</v>
      </c>
      <c r="E244" s="120">
        <v>45847.0</v>
      </c>
      <c r="F244" s="93"/>
      <c r="G244" s="93" t="s">
        <v>3010</v>
      </c>
      <c r="H244" s="94"/>
      <c r="I244" s="94"/>
      <c r="J244" s="95" t="s">
        <v>807</v>
      </c>
      <c r="K244" s="96">
        <v>6.20749142E8</v>
      </c>
      <c r="L244" s="97"/>
      <c r="M244" s="97">
        <f t="shared" si="69"/>
        <v>620749142</v>
      </c>
      <c r="N244" s="98">
        <v>0.0</v>
      </c>
      <c r="O244" s="97">
        <f t="shared" si="71"/>
        <v>620749142</v>
      </c>
      <c r="P244" s="99"/>
      <c r="Q244" s="90" t="s">
        <v>2903</v>
      </c>
      <c r="R244" s="100"/>
      <c r="S244" s="101" t="str">
        <f t="shared" si="7"/>
        <v>#REF!</v>
      </c>
      <c r="T244" s="102" t="str">
        <f t="shared" si="8"/>
        <v>PP25-243</v>
      </c>
      <c r="U244" s="95"/>
      <c r="V244" s="95"/>
      <c r="W244" s="103"/>
      <c r="X244" s="103"/>
      <c r="Y244" s="103"/>
      <c r="Z244" s="103"/>
    </row>
    <row r="245" ht="49.5" customHeight="1">
      <c r="A245" s="90"/>
      <c r="B245" s="90" t="s">
        <v>2900</v>
      </c>
      <c r="C245" s="90">
        <f t="shared" si="30"/>
        <v>244</v>
      </c>
      <c r="D245" s="92" t="str">
        <f t="shared" si="1"/>
        <v>PP25-244</v>
      </c>
      <c r="E245" s="120">
        <v>45847.0</v>
      </c>
      <c r="F245" s="93"/>
      <c r="G245" s="110" t="s">
        <v>3010</v>
      </c>
      <c r="H245" s="94"/>
      <c r="I245" s="94"/>
      <c r="J245" s="95" t="s">
        <v>809</v>
      </c>
      <c r="K245" s="96">
        <v>3.7244949E7</v>
      </c>
      <c r="L245" s="97"/>
      <c r="M245" s="97">
        <f t="shared" si="69"/>
        <v>37244949</v>
      </c>
      <c r="N245" s="98">
        <f t="shared" ref="N245:N292" si="72">M245*11%</f>
        <v>4096944.39</v>
      </c>
      <c r="O245" s="97">
        <f t="shared" si="71"/>
        <v>41341893.39</v>
      </c>
      <c r="P245" s="99"/>
      <c r="Q245" s="90" t="s">
        <v>2903</v>
      </c>
      <c r="R245" s="100"/>
      <c r="S245" s="101" t="str">
        <f t="shared" si="7"/>
        <v>#REF!</v>
      </c>
      <c r="T245" s="102" t="str">
        <f t="shared" si="8"/>
        <v>PP25-244</v>
      </c>
      <c r="U245" s="95"/>
      <c r="V245" s="95"/>
      <c r="W245" s="103"/>
      <c r="X245" s="103"/>
      <c r="Y245" s="103"/>
      <c r="Z245" s="103"/>
    </row>
    <row r="246" ht="49.5" customHeight="1">
      <c r="A246" s="90"/>
      <c r="B246" s="90" t="s">
        <v>2900</v>
      </c>
      <c r="C246" s="90">
        <f t="shared" si="30"/>
        <v>245</v>
      </c>
      <c r="D246" s="92" t="str">
        <f t="shared" si="1"/>
        <v>PP25-245</v>
      </c>
      <c r="E246" s="120">
        <v>45852.0</v>
      </c>
      <c r="F246" s="93"/>
      <c r="G246" s="93" t="s">
        <v>2901</v>
      </c>
      <c r="H246" s="109" t="s">
        <v>19</v>
      </c>
      <c r="I246" s="94"/>
      <c r="J246" s="95" t="s">
        <v>811</v>
      </c>
      <c r="K246" s="96">
        <v>7717878.0</v>
      </c>
      <c r="L246" s="97">
        <f>K246*10%</f>
        <v>771787.8</v>
      </c>
      <c r="M246" s="97">
        <f t="shared" si="69"/>
        <v>8489665.8</v>
      </c>
      <c r="N246" s="98">
        <f t="shared" si="72"/>
        <v>933863.238</v>
      </c>
      <c r="O246" s="97">
        <f t="shared" si="71"/>
        <v>9423529.038</v>
      </c>
      <c r="P246" s="99"/>
      <c r="Q246" s="90" t="s">
        <v>2903</v>
      </c>
      <c r="R246" s="100"/>
      <c r="S246" s="101" t="str">
        <f t="shared" si="7"/>
        <v>#REF!</v>
      </c>
      <c r="T246" s="102" t="str">
        <f t="shared" si="8"/>
        <v>PP25-245</v>
      </c>
      <c r="U246" s="95"/>
      <c r="V246" s="95"/>
      <c r="W246" s="103"/>
      <c r="X246" s="103"/>
      <c r="Y246" s="103"/>
      <c r="Z246" s="104"/>
    </row>
    <row r="247" ht="49.5" customHeight="1">
      <c r="A247" s="90"/>
      <c r="B247" s="90" t="s">
        <v>2900</v>
      </c>
      <c r="C247" s="90">
        <f t="shared" si="30"/>
        <v>246</v>
      </c>
      <c r="D247" s="92" t="str">
        <f t="shared" si="1"/>
        <v>PP25-246</v>
      </c>
      <c r="E247" s="120">
        <v>45852.0</v>
      </c>
      <c r="F247" s="93"/>
      <c r="G247" s="110" t="s">
        <v>3010</v>
      </c>
      <c r="H247" s="94"/>
      <c r="I247" s="94"/>
      <c r="J247" s="95" t="s">
        <v>813</v>
      </c>
      <c r="K247" s="96">
        <v>2.0802961E7</v>
      </c>
      <c r="L247" s="97"/>
      <c r="M247" s="97">
        <f t="shared" si="69"/>
        <v>20802961</v>
      </c>
      <c r="N247" s="98">
        <f t="shared" si="72"/>
        <v>2288325.71</v>
      </c>
      <c r="O247" s="97">
        <v>0.0</v>
      </c>
      <c r="P247" s="99"/>
      <c r="Q247" s="90" t="s">
        <v>2903</v>
      </c>
      <c r="R247" s="100"/>
      <c r="S247" s="101" t="str">
        <f t="shared" si="7"/>
        <v>#REF!</v>
      </c>
      <c r="T247" s="102" t="str">
        <f t="shared" si="8"/>
        <v>PP25-246</v>
      </c>
      <c r="U247" s="95"/>
      <c r="V247" s="95"/>
      <c r="W247" s="103"/>
      <c r="X247" s="103"/>
      <c r="Y247" s="103"/>
      <c r="Z247" s="103"/>
    </row>
    <row r="248" ht="49.5" customHeight="1">
      <c r="A248" s="90"/>
      <c r="B248" s="90" t="s">
        <v>2900</v>
      </c>
      <c r="C248" s="90">
        <f t="shared" si="30"/>
        <v>247</v>
      </c>
      <c r="D248" s="92" t="str">
        <f t="shared" si="1"/>
        <v>PP25-247</v>
      </c>
      <c r="E248" s="120">
        <v>45852.0</v>
      </c>
      <c r="F248" s="93"/>
      <c r="G248" s="110" t="s">
        <v>3010</v>
      </c>
      <c r="H248" s="94"/>
      <c r="I248" s="94"/>
      <c r="J248" s="95" t="s">
        <v>815</v>
      </c>
      <c r="K248" s="96">
        <v>1310587.0</v>
      </c>
      <c r="L248" s="97"/>
      <c r="M248" s="97">
        <f t="shared" si="69"/>
        <v>1310587</v>
      </c>
      <c r="N248" s="98">
        <f t="shared" si="72"/>
        <v>144164.57</v>
      </c>
      <c r="O248" s="97">
        <f>M248+N248</f>
        <v>1454751.57</v>
      </c>
      <c r="P248" s="99"/>
      <c r="Q248" s="90" t="s">
        <v>2903</v>
      </c>
      <c r="R248" s="100"/>
      <c r="S248" s="101" t="str">
        <f t="shared" si="7"/>
        <v>#REF!</v>
      </c>
      <c r="T248" s="102" t="str">
        <f t="shared" si="8"/>
        <v>PP25-247</v>
      </c>
      <c r="U248" s="95"/>
      <c r="V248" s="95"/>
      <c r="W248" s="103"/>
      <c r="X248" s="103"/>
      <c r="Y248" s="103"/>
      <c r="Z248" s="104"/>
    </row>
    <row r="249" ht="49.5" customHeight="1">
      <c r="A249" s="90"/>
      <c r="B249" s="90" t="s">
        <v>2900</v>
      </c>
      <c r="C249" s="90">
        <f t="shared" si="30"/>
        <v>248</v>
      </c>
      <c r="D249" s="92" t="str">
        <f t="shared" si="1"/>
        <v>PP25-248</v>
      </c>
      <c r="E249" s="120">
        <v>45852.0</v>
      </c>
      <c r="F249" s="93"/>
      <c r="G249" s="110" t="s">
        <v>3010</v>
      </c>
      <c r="H249" s="94"/>
      <c r="I249" s="94"/>
      <c r="J249" s="95" t="s">
        <v>817</v>
      </c>
      <c r="K249" s="96">
        <v>2.36325136E8</v>
      </c>
      <c r="L249" s="97"/>
      <c r="M249" s="97">
        <f t="shared" si="69"/>
        <v>236325136</v>
      </c>
      <c r="N249" s="98">
        <f t="shared" si="72"/>
        <v>25995764.96</v>
      </c>
      <c r="O249" s="97">
        <v>0.0</v>
      </c>
      <c r="P249" s="99"/>
      <c r="Q249" s="90" t="s">
        <v>2903</v>
      </c>
      <c r="R249" s="100"/>
      <c r="S249" s="101" t="str">
        <f t="shared" si="7"/>
        <v>#REF!</v>
      </c>
      <c r="T249" s="102" t="str">
        <f t="shared" si="8"/>
        <v>PP25-248</v>
      </c>
      <c r="U249" s="95"/>
      <c r="V249" s="95"/>
      <c r="W249" s="103"/>
      <c r="X249" s="103"/>
      <c r="Y249" s="103"/>
      <c r="Z249" s="104"/>
    </row>
    <row r="250" ht="49.5" customHeight="1">
      <c r="A250" s="90"/>
      <c r="B250" s="90" t="s">
        <v>2900</v>
      </c>
      <c r="C250" s="90">
        <f t="shared" si="30"/>
        <v>249</v>
      </c>
      <c r="D250" s="92" t="str">
        <f t="shared" si="1"/>
        <v>PP25-249</v>
      </c>
      <c r="E250" s="120">
        <v>45852.0</v>
      </c>
      <c r="F250" s="93"/>
      <c r="G250" s="110" t="s">
        <v>3010</v>
      </c>
      <c r="H250" s="94"/>
      <c r="I250" s="94"/>
      <c r="J250" s="95" t="s">
        <v>819</v>
      </c>
      <c r="K250" s="96">
        <v>1.4888484E7</v>
      </c>
      <c r="L250" s="97"/>
      <c r="M250" s="97">
        <f t="shared" si="69"/>
        <v>14888484</v>
      </c>
      <c r="N250" s="98">
        <f t="shared" si="72"/>
        <v>1637733.24</v>
      </c>
      <c r="O250" s="97">
        <f t="shared" ref="O250:O296" si="73">M250+N250</f>
        <v>16526217.24</v>
      </c>
      <c r="P250" s="99"/>
      <c r="Q250" s="90" t="s">
        <v>2903</v>
      </c>
      <c r="R250" s="100"/>
      <c r="S250" s="101" t="str">
        <f t="shared" si="7"/>
        <v>#REF!</v>
      </c>
      <c r="T250" s="102" t="str">
        <f t="shared" si="8"/>
        <v>PP25-249</v>
      </c>
      <c r="U250" s="95"/>
      <c r="V250" s="95"/>
      <c r="W250" s="103"/>
      <c r="X250" s="103"/>
      <c r="Y250" s="103"/>
      <c r="Z250" s="104"/>
    </row>
    <row r="251" ht="49.5" customHeight="1">
      <c r="A251" s="90"/>
      <c r="B251" s="90" t="s">
        <v>2900</v>
      </c>
      <c r="C251" s="90">
        <f t="shared" si="30"/>
        <v>250</v>
      </c>
      <c r="D251" s="92" t="str">
        <f t="shared" si="1"/>
        <v>PP25-250</v>
      </c>
      <c r="E251" s="120">
        <v>45852.0</v>
      </c>
      <c r="F251" s="93"/>
      <c r="G251" s="110" t="s">
        <v>3010</v>
      </c>
      <c r="H251" s="94"/>
      <c r="I251" s="94"/>
      <c r="J251" s="95" t="s">
        <v>821</v>
      </c>
      <c r="K251" s="96">
        <v>8373916.0</v>
      </c>
      <c r="L251" s="97">
        <f>K251*6.3%</f>
        <v>527556.708</v>
      </c>
      <c r="M251" s="97">
        <f t="shared" si="69"/>
        <v>8901472.708</v>
      </c>
      <c r="N251" s="98">
        <f t="shared" si="72"/>
        <v>979161.9979</v>
      </c>
      <c r="O251" s="97">
        <f t="shared" si="73"/>
        <v>9880634.706</v>
      </c>
      <c r="P251" s="99"/>
      <c r="Q251" s="90" t="s">
        <v>2903</v>
      </c>
      <c r="R251" s="100"/>
      <c r="S251" s="101" t="str">
        <f t="shared" si="7"/>
        <v>#REF!</v>
      </c>
      <c r="T251" s="102" t="str">
        <f t="shared" si="8"/>
        <v>PP25-250</v>
      </c>
      <c r="U251" s="95"/>
      <c r="V251" s="95"/>
      <c r="W251" s="103"/>
      <c r="X251" s="103"/>
      <c r="Y251" s="103"/>
      <c r="Z251" s="104"/>
    </row>
    <row r="252" ht="49.5" customHeight="1">
      <c r="A252" s="90"/>
      <c r="B252" s="90" t="s">
        <v>2900</v>
      </c>
      <c r="C252" s="90">
        <f t="shared" si="30"/>
        <v>251</v>
      </c>
      <c r="D252" s="92" t="str">
        <f t="shared" si="1"/>
        <v>PP25-251</v>
      </c>
      <c r="E252" s="120">
        <v>45852.0</v>
      </c>
      <c r="F252" s="93"/>
      <c r="G252" s="93" t="s">
        <v>823</v>
      </c>
      <c r="H252" s="94"/>
      <c r="I252" s="94"/>
      <c r="J252" s="95" t="s">
        <v>824</v>
      </c>
      <c r="K252" s="96">
        <v>3.88E7</v>
      </c>
      <c r="L252" s="97">
        <f>K252*12%</f>
        <v>4656000</v>
      </c>
      <c r="M252" s="97">
        <f t="shared" si="69"/>
        <v>43456000</v>
      </c>
      <c r="N252" s="98">
        <f t="shared" si="72"/>
        <v>4780160</v>
      </c>
      <c r="O252" s="97">
        <f t="shared" si="73"/>
        <v>48236160</v>
      </c>
      <c r="P252" s="99"/>
      <c r="Q252" s="90" t="s">
        <v>21</v>
      </c>
      <c r="R252" s="100"/>
      <c r="S252" s="101" t="str">
        <f t="shared" si="7"/>
        <v>#REF!</v>
      </c>
      <c r="T252" s="102" t="str">
        <f t="shared" si="8"/>
        <v>PP25-251</v>
      </c>
      <c r="U252" s="95"/>
      <c r="V252" s="95"/>
      <c r="W252" s="103"/>
      <c r="X252" s="103"/>
      <c r="Y252" s="103"/>
      <c r="Z252" s="104"/>
    </row>
    <row r="253" ht="49.5" customHeight="1">
      <c r="A253" s="90"/>
      <c r="B253" s="90" t="s">
        <v>2900</v>
      </c>
      <c r="C253" s="90">
        <f t="shared" si="30"/>
        <v>252</v>
      </c>
      <c r="D253" s="92" t="str">
        <f t="shared" si="1"/>
        <v>PP25-252</v>
      </c>
      <c r="E253" s="120">
        <v>45853.0</v>
      </c>
      <c r="F253" s="93"/>
      <c r="G253" s="110" t="s">
        <v>3010</v>
      </c>
      <c r="H253" s="94"/>
      <c r="I253" s="94"/>
      <c r="J253" s="95" t="s">
        <v>826</v>
      </c>
      <c r="K253" s="96">
        <v>6677200.0</v>
      </c>
      <c r="L253" s="97">
        <f t="shared" ref="L253:L254" si="74">K253*6.3%</f>
        <v>420663.6</v>
      </c>
      <c r="M253" s="97">
        <f t="shared" si="69"/>
        <v>7097863.6</v>
      </c>
      <c r="N253" s="98">
        <f t="shared" si="72"/>
        <v>780764.996</v>
      </c>
      <c r="O253" s="97">
        <f t="shared" si="73"/>
        <v>7878628.596</v>
      </c>
      <c r="P253" s="99"/>
      <c r="Q253" s="90" t="s">
        <v>2903</v>
      </c>
      <c r="R253" s="100"/>
      <c r="S253" s="101" t="str">
        <f t="shared" si="7"/>
        <v>#REF!</v>
      </c>
      <c r="T253" s="102" t="str">
        <f t="shared" si="8"/>
        <v>PP25-252</v>
      </c>
      <c r="U253" s="95"/>
      <c r="V253" s="95"/>
      <c r="W253" s="103"/>
      <c r="X253" s="103"/>
      <c r="Y253" s="103"/>
      <c r="Z253" s="104"/>
    </row>
    <row r="254" ht="49.5" customHeight="1">
      <c r="A254" s="90"/>
      <c r="B254" s="90" t="s">
        <v>2900</v>
      </c>
      <c r="C254" s="90">
        <f t="shared" si="30"/>
        <v>253</v>
      </c>
      <c r="D254" s="92" t="str">
        <f t="shared" si="1"/>
        <v>PP25-253</v>
      </c>
      <c r="E254" s="120">
        <v>45853.0</v>
      </c>
      <c r="F254" s="93"/>
      <c r="G254" s="110" t="s">
        <v>3010</v>
      </c>
      <c r="H254" s="94"/>
      <c r="I254" s="94"/>
      <c r="J254" s="95" t="s">
        <v>828</v>
      </c>
      <c r="K254" s="96">
        <v>1.672937E7</v>
      </c>
      <c r="L254" s="97">
        <f t="shared" si="74"/>
        <v>1053950.31</v>
      </c>
      <c r="M254" s="97">
        <f t="shared" si="69"/>
        <v>17783320.31</v>
      </c>
      <c r="N254" s="98">
        <f t="shared" si="72"/>
        <v>1956165.234</v>
      </c>
      <c r="O254" s="97">
        <f t="shared" si="73"/>
        <v>19739485.54</v>
      </c>
      <c r="P254" s="99"/>
      <c r="Q254" s="109" t="s">
        <v>38</v>
      </c>
      <c r="R254" s="100"/>
      <c r="S254" s="101" t="str">
        <f t="shared" si="7"/>
        <v>#REF!</v>
      </c>
      <c r="T254" s="102" t="str">
        <f t="shared" si="8"/>
        <v>PP25-253</v>
      </c>
      <c r="U254" s="95"/>
      <c r="V254" s="95"/>
      <c r="W254" s="103"/>
      <c r="X254" s="103"/>
      <c r="Y254" s="103"/>
      <c r="Z254" s="103"/>
    </row>
    <row r="255" ht="49.5" customHeight="1">
      <c r="A255" s="90"/>
      <c r="B255" s="90" t="s">
        <v>2900</v>
      </c>
      <c r="C255" s="90" t="s">
        <v>3011</v>
      </c>
      <c r="D255" s="92" t="str">
        <f t="shared" si="1"/>
        <v>PP25-253-1</v>
      </c>
      <c r="E255" s="120">
        <v>45853.0</v>
      </c>
      <c r="F255" s="93"/>
      <c r="G255" s="110" t="s">
        <v>33</v>
      </c>
      <c r="H255" s="93"/>
      <c r="I255" s="93"/>
      <c r="J255" s="95" t="s">
        <v>830</v>
      </c>
      <c r="K255" s="96">
        <v>1.90878E8</v>
      </c>
      <c r="L255" s="97"/>
      <c r="M255" s="97">
        <f t="shared" si="69"/>
        <v>190878000</v>
      </c>
      <c r="N255" s="98">
        <f t="shared" si="72"/>
        <v>20996580</v>
      </c>
      <c r="O255" s="97">
        <f t="shared" si="73"/>
        <v>211874580</v>
      </c>
      <c r="P255" s="99"/>
      <c r="Q255" s="109" t="s">
        <v>38</v>
      </c>
      <c r="R255" s="100"/>
      <c r="S255" s="101" t="str">
        <f t="shared" si="7"/>
        <v>#REF!</v>
      </c>
      <c r="T255" s="102" t="str">
        <f t="shared" si="8"/>
        <v>PP25-253-1</v>
      </c>
      <c r="U255" s="95"/>
      <c r="V255" s="95"/>
      <c r="W255" s="103"/>
      <c r="X255" s="103"/>
      <c r="Y255" s="103"/>
      <c r="Z255" s="104"/>
    </row>
    <row r="256" ht="49.5" customHeight="1">
      <c r="A256" s="90"/>
      <c r="B256" s="90" t="s">
        <v>2900</v>
      </c>
      <c r="C256" s="90">
        <f>C254+1</f>
        <v>254</v>
      </c>
      <c r="D256" s="92" t="str">
        <f t="shared" si="1"/>
        <v>PP25-254</v>
      </c>
      <c r="E256" s="120">
        <v>45853.0</v>
      </c>
      <c r="F256" s="93"/>
      <c r="G256" s="110" t="s">
        <v>3010</v>
      </c>
      <c r="H256" s="93"/>
      <c r="I256" s="93"/>
      <c r="J256" s="95" t="s">
        <v>832</v>
      </c>
      <c r="K256" s="96">
        <v>1.21603317E8</v>
      </c>
      <c r="L256" s="97"/>
      <c r="M256" s="97">
        <f t="shared" si="69"/>
        <v>121603317</v>
      </c>
      <c r="N256" s="98">
        <f t="shared" si="72"/>
        <v>13376364.87</v>
      </c>
      <c r="O256" s="97">
        <f t="shared" si="73"/>
        <v>134979681.9</v>
      </c>
      <c r="P256" s="99"/>
      <c r="Q256" s="90" t="s">
        <v>2903</v>
      </c>
      <c r="R256" s="100"/>
      <c r="S256" s="101" t="str">
        <f t="shared" si="7"/>
        <v>#REF!</v>
      </c>
      <c r="T256" s="102" t="str">
        <f t="shared" si="8"/>
        <v>PP25-254</v>
      </c>
      <c r="U256" s="95"/>
      <c r="V256" s="95"/>
      <c r="W256" s="103"/>
      <c r="X256" s="103"/>
      <c r="Y256" s="103"/>
      <c r="Z256" s="104"/>
    </row>
    <row r="257" ht="49.5" customHeight="1">
      <c r="A257" s="132"/>
      <c r="B257" s="90" t="s">
        <v>2900</v>
      </c>
      <c r="C257" s="90">
        <f t="shared" ref="C257:C405" si="75">C256+1</f>
        <v>255</v>
      </c>
      <c r="D257" s="92" t="str">
        <f t="shared" si="1"/>
        <v>PP25-255</v>
      </c>
      <c r="E257" s="133">
        <v>45854.0</v>
      </c>
      <c r="F257" s="116"/>
      <c r="G257" s="110" t="s">
        <v>3010</v>
      </c>
      <c r="H257" s="134"/>
      <c r="I257" s="134"/>
      <c r="J257" s="135" t="s">
        <v>834</v>
      </c>
      <c r="K257" s="136">
        <v>4.815587E7</v>
      </c>
      <c r="L257" s="97">
        <f>K257*6.3%</f>
        <v>3033819.81</v>
      </c>
      <c r="M257" s="97">
        <f t="shared" si="69"/>
        <v>51189689.81</v>
      </c>
      <c r="N257" s="98">
        <f t="shared" si="72"/>
        <v>5630865.879</v>
      </c>
      <c r="O257" s="97">
        <f t="shared" si="73"/>
        <v>56820555.69</v>
      </c>
      <c r="P257" s="137"/>
      <c r="Q257" s="90" t="s">
        <v>2903</v>
      </c>
      <c r="R257" s="138"/>
      <c r="S257" s="101" t="str">
        <f t="shared" si="7"/>
        <v>#REF!</v>
      </c>
      <c r="T257" s="102" t="str">
        <f t="shared" si="8"/>
        <v>PP25-255</v>
      </c>
      <c r="U257" s="139"/>
      <c r="V257" s="139"/>
      <c r="W257" s="103"/>
      <c r="X257" s="103"/>
      <c r="Y257" s="103"/>
      <c r="Z257" s="104"/>
    </row>
    <row r="258" ht="49.5" customHeight="1">
      <c r="A258" s="132"/>
      <c r="B258" s="90" t="s">
        <v>2900</v>
      </c>
      <c r="C258" s="90">
        <f t="shared" si="75"/>
        <v>256</v>
      </c>
      <c r="D258" s="92" t="str">
        <f t="shared" si="1"/>
        <v>PP25-256</v>
      </c>
      <c r="E258" s="133">
        <v>45861.0</v>
      </c>
      <c r="F258" s="116"/>
      <c r="G258" s="110" t="s">
        <v>3010</v>
      </c>
      <c r="H258" s="134"/>
      <c r="I258" s="134"/>
      <c r="J258" s="135" t="s">
        <v>836</v>
      </c>
      <c r="K258" s="136">
        <v>1.27736539E8</v>
      </c>
      <c r="L258" s="140">
        <f t="shared" ref="L258:L260" si="76">K258*5.3%</f>
        <v>6770036.567</v>
      </c>
      <c r="M258" s="97">
        <f t="shared" si="69"/>
        <v>134506575.6</v>
      </c>
      <c r="N258" s="98">
        <f t="shared" si="72"/>
        <v>14795723.31</v>
      </c>
      <c r="O258" s="97">
        <f t="shared" si="73"/>
        <v>149302298.9</v>
      </c>
      <c r="P258" s="137"/>
      <c r="Q258" s="111" t="s">
        <v>3002</v>
      </c>
      <c r="R258" s="138"/>
      <c r="S258" s="101" t="str">
        <f t="shared" si="7"/>
        <v>#REF!</v>
      </c>
      <c r="T258" s="102" t="str">
        <f t="shared" si="8"/>
        <v>PP25-256</v>
      </c>
      <c r="U258" s="139"/>
      <c r="V258" s="139"/>
      <c r="W258" s="103"/>
      <c r="X258" s="103"/>
      <c r="Y258" s="103"/>
      <c r="Z258" s="104"/>
    </row>
    <row r="259" ht="49.5" customHeight="1">
      <c r="A259" s="132"/>
      <c r="B259" s="90" t="s">
        <v>2900</v>
      </c>
      <c r="C259" s="90">
        <f t="shared" si="75"/>
        <v>257</v>
      </c>
      <c r="D259" s="92" t="str">
        <f t="shared" si="1"/>
        <v>PP25-257</v>
      </c>
      <c r="E259" s="133">
        <v>45861.0</v>
      </c>
      <c r="F259" s="116"/>
      <c r="G259" s="110" t="s">
        <v>3010</v>
      </c>
      <c r="H259" s="134"/>
      <c r="I259" s="134"/>
      <c r="J259" s="135" t="s">
        <v>838</v>
      </c>
      <c r="K259" s="136">
        <v>8.5270156E7</v>
      </c>
      <c r="L259" s="140">
        <f t="shared" si="76"/>
        <v>4519318.268</v>
      </c>
      <c r="M259" s="97">
        <f t="shared" si="69"/>
        <v>89789474.27</v>
      </c>
      <c r="N259" s="98">
        <f t="shared" si="72"/>
        <v>9876842.169</v>
      </c>
      <c r="O259" s="97">
        <f t="shared" si="73"/>
        <v>99666316.44</v>
      </c>
      <c r="P259" s="137"/>
      <c r="Q259" s="141" t="s">
        <v>3002</v>
      </c>
      <c r="R259" s="138"/>
      <c r="S259" s="101" t="str">
        <f t="shared" si="7"/>
        <v>#REF!</v>
      </c>
      <c r="T259" s="102" t="str">
        <f t="shared" si="8"/>
        <v>PP25-257</v>
      </c>
      <c r="U259" s="139"/>
      <c r="V259" s="139"/>
      <c r="W259" s="103"/>
      <c r="X259" s="103"/>
      <c r="Y259" s="103"/>
      <c r="Z259" s="104"/>
    </row>
    <row r="260" ht="49.5" customHeight="1">
      <c r="A260" s="132"/>
      <c r="B260" s="90" t="s">
        <v>2900</v>
      </c>
      <c r="C260" s="90">
        <f t="shared" si="75"/>
        <v>258</v>
      </c>
      <c r="D260" s="92" t="str">
        <f t="shared" si="1"/>
        <v>PP25-258</v>
      </c>
      <c r="E260" s="133">
        <v>45861.0</v>
      </c>
      <c r="F260" s="116"/>
      <c r="G260" s="110" t="s">
        <v>3010</v>
      </c>
      <c r="H260" s="134"/>
      <c r="I260" s="134"/>
      <c r="J260" s="135" t="s">
        <v>840</v>
      </c>
      <c r="K260" s="136">
        <v>3.55334001E8</v>
      </c>
      <c r="L260" s="140">
        <f t="shared" si="76"/>
        <v>18832702.05</v>
      </c>
      <c r="M260" s="97">
        <f t="shared" si="69"/>
        <v>374166703.1</v>
      </c>
      <c r="N260" s="98">
        <f t="shared" si="72"/>
        <v>41158337.34</v>
      </c>
      <c r="O260" s="97">
        <f t="shared" si="73"/>
        <v>415325040.4</v>
      </c>
      <c r="P260" s="137"/>
      <c r="Q260" s="111" t="s">
        <v>3002</v>
      </c>
      <c r="R260" s="138"/>
      <c r="S260" s="101" t="str">
        <f t="shared" si="7"/>
        <v>#REF!</v>
      </c>
      <c r="T260" s="102" t="str">
        <f t="shared" si="8"/>
        <v>PP25-258</v>
      </c>
      <c r="U260" s="139"/>
      <c r="V260" s="139"/>
      <c r="W260" s="103"/>
      <c r="X260" s="103"/>
      <c r="Y260" s="103"/>
      <c r="Z260" s="104"/>
    </row>
    <row r="261" ht="49.5" customHeight="1">
      <c r="A261" s="132"/>
      <c r="B261" s="90" t="s">
        <v>2900</v>
      </c>
      <c r="C261" s="90">
        <f t="shared" si="75"/>
        <v>259</v>
      </c>
      <c r="D261" s="92" t="str">
        <f t="shared" si="1"/>
        <v>PP25-259</v>
      </c>
      <c r="E261" s="133">
        <v>45862.0</v>
      </c>
      <c r="F261" s="116"/>
      <c r="G261" s="116" t="s">
        <v>238</v>
      </c>
      <c r="H261" s="134"/>
      <c r="I261" s="134"/>
      <c r="J261" s="135" t="s">
        <v>842</v>
      </c>
      <c r="K261" s="136">
        <v>9.6655488E7</v>
      </c>
      <c r="L261" s="140">
        <f>K261*10%</f>
        <v>9665548.8</v>
      </c>
      <c r="M261" s="97">
        <f t="shared" si="69"/>
        <v>106321036.8</v>
      </c>
      <c r="N261" s="98">
        <f t="shared" si="72"/>
        <v>11695314.05</v>
      </c>
      <c r="O261" s="97">
        <f t="shared" si="73"/>
        <v>118016350.8</v>
      </c>
      <c r="P261" s="137"/>
      <c r="Q261" s="111" t="s">
        <v>2949</v>
      </c>
      <c r="R261" s="138"/>
      <c r="S261" s="101" t="str">
        <f t="shared" si="7"/>
        <v>#REF!</v>
      </c>
      <c r="T261" s="102" t="str">
        <f t="shared" si="8"/>
        <v>PP25-259</v>
      </c>
      <c r="U261" s="139"/>
      <c r="V261" s="139"/>
      <c r="W261" s="103"/>
      <c r="X261" s="103"/>
      <c r="Y261" s="103"/>
      <c r="Z261" s="104"/>
    </row>
    <row r="262" ht="49.5" customHeight="1">
      <c r="A262" s="132"/>
      <c r="B262" s="90" t="s">
        <v>2900</v>
      </c>
      <c r="C262" s="90">
        <f t="shared" si="75"/>
        <v>260</v>
      </c>
      <c r="D262" s="92" t="str">
        <f t="shared" si="1"/>
        <v>PP25-260</v>
      </c>
      <c r="E262" s="133">
        <v>45863.0</v>
      </c>
      <c r="F262" s="116"/>
      <c r="G262" s="110" t="s">
        <v>3010</v>
      </c>
      <c r="H262" s="134"/>
      <c r="I262" s="134"/>
      <c r="J262" s="135" t="s">
        <v>1580</v>
      </c>
      <c r="K262" s="136">
        <v>7.0189853E7</v>
      </c>
      <c r="L262" s="140">
        <f t="shared" ref="L262:L265" si="77">K262*5.8%</f>
        <v>4071011.474</v>
      </c>
      <c r="M262" s="140">
        <f t="shared" si="69"/>
        <v>74260864.47</v>
      </c>
      <c r="N262" s="142">
        <f t="shared" si="72"/>
        <v>8168695.092</v>
      </c>
      <c r="O262" s="140">
        <f t="shared" si="73"/>
        <v>82429559.57</v>
      </c>
      <c r="P262" s="137"/>
      <c r="Q262" s="111" t="s">
        <v>2911</v>
      </c>
      <c r="R262" s="138"/>
      <c r="S262" s="101" t="str">
        <f t="shared" si="7"/>
        <v>#REF!</v>
      </c>
      <c r="T262" s="102" t="str">
        <f t="shared" si="8"/>
        <v>PP25-260</v>
      </c>
      <c r="U262" s="139"/>
      <c r="V262" s="139"/>
      <c r="W262" s="103"/>
      <c r="X262" s="103"/>
      <c r="Y262" s="103"/>
      <c r="Z262" s="104"/>
    </row>
    <row r="263" ht="49.5" customHeight="1">
      <c r="A263" s="132"/>
      <c r="B263" s="90" t="s">
        <v>2900</v>
      </c>
      <c r="C263" s="90">
        <f t="shared" si="75"/>
        <v>261</v>
      </c>
      <c r="D263" s="92" t="str">
        <f t="shared" si="1"/>
        <v>PP25-261</v>
      </c>
      <c r="E263" s="133">
        <v>45863.0</v>
      </c>
      <c r="F263" s="116"/>
      <c r="G263" s="110" t="s">
        <v>3010</v>
      </c>
      <c r="H263" s="134"/>
      <c r="I263" s="134"/>
      <c r="J263" s="135" t="s">
        <v>1586</v>
      </c>
      <c r="K263" s="136">
        <v>3.5993491E7</v>
      </c>
      <c r="L263" s="140">
        <f t="shared" si="77"/>
        <v>2087622.478</v>
      </c>
      <c r="M263" s="140">
        <f t="shared" si="69"/>
        <v>38081113.48</v>
      </c>
      <c r="N263" s="142">
        <f t="shared" si="72"/>
        <v>4188922.483</v>
      </c>
      <c r="O263" s="140">
        <f t="shared" si="73"/>
        <v>42270035.96</v>
      </c>
      <c r="P263" s="137"/>
      <c r="Q263" s="111" t="s">
        <v>2911</v>
      </c>
      <c r="R263" s="138"/>
      <c r="S263" s="101" t="str">
        <f t="shared" si="7"/>
        <v>#REF!</v>
      </c>
      <c r="T263" s="102" t="str">
        <f t="shared" si="8"/>
        <v>PP25-261</v>
      </c>
      <c r="U263" s="139"/>
      <c r="V263" s="139"/>
      <c r="W263" s="103"/>
      <c r="X263" s="103"/>
      <c r="Y263" s="103"/>
      <c r="Z263" s="104"/>
    </row>
    <row r="264" ht="49.5" customHeight="1">
      <c r="A264" s="132"/>
      <c r="B264" s="90" t="s">
        <v>2900</v>
      </c>
      <c r="C264" s="90">
        <f t="shared" si="75"/>
        <v>262</v>
      </c>
      <c r="D264" s="92" t="str">
        <f t="shared" si="1"/>
        <v>PP25-262</v>
      </c>
      <c r="E264" s="133">
        <v>45863.0</v>
      </c>
      <c r="F264" s="116"/>
      <c r="G264" s="110" t="s">
        <v>3010</v>
      </c>
      <c r="H264" s="134"/>
      <c r="I264" s="134"/>
      <c r="J264" s="135" t="s">
        <v>1592</v>
      </c>
      <c r="K264" s="136">
        <v>5.2357186E7</v>
      </c>
      <c r="L264" s="140">
        <f t="shared" si="77"/>
        <v>3036716.788</v>
      </c>
      <c r="M264" s="140">
        <f t="shared" si="69"/>
        <v>55393902.79</v>
      </c>
      <c r="N264" s="142">
        <f t="shared" si="72"/>
        <v>6093329.307</v>
      </c>
      <c r="O264" s="140">
        <f t="shared" si="73"/>
        <v>61487232.09</v>
      </c>
      <c r="P264" s="143"/>
      <c r="Q264" s="111" t="s">
        <v>2911</v>
      </c>
      <c r="R264" s="138"/>
      <c r="S264" s="101" t="str">
        <f t="shared" si="7"/>
        <v>#REF!</v>
      </c>
      <c r="T264" s="102" t="str">
        <f t="shared" si="8"/>
        <v>PP25-262</v>
      </c>
      <c r="U264" s="139"/>
      <c r="V264" s="139"/>
      <c r="W264" s="103"/>
      <c r="X264" s="103"/>
      <c r="Y264" s="103"/>
      <c r="Z264" s="104"/>
    </row>
    <row r="265" ht="49.5" customHeight="1">
      <c r="A265" s="132"/>
      <c r="B265" s="90" t="s">
        <v>2900</v>
      </c>
      <c r="C265" s="90">
        <f t="shared" si="75"/>
        <v>263</v>
      </c>
      <c r="D265" s="92" t="str">
        <f t="shared" si="1"/>
        <v>PP25-263</v>
      </c>
      <c r="E265" s="133">
        <v>45863.0</v>
      </c>
      <c r="F265" s="116"/>
      <c r="G265" s="110" t="s">
        <v>3010</v>
      </c>
      <c r="H265" s="134"/>
      <c r="I265" s="134"/>
      <c r="J265" s="135" t="s">
        <v>1598</v>
      </c>
      <c r="K265" s="136">
        <v>7255244.0</v>
      </c>
      <c r="L265" s="140">
        <f t="shared" si="77"/>
        <v>420804.152</v>
      </c>
      <c r="M265" s="140">
        <f t="shared" si="69"/>
        <v>7676048.152</v>
      </c>
      <c r="N265" s="142">
        <f t="shared" si="72"/>
        <v>844365.2967</v>
      </c>
      <c r="O265" s="140">
        <f t="shared" si="73"/>
        <v>8520413.449</v>
      </c>
      <c r="P265" s="137"/>
      <c r="Q265" s="111" t="s">
        <v>2911</v>
      </c>
      <c r="R265" s="138"/>
      <c r="S265" s="101" t="str">
        <f t="shared" si="7"/>
        <v>#REF!</v>
      </c>
      <c r="T265" s="102" t="str">
        <f t="shared" si="8"/>
        <v>PP25-263</v>
      </c>
      <c r="U265" s="139"/>
      <c r="V265" s="139"/>
      <c r="W265" s="103"/>
      <c r="X265" s="103"/>
      <c r="Y265" s="103"/>
      <c r="Z265" s="104"/>
    </row>
    <row r="266" ht="49.5" customHeight="1">
      <c r="A266" s="132"/>
      <c r="B266" s="90" t="s">
        <v>2900</v>
      </c>
      <c r="C266" s="90">
        <f t="shared" si="75"/>
        <v>264</v>
      </c>
      <c r="D266" s="92" t="str">
        <f t="shared" si="1"/>
        <v>PP25-264</v>
      </c>
      <c r="E266" s="133">
        <v>45866.0</v>
      </c>
      <c r="F266" s="116"/>
      <c r="G266" s="110" t="s">
        <v>3010</v>
      </c>
      <c r="H266" s="134"/>
      <c r="I266" s="134"/>
      <c r="J266" s="135" t="s">
        <v>858</v>
      </c>
      <c r="K266" s="136">
        <v>4.11568E7</v>
      </c>
      <c r="L266" s="140">
        <f t="shared" ref="L266:L268" si="78">K266*5.3%</f>
        <v>2181310.4</v>
      </c>
      <c r="M266" s="140">
        <f t="shared" si="69"/>
        <v>43338110.4</v>
      </c>
      <c r="N266" s="142">
        <f t="shared" si="72"/>
        <v>4767192.144</v>
      </c>
      <c r="O266" s="140">
        <f t="shared" si="73"/>
        <v>48105302.54</v>
      </c>
      <c r="P266" s="137"/>
      <c r="Q266" s="141" t="s">
        <v>2949</v>
      </c>
      <c r="R266" s="138"/>
      <c r="S266" s="101" t="str">
        <f t="shared" si="7"/>
        <v>#REF!</v>
      </c>
      <c r="T266" s="102" t="str">
        <f t="shared" si="8"/>
        <v>PP25-264</v>
      </c>
      <c r="U266" s="139"/>
      <c r="V266" s="139"/>
      <c r="W266" s="103"/>
      <c r="X266" s="103"/>
      <c r="Y266" s="103"/>
      <c r="Z266" s="104"/>
    </row>
    <row r="267" ht="49.5" customHeight="1">
      <c r="A267" s="132"/>
      <c r="B267" s="90" t="s">
        <v>2900</v>
      </c>
      <c r="C267" s="90">
        <f t="shared" si="75"/>
        <v>265</v>
      </c>
      <c r="D267" s="92" t="str">
        <f t="shared" si="1"/>
        <v>PP25-265</v>
      </c>
      <c r="E267" s="133">
        <v>45866.0</v>
      </c>
      <c r="F267" s="116"/>
      <c r="G267" s="110" t="s">
        <v>3010</v>
      </c>
      <c r="H267" s="134"/>
      <c r="I267" s="134"/>
      <c r="J267" s="135" t="s">
        <v>860</v>
      </c>
      <c r="K267" s="136">
        <v>2574800.0</v>
      </c>
      <c r="L267" s="140">
        <f t="shared" si="78"/>
        <v>136464.4</v>
      </c>
      <c r="M267" s="140">
        <f t="shared" si="69"/>
        <v>2711264.4</v>
      </c>
      <c r="N267" s="142">
        <f t="shared" si="72"/>
        <v>298239.084</v>
      </c>
      <c r="O267" s="140">
        <f t="shared" si="73"/>
        <v>3009503.484</v>
      </c>
      <c r="P267" s="137"/>
      <c r="Q267" s="141" t="s">
        <v>2949</v>
      </c>
      <c r="R267" s="138"/>
      <c r="S267" s="101" t="str">
        <f t="shared" si="7"/>
        <v>#REF!</v>
      </c>
      <c r="T267" s="102" t="str">
        <f t="shared" si="8"/>
        <v>PP25-265</v>
      </c>
      <c r="U267" s="139"/>
      <c r="V267" s="139"/>
      <c r="W267" s="103"/>
      <c r="X267" s="103"/>
      <c r="Y267" s="103"/>
      <c r="Z267" s="104"/>
    </row>
    <row r="268" ht="49.5" customHeight="1">
      <c r="A268" s="132"/>
      <c r="B268" s="90" t="s">
        <v>2900</v>
      </c>
      <c r="C268" s="90">
        <f t="shared" si="75"/>
        <v>266</v>
      </c>
      <c r="D268" s="92" t="str">
        <f t="shared" si="1"/>
        <v>PP25-266</v>
      </c>
      <c r="E268" s="133">
        <v>45866.0</v>
      </c>
      <c r="F268" s="116"/>
      <c r="G268" s="110" t="s">
        <v>3010</v>
      </c>
      <c r="H268" s="134"/>
      <c r="I268" s="134"/>
      <c r="J268" s="135" t="s">
        <v>862</v>
      </c>
      <c r="K268" s="136">
        <v>6702600.0</v>
      </c>
      <c r="L268" s="140">
        <f t="shared" si="78"/>
        <v>355237.8</v>
      </c>
      <c r="M268" s="140">
        <f t="shared" si="69"/>
        <v>7057837.8</v>
      </c>
      <c r="N268" s="142">
        <f t="shared" si="72"/>
        <v>776362.158</v>
      </c>
      <c r="O268" s="140">
        <f t="shared" si="73"/>
        <v>7834199.958</v>
      </c>
      <c r="P268" s="137"/>
      <c r="Q268" s="141" t="s">
        <v>2949</v>
      </c>
      <c r="R268" s="138"/>
      <c r="S268" s="101" t="str">
        <f t="shared" si="7"/>
        <v>#REF!</v>
      </c>
      <c r="T268" s="102" t="str">
        <f t="shared" si="8"/>
        <v>PP25-266</v>
      </c>
      <c r="U268" s="139"/>
      <c r="V268" s="139"/>
      <c r="W268" s="103"/>
      <c r="X268" s="103"/>
      <c r="Y268" s="103"/>
      <c r="Z268" s="103"/>
    </row>
    <row r="269" ht="49.5" customHeight="1">
      <c r="A269" s="132"/>
      <c r="B269" s="90" t="s">
        <v>2900</v>
      </c>
      <c r="C269" s="90">
        <f t="shared" si="75"/>
        <v>267</v>
      </c>
      <c r="D269" s="92" t="str">
        <f t="shared" si="1"/>
        <v>PP25-267</v>
      </c>
      <c r="E269" s="133">
        <v>45869.0</v>
      </c>
      <c r="F269" s="116"/>
      <c r="G269" s="110" t="s">
        <v>3010</v>
      </c>
      <c r="H269" s="134"/>
      <c r="I269" s="134"/>
      <c r="J269" s="135" t="s">
        <v>864</v>
      </c>
      <c r="K269" s="136">
        <v>8.19941583E8</v>
      </c>
      <c r="L269" s="140">
        <f>K269*5.5%</f>
        <v>45096787.07</v>
      </c>
      <c r="M269" s="140">
        <f t="shared" si="69"/>
        <v>865038370.1</v>
      </c>
      <c r="N269" s="142">
        <f t="shared" si="72"/>
        <v>95154220.71</v>
      </c>
      <c r="O269" s="140">
        <f t="shared" si="73"/>
        <v>960192590.8</v>
      </c>
      <c r="P269" s="137"/>
      <c r="Q269" s="90" t="s">
        <v>2903</v>
      </c>
      <c r="R269" s="138"/>
      <c r="S269" s="101" t="str">
        <f t="shared" si="7"/>
        <v>#REF!</v>
      </c>
      <c r="T269" s="102" t="str">
        <f t="shared" si="8"/>
        <v>PP25-267</v>
      </c>
      <c r="U269" s="139"/>
      <c r="V269" s="139"/>
      <c r="W269" s="103"/>
      <c r="X269" s="103"/>
      <c r="Y269" s="103"/>
      <c r="Z269" s="104"/>
    </row>
    <row r="270" ht="49.5" customHeight="1">
      <c r="A270" s="132"/>
      <c r="B270" s="90" t="s">
        <v>2900</v>
      </c>
      <c r="C270" s="90">
        <f t="shared" si="75"/>
        <v>268</v>
      </c>
      <c r="D270" s="92" t="str">
        <f t="shared" si="1"/>
        <v>PP25-268</v>
      </c>
      <c r="E270" s="133">
        <v>45868.0</v>
      </c>
      <c r="F270" s="116"/>
      <c r="G270" s="110" t="s">
        <v>3010</v>
      </c>
      <c r="H270" s="134"/>
      <c r="I270" s="134"/>
      <c r="J270" s="135" t="s">
        <v>1610</v>
      </c>
      <c r="K270" s="136">
        <v>2.46556928E8</v>
      </c>
      <c r="L270" s="140">
        <f>K270*5.6%</f>
        <v>13807187.97</v>
      </c>
      <c r="M270" s="140">
        <f t="shared" si="69"/>
        <v>260364116</v>
      </c>
      <c r="N270" s="142">
        <f t="shared" si="72"/>
        <v>28640052.76</v>
      </c>
      <c r="O270" s="140">
        <f t="shared" si="73"/>
        <v>289004168.7</v>
      </c>
      <c r="P270" s="137"/>
      <c r="Q270" s="90" t="s">
        <v>2903</v>
      </c>
      <c r="R270" s="138"/>
      <c r="S270" s="101" t="str">
        <f t="shared" si="7"/>
        <v>#REF!</v>
      </c>
      <c r="T270" s="102" t="str">
        <f t="shared" si="8"/>
        <v>PP25-268</v>
      </c>
      <c r="U270" s="139"/>
      <c r="V270" s="139"/>
      <c r="W270" s="103"/>
      <c r="X270" s="103"/>
      <c r="Y270" s="103"/>
      <c r="Z270" s="104"/>
    </row>
    <row r="271" ht="49.5" customHeight="1">
      <c r="A271" s="132"/>
      <c r="B271" s="90" t="s">
        <v>2900</v>
      </c>
      <c r="C271" s="90">
        <f t="shared" si="75"/>
        <v>269</v>
      </c>
      <c r="D271" s="92" t="str">
        <f t="shared" si="1"/>
        <v>PP25-269</v>
      </c>
      <c r="E271" s="133">
        <v>45869.0</v>
      </c>
      <c r="F271" s="116"/>
      <c r="G271" s="110" t="s">
        <v>3010</v>
      </c>
      <c r="H271" s="134"/>
      <c r="I271" s="134"/>
      <c r="J271" s="135" t="s">
        <v>868</v>
      </c>
      <c r="K271" s="136">
        <v>7.718715E7</v>
      </c>
      <c r="L271" s="140">
        <f t="shared" ref="L271:L273" si="79">K271*6%</f>
        <v>4631229</v>
      </c>
      <c r="M271" s="140">
        <f t="shared" si="69"/>
        <v>81818379</v>
      </c>
      <c r="N271" s="142">
        <f t="shared" si="72"/>
        <v>9000021.69</v>
      </c>
      <c r="O271" s="140">
        <f t="shared" si="73"/>
        <v>90818400.69</v>
      </c>
      <c r="P271" s="137"/>
      <c r="Q271" s="90" t="s">
        <v>2903</v>
      </c>
      <c r="R271" s="138"/>
      <c r="S271" s="101" t="str">
        <f t="shared" si="7"/>
        <v>#REF!</v>
      </c>
      <c r="T271" s="102" t="str">
        <f t="shared" si="8"/>
        <v>PP25-269</v>
      </c>
      <c r="U271" s="139"/>
      <c r="V271" s="139"/>
      <c r="W271" s="103"/>
      <c r="X271" s="103"/>
      <c r="Y271" s="103"/>
      <c r="Z271" s="104"/>
    </row>
    <row r="272" ht="49.5" customHeight="1">
      <c r="A272" s="132"/>
      <c r="B272" s="90" t="s">
        <v>2900</v>
      </c>
      <c r="C272" s="90">
        <f t="shared" si="75"/>
        <v>270</v>
      </c>
      <c r="D272" s="92" t="str">
        <f t="shared" si="1"/>
        <v>PP25-270</v>
      </c>
      <c r="E272" s="133">
        <v>45869.0</v>
      </c>
      <c r="F272" s="116"/>
      <c r="G272" s="110" t="s">
        <v>3010</v>
      </c>
      <c r="H272" s="134"/>
      <c r="I272" s="134"/>
      <c r="J272" s="135" t="s">
        <v>870</v>
      </c>
      <c r="K272" s="136">
        <v>5.9182907E7</v>
      </c>
      <c r="L272" s="140">
        <f t="shared" si="79"/>
        <v>3550974.42</v>
      </c>
      <c r="M272" s="140">
        <f t="shared" si="69"/>
        <v>62733881.42</v>
      </c>
      <c r="N272" s="142">
        <f t="shared" si="72"/>
        <v>6900726.956</v>
      </c>
      <c r="O272" s="140">
        <f t="shared" si="73"/>
        <v>69634608.38</v>
      </c>
      <c r="P272" s="137"/>
      <c r="Q272" s="90" t="s">
        <v>2903</v>
      </c>
      <c r="R272" s="138"/>
      <c r="S272" s="101" t="str">
        <f t="shared" si="7"/>
        <v>#REF!</v>
      </c>
      <c r="T272" s="102" t="str">
        <f t="shared" si="8"/>
        <v>PP25-270</v>
      </c>
      <c r="U272" s="139"/>
      <c r="V272" s="139"/>
      <c r="W272" s="103"/>
      <c r="X272" s="103"/>
      <c r="Y272" s="103"/>
      <c r="Z272" s="103"/>
    </row>
    <row r="273" ht="49.5" customHeight="1">
      <c r="A273" s="132"/>
      <c r="B273" s="90" t="s">
        <v>2900</v>
      </c>
      <c r="C273" s="90">
        <f t="shared" si="75"/>
        <v>271</v>
      </c>
      <c r="D273" s="92" t="str">
        <f t="shared" si="1"/>
        <v>PP25-271</v>
      </c>
      <c r="E273" s="133">
        <v>45869.0</v>
      </c>
      <c r="F273" s="116"/>
      <c r="G273" s="110" t="s">
        <v>3010</v>
      </c>
      <c r="H273" s="134"/>
      <c r="I273" s="134"/>
      <c r="J273" s="135" t="s">
        <v>872</v>
      </c>
      <c r="K273" s="136">
        <v>4.22952691E8</v>
      </c>
      <c r="L273" s="140">
        <f t="shared" si="79"/>
        <v>25377161.46</v>
      </c>
      <c r="M273" s="140">
        <f t="shared" si="69"/>
        <v>448329852.5</v>
      </c>
      <c r="N273" s="142">
        <f t="shared" si="72"/>
        <v>49316283.77</v>
      </c>
      <c r="O273" s="140">
        <f t="shared" si="73"/>
        <v>497646136.2</v>
      </c>
      <c r="P273" s="137"/>
      <c r="Q273" s="90" t="s">
        <v>2903</v>
      </c>
      <c r="R273" s="138"/>
      <c r="S273" s="101" t="str">
        <f t="shared" si="7"/>
        <v>#REF!</v>
      </c>
      <c r="T273" s="102" t="str">
        <f t="shared" si="8"/>
        <v>PP25-271</v>
      </c>
      <c r="U273" s="139"/>
      <c r="V273" s="139"/>
      <c r="W273" s="103"/>
      <c r="X273" s="103"/>
      <c r="Y273" s="103"/>
      <c r="Z273" s="104"/>
    </row>
    <row r="274" ht="49.5" customHeight="1">
      <c r="A274" s="132"/>
      <c r="B274" s="90" t="s">
        <v>2900</v>
      </c>
      <c r="C274" s="90">
        <f t="shared" si="75"/>
        <v>272</v>
      </c>
      <c r="D274" s="92" t="str">
        <f t="shared" si="1"/>
        <v>PP25-272</v>
      </c>
      <c r="E274" s="133">
        <v>45870.0</v>
      </c>
      <c r="F274" s="116"/>
      <c r="G274" s="110" t="s">
        <v>3010</v>
      </c>
      <c r="H274" s="134"/>
      <c r="I274" s="134"/>
      <c r="J274" s="135" t="s">
        <v>874</v>
      </c>
      <c r="K274" s="136">
        <v>2.1171884E7</v>
      </c>
      <c r="L274" s="140">
        <f>K274*10%</f>
        <v>2117188.4</v>
      </c>
      <c r="M274" s="140">
        <f t="shared" si="69"/>
        <v>23289072.4</v>
      </c>
      <c r="N274" s="142">
        <f t="shared" si="72"/>
        <v>2561797.964</v>
      </c>
      <c r="O274" s="140">
        <f t="shared" si="73"/>
        <v>25850870.36</v>
      </c>
      <c r="P274" s="137"/>
      <c r="Q274" s="90" t="s">
        <v>2903</v>
      </c>
      <c r="R274" s="138"/>
      <c r="S274" s="101" t="str">
        <f t="shared" si="7"/>
        <v>#REF!</v>
      </c>
      <c r="T274" s="102" t="str">
        <f t="shared" si="8"/>
        <v>PP25-272</v>
      </c>
      <c r="U274" s="139"/>
      <c r="V274" s="139"/>
      <c r="W274" s="103"/>
      <c r="X274" s="103"/>
      <c r="Y274" s="103"/>
      <c r="Z274" s="104"/>
    </row>
    <row r="275" ht="49.5" customHeight="1">
      <c r="A275" s="132"/>
      <c r="B275" s="90" t="s">
        <v>2900</v>
      </c>
      <c r="C275" s="90">
        <f t="shared" si="75"/>
        <v>273</v>
      </c>
      <c r="D275" s="92" t="str">
        <f t="shared" si="1"/>
        <v>PP25-273</v>
      </c>
      <c r="E275" s="133">
        <v>45870.0</v>
      </c>
      <c r="F275" s="116"/>
      <c r="G275" s="110" t="s">
        <v>3010</v>
      </c>
      <c r="H275" s="134"/>
      <c r="I275" s="134"/>
      <c r="J275" s="135" t="s">
        <v>876</v>
      </c>
      <c r="K275" s="136">
        <v>1.63682483E8</v>
      </c>
      <c r="L275" s="140">
        <f t="shared" ref="L275:L278" si="80">K275*5.3%</f>
        <v>8675171.599</v>
      </c>
      <c r="M275" s="140">
        <f t="shared" si="69"/>
        <v>172357654.6</v>
      </c>
      <c r="N275" s="142">
        <f t="shared" si="72"/>
        <v>18959342.01</v>
      </c>
      <c r="O275" s="140">
        <f t="shared" si="73"/>
        <v>191316996.6</v>
      </c>
      <c r="P275" s="137"/>
      <c r="Q275" s="141" t="s">
        <v>2949</v>
      </c>
      <c r="R275" s="138"/>
      <c r="S275" s="101" t="str">
        <f t="shared" si="7"/>
        <v>#REF!</v>
      </c>
      <c r="T275" s="102" t="str">
        <f t="shared" si="8"/>
        <v>PP25-273</v>
      </c>
      <c r="U275" s="139"/>
      <c r="V275" s="139"/>
      <c r="W275" s="103"/>
      <c r="X275" s="103"/>
      <c r="Y275" s="103"/>
      <c r="Z275" s="104"/>
    </row>
    <row r="276" ht="49.5" customHeight="1">
      <c r="A276" s="132"/>
      <c r="B276" s="90" t="s">
        <v>2900</v>
      </c>
      <c r="C276" s="90">
        <f t="shared" si="75"/>
        <v>274</v>
      </c>
      <c r="D276" s="92" t="str">
        <f t="shared" si="1"/>
        <v>PP25-274</v>
      </c>
      <c r="E276" s="133">
        <v>45870.0</v>
      </c>
      <c r="F276" s="116"/>
      <c r="G276" s="110" t="s">
        <v>3010</v>
      </c>
      <c r="H276" s="134"/>
      <c r="I276" s="134"/>
      <c r="J276" s="135" t="s">
        <v>878</v>
      </c>
      <c r="K276" s="136">
        <v>4.8368243E7</v>
      </c>
      <c r="L276" s="140">
        <f t="shared" si="80"/>
        <v>2563516.879</v>
      </c>
      <c r="M276" s="140">
        <f t="shared" si="69"/>
        <v>50931759.88</v>
      </c>
      <c r="N276" s="142">
        <f t="shared" si="72"/>
        <v>5602493.587</v>
      </c>
      <c r="O276" s="140">
        <f t="shared" si="73"/>
        <v>56534253.47</v>
      </c>
      <c r="P276" s="137"/>
      <c r="Q276" s="141" t="s">
        <v>2949</v>
      </c>
      <c r="R276" s="138"/>
      <c r="S276" s="101" t="str">
        <f t="shared" si="7"/>
        <v>#REF!</v>
      </c>
      <c r="T276" s="102" t="str">
        <f t="shared" si="8"/>
        <v>PP25-274</v>
      </c>
      <c r="U276" s="139"/>
      <c r="V276" s="139"/>
      <c r="W276" s="103"/>
      <c r="X276" s="103"/>
      <c r="Y276" s="103"/>
      <c r="Z276" s="104"/>
    </row>
    <row r="277" ht="49.5" customHeight="1">
      <c r="A277" s="132"/>
      <c r="B277" s="90" t="s">
        <v>2900</v>
      </c>
      <c r="C277" s="90">
        <f t="shared" si="75"/>
        <v>275</v>
      </c>
      <c r="D277" s="92" t="str">
        <f t="shared" si="1"/>
        <v>PP25-275</v>
      </c>
      <c r="E277" s="133">
        <v>45870.0</v>
      </c>
      <c r="F277" s="116"/>
      <c r="G277" s="110" t="s">
        <v>3010</v>
      </c>
      <c r="H277" s="134"/>
      <c r="I277" s="134"/>
      <c r="J277" s="135" t="s">
        <v>880</v>
      </c>
      <c r="K277" s="136">
        <v>3.5500832E7</v>
      </c>
      <c r="L277" s="140">
        <f t="shared" si="80"/>
        <v>1881544.096</v>
      </c>
      <c r="M277" s="140">
        <f t="shared" si="69"/>
        <v>37382376.1</v>
      </c>
      <c r="N277" s="142">
        <f t="shared" si="72"/>
        <v>4112061.371</v>
      </c>
      <c r="O277" s="140">
        <f t="shared" si="73"/>
        <v>41494437.47</v>
      </c>
      <c r="P277" s="137"/>
      <c r="Q277" s="141" t="s">
        <v>2949</v>
      </c>
      <c r="R277" s="138"/>
      <c r="S277" s="101" t="str">
        <f t="shared" si="7"/>
        <v>#REF!</v>
      </c>
      <c r="T277" s="102" t="str">
        <f t="shared" si="8"/>
        <v>PP25-275</v>
      </c>
      <c r="U277" s="139"/>
      <c r="V277" s="139"/>
      <c r="W277" s="103"/>
      <c r="X277" s="103"/>
      <c r="Y277" s="103"/>
      <c r="Z277" s="104"/>
    </row>
    <row r="278" ht="49.5" customHeight="1">
      <c r="A278" s="132"/>
      <c r="B278" s="90" t="s">
        <v>2900</v>
      </c>
      <c r="C278" s="90">
        <f t="shared" si="75"/>
        <v>276</v>
      </c>
      <c r="D278" s="92" t="str">
        <f t="shared" si="1"/>
        <v>PP25-276</v>
      </c>
      <c r="E278" s="133">
        <v>45870.0</v>
      </c>
      <c r="F278" s="116"/>
      <c r="G278" s="110" t="s">
        <v>3010</v>
      </c>
      <c r="H278" s="134"/>
      <c r="I278" s="134"/>
      <c r="J278" s="135" t="s">
        <v>882</v>
      </c>
      <c r="K278" s="136">
        <v>3.9038929E7</v>
      </c>
      <c r="L278" s="140">
        <f t="shared" si="80"/>
        <v>2069063.237</v>
      </c>
      <c r="M278" s="140">
        <f t="shared" si="69"/>
        <v>41107992.24</v>
      </c>
      <c r="N278" s="142">
        <f t="shared" si="72"/>
        <v>4521879.146</v>
      </c>
      <c r="O278" s="140">
        <f t="shared" si="73"/>
        <v>45629871.38</v>
      </c>
      <c r="P278" s="137"/>
      <c r="Q278" s="141" t="s">
        <v>2949</v>
      </c>
      <c r="R278" s="138"/>
      <c r="S278" s="101" t="str">
        <f t="shared" si="7"/>
        <v>#REF!</v>
      </c>
      <c r="T278" s="102" t="str">
        <f t="shared" si="8"/>
        <v>PP25-276</v>
      </c>
      <c r="U278" s="139"/>
      <c r="V278" s="139"/>
      <c r="W278" s="103"/>
      <c r="X278" s="103"/>
      <c r="Y278" s="103"/>
      <c r="Z278" s="104"/>
    </row>
    <row r="279" ht="49.5" customHeight="1">
      <c r="A279" s="132"/>
      <c r="B279" s="90" t="s">
        <v>2900</v>
      </c>
      <c r="C279" s="90">
        <f t="shared" si="75"/>
        <v>277</v>
      </c>
      <c r="D279" s="92" t="str">
        <f t="shared" si="1"/>
        <v>PP25-277</v>
      </c>
      <c r="E279" s="133">
        <v>45870.0</v>
      </c>
      <c r="F279" s="116"/>
      <c r="G279" s="110" t="s">
        <v>3010</v>
      </c>
      <c r="H279" s="134"/>
      <c r="I279" s="134"/>
      <c r="J279" s="135" t="s">
        <v>1644</v>
      </c>
      <c r="K279" s="136">
        <v>8.932152E7</v>
      </c>
      <c r="L279" s="140"/>
      <c r="M279" s="140">
        <f t="shared" si="69"/>
        <v>89321520</v>
      </c>
      <c r="N279" s="142">
        <f t="shared" si="72"/>
        <v>9825367.2</v>
      </c>
      <c r="O279" s="140">
        <f t="shared" si="73"/>
        <v>99146887.2</v>
      </c>
      <c r="P279" s="137"/>
      <c r="Q279" s="90" t="s">
        <v>2903</v>
      </c>
      <c r="R279" s="138"/>
      <c r="S279" s="101" t="str">
        <f t="shared" si="7"/>
        <v>#REF!</v>
      </c>
      <c r="T279" s="102" t="str">
        <f t="shared" si="8"/>
        <v>PP25-277</v>
      </c>
      <c r="U279" s="139"/>
      <c r="V279" s="139"/>
      <c r="W279" s="103"/>
      <c r="X279" s="103"/>
      <c r="Y279" s="103"/>
      <c r="Z279" s="104"/>
    </row>
    <row r="280" ht="49.5" customHeight="1">
      <c r="A280" s="132"/>
      <c r="B280" s="90" t="s">
        <v>2900</v>
      </c>
      <c r="C280" s="90">
        <f t="shared" si="75"/>
        <v>278</v>
      </c>
      <c r="D280" s="92" t="str">
        <f t="shared" si="1"/>
        <v>PP25-278</v>
      </c>
      <c r="E280" s="133">
        <v>45873.0</v>
      </c>
      <c r="F280" s="116"/>
      <c r="G280" s="93" t="s">
        <v>3010</v>
      </c>
      <c r="H280" s="134"/>
      <c r="I280" s="134"/>
      <c r="J280" s="135" t="s">
        <v>1649</v>
      </c>
      <c r="K280" s="136">
        <v>3.76897367E8</v>
      </c>
      <c r="L280" s="140"/>
      <c r="M280" s="140">
        <f t="shared" si="69"/>
        <v>376897367</v>
      </c>
      <c r="N280" s="142">
        <f t="shared" si="72"/>
        <v>41458710.37</v>
      </c>
      <c r="O280" s="140">
        <f t="shared" si="73"/>
        <v>418356077.4</v>
      </c>
      <c r="P280" s="144"/>
      <c r="Q280" s="111" t="s">
        <v>2934</v>
      </c>
      <c r="R280" s="138"/>
      <c r="S280" s="101" t="str">
        <f t="shared" si="7"/>
        <v>#REF!</v>
      </c>
      <c r="T280" s="102" t="str">
        <f t="shared" si="8"/>
        <v>PP25-278</v>
      </c>
      <c r="U280" s="139"/>
      <c r="V280" s="139"/>
      <c r="W280" s="103"/>
      <c r="X280" s="103"/>
      <c r="Y280" s="103"/>
      <c r="Z280" s="104"/>
    </row>
    <row r="281" ht="49.5" customHeight="1">
      <c r="A281" s="132"/>
      <c r="B281" s="90" t="s">
        <v>2900</v>
      </c>
      <c r="C281" s="90">
        <f t="shared" si="75"/>
        <v>279</v>
      </c>
      <c r="D281" s="92" t="str">
        <f t="shared" si="1"/>
        <v>PP25-279</v>
      </c>
      <c r="E281" s="133">
        <v>45873.0</v>
      </c>
      <c r="F281" s="116"/>
      <c r="G281" s="110" t="s">
        <v>3010</v>
      </c>
      <c r="H281" s="134"/>
      <c r="I281" s="134"/>
      <c r="J281" s="135" t="s">
        <v>890</v>
      </c>
      <c r="K281" s="136">
        <v>7.4981581E7</v>
      </c>
      <c r="L281" s="140">
        <f t="shared" ref="L281:L283" si="81">K281*6%</f>
        <v>4498894.86</v>
      </c>
      <c r="M281" s="140">
        <f t="shared" si="69"/>
        <v>79480475.86</v>
      </c>
      <c r="N281" s="142">
        <f t="shared" si="72"/>
        <v>8742852.345</v>
      </c>
      <c r="O281" s="140">
        <f t="shared" si="73"/>
        <v>88223328.2</v>
      </c>
      <c r="P281" s="137"/>
      <c r="Q281" s="90" t="s">
        <v>2903</v>
      </c>
      <c r="R281" s="138"/>
      <c r="S281" s="101" t="str">
        <f t="shared" si="7"/>
        <v>#REF!</v>
      </c>
      <c r="T281" s="102" t="str">
        <f t="shared" si="8"/>
        <v>PP25-279</v>
      </c>
      <c r="U281" s="139"/>
      <c r="V281" s="139"/>
      <c r="W281" s="103"/>
      <c r="X281" s="103"/>
      <c r="Y281" s="103"/>
      <c r="Z281" s="104"/>
    </row>
    <row r="282" ht="49.5" customHeight="1">
      <c r="A282" s="132"/>
      <c r="B282" s="90" t="s">
        <v>2900</v>
      </c>
      <c r="C282" s="90">
        <f t="shared" si="75"/>
        <v>280</v>
      </c>
      <c r="D282" s="92" t="str">
        <f t="shared" si="1"/>
        <v>PP25-280</v>
      </c>
      <c r="E282" s="133">
        <v>45873.0</v>
      </c>
      <c r="F282" s="116"/>
      <c r="G282" s="110" t="s">
        <v>3010</v>
      </c>
      <c r="H282" s="134"/>
      <c r="I282" s="134"/>
      <c r="J282" s="135" t="s">
        <v>892</v>
      </c>
      <c r="K282" s="136">
        <v>4.2665703E7</v>
      </c>
      <c r="L282" s="140">
        <f t="shared" si="81"/>
        <v>2559942.18</v>
      </c>
      <c r="M282" s="140">
        <f t="shared" si="69"/>
        <v>45225645.18</v>
      </c>
      <c r="N282" s="142">
        <f t="shared" si="72"/>
        <v>4974820.97</v>
      </c>
      <c r="O282" s="140">
        <f t="shared" si="73"/>
        <v>50200466.15</v>
      </c>
      <c r="P282" s="137"/>
      <c r="Q282" s="90" t="s">
        <v>2903</v>
      </c>
      <c r="R282" s="138"/>
      <c r="S282" s="101" t="str">
        <f t="shared" si="7"/>
        <v>#REF!</v>
      </c>
      <c r="T282" s="102" t="str">
        <f t="shared" si="8"/>
        <v>PP25-280</v>
      </c>
      <c r="U282" s="139"/>
      <c r="V282" s="139"/>
      <c r="W282" s="103"/>
      <c r="X282" s="103"/>
      <c r="Y282" s="103"/>
      <c r="Z282" s="104"/>
    </row>
    <row r="283" ht="49.5" customHeight="1">
      <c r="A283" s="132"/>
      <c r="B283" s="90" t="s">
        <v>2900</v>
      </c>
      <c r="C283" s="90">
        <f t="shared" si="75"/>
        <v>281</v>
      </c>
      <c r="D283" s="92" t="str">
        <f t="shared" si="1"/>
        <v>PP25-281</v>
      </c>
      <c r="E283" s="133">
        <v>45873.0</v>
      </c>
      <c r="F283" s="116"/>
      <c r="G283" s="110" t="s">
        <v>3010</v>
      </c>
      <c r="H283" s="134"/>
      <c r="I283" s="134"/>
      <c r="J283" s="135" t="s">
        <v>894</v>
      </c>
      <c r="K283" s="136">
        <v>7.8327039E7</v>
      </c>
      <c r="L283" s="140">
        <f t="shared" si="81"/>
        <v>4699622.34</v>
      </c>
      <c r="M283" s="140">
        <f t="shared" si="69"/>
        <v>83026661.34</v>
      </c>
      <c r="N283" s="142">
        <f t="shared" si="72"/>
        <v>9132932.747</v>
      </c>
      <c r="O283" s="140">
        <f t="shared" si="73"/>
        <v>92159594.09</v>
      </c>
      <c r="P283" s="137"/>
      <c r="Q283" s="90" t="s">
        <v>2903</v>
      </c>
      <c r="R283" s="138"/>
      <c r="S283" s="101" t="str">
        <f t="shared" si="7"/>
        <v>#REF!</v>
      </c>
      <c r="T283" s="102" t="str">
        <f t="shared" si="8"/>
        <v>PP25-281</v>
      </c>
      <c r="U283" s="139"/>
      <c r="V283" s="139"/>
      <c r="W283" s="103"/>
      <c r="X283" s="103"/>
      <c r="Y283" s="103"/>
      <c r="Z283" s="104"/>
    </row>
    <row r="284" ht="49.5" customHeight="1">
      <c r="A284" s="132"/>
      <c r="B284" s="90" t="s">
        <v>2900</v>
      </c>
      <c r="C284" s="90">
        <f t="shared" si="75"/>
        <v>282</v>
      </c>
      <c r="D284" s="92" t="str">
        <f t="shared" si="1"/>
        <v>PP25-282</v>
      </c>
      <c r="E284" s="133">
        <v>45874.0</v>
      </c>
      <c r="F284" s="116"/>
      <c r="G284" s="110" t="s">
        <v>3010</v>
      </c>
      <c r="H284" s="134"/>
      <c r="I284" s="134"/>
      <c r="J284" s="135" t="s">
        <v>896</v>
      </c>
      <c r="K284" s="136">
        <v>1.7233819E7</v>
      </c>
      <c r="L284" s="140">
        <f t="shared" ref="L284:L288" si="82">K284*7.5%</f>
        <v>1292536.425</v>
      </c>
      <c r="M284" s="140">
        <f t="shared" si="69"/>
        <v>18526355.43</v>
      </c>
      <c r="N284" s="142">
        <f t="shared" si="72"/>
        <v>2037899.097</v>
      </c>
      <c r="O284" s="140">
        <f t="shared" si="73"/>
        <v>20564254.52</v>
      </c>
      <c r="P284" s="137"/>
      <c r="Q284" s="90" t="s">
        <v>2903</v>
      </c>
      <c r="R284" s="138"/>
      <c r="S284" s="101" t="str">
        <f t="shared" si="7"/>
        <v>#REF!</v>
      </c>
      <c r="T284" s="102" t="str">
        <f t="shared" si="8"/>
        <v>PP25-282</v>
      </c>
      <c r="U284" s="139"/>
      <c r="V284" s="139"/>
      <c r="W284" s="103"/>
      <c r="X284" s="103"/>
      <c r="Y284" s="103"/>
      <c r="Z284" s="104"/>
    </row>
    <row r="285" ht="49.5" customHeight="1">
      <c r="A285" s="132"/>
      <c r="B285" s="90" t="s">
        <v>2900</v>
      </c>
      <c r="C285" s="90">
        <f t="shared" si="75"/>
        <v>283</v>
      </c>
      <c r="D285" s="92" t="str">
        <f t="shared" si="1"/>
        <v>PP25-283</v>
      </c>
      <c r="E285" s="133">
        <v>45874.0</v>
      </c>
      <c r="F285" s="116"/>
      <c r="G285" s="110" t="s">
        <v>3010</v>
      </c>
      <c r="H285" s="134"/>
      <c r="I285" s="134"/>
      <c r="J285" s="135" t="s">
        <v>898</v>
      </c>
      <c r="K285" s="136">
        <v>8616910.0</v>
      </c>
      <c r="L285" s="140">
        <f t="shared" si="82"/>
        <v>646268.25</v>
      </c>
      <c r="M285" s="140">
        <f t="shared" si="69"/>
        <v>9263178.25</v>
      </c>
      <c r="N285" s="142">
        <f t="shared" si="72"/>
        <v>1018949.608</v>
      </c>
      <c r="O285" s="140">
        <f t="shared" si="73"/>
        <v>10282127.86</v>
      </c>
      <c r="P285" s="137"/>
      <c r="Q285" s="90" t="s">
        <v>2903</v>
      </c>
      <c r="R285" s="138"/>
      <c r="S285" s="101" t="str">
        <f t="shared" si="7"/>
        <v>#REF!</v>
      </c>
      <c r="T285" s="102" t="str">
        <f t="shared" si="8"/>
        <v>PP25-283</v>
      </c>
      <c r="U285" s="139"/>
      <c r="V285" s="139"/>
      <c r="W285" s="103"/>
      <c r="X285" s="103"/>
      <c r="Y285" s="103"/>
      <c r="Z285" s="103"/>
    </row>
    <row r="286" ht="49.5" customHeight="1">
      <c r="A286" s="132"/>
      <c r="B286" s="90" t="s">
        <v>2900</v>
      </c>
      <c r="C286" s="90">
        <f t="shared" si="75"/>
        <v>284</v>
      </c>
      <c r="D286" s="92" t="str">
        <f t="shared" si="1"/>
        <v>PP25-284</v>
      </c>
      <c r="E286" s="133">
        <v>45874.0</v>
      </c>
      <c r="F286" s="116"/>
      <c r="G286" s="110" t="s">
        <v>3010</v>
      </c>
      <c r="H286" s="134"/>
      <c r="I286" s="134"/>
      <c r="J286" s="135" t="s">
        <v>900</v>
      </c>
      <c r="K286" s="136">
        <v>1.7233642E7</v>
      </c>
      <c r="L286" s="140">
        <f t="shared" si="82"/>
        <v>1292523.15</v>
      </c>
      <c r="M286" s="140">
        <f t="shared" si="69"/>
        <v>18526165.15</v>
      </c>
      <c r="N286" s="142">
        <f t="shared" si="72"/>
        <v>2037878.167</v>
      </c>
      <c r="O286" s="140">
        <f t="shared" si="73"/>
        <v>20564043.32</v>
      </c>
      <c r="P286" s="137"/>
      <c r="Q286" s="90" t="s">
        <v>2903</v>
      </c>
      <c r="R286" s="138"/>
      <c r="S286" s="101" t="str">
        <f t="shared" si="7"/>
        <v>#REF!</v>
      </c>
      <c r="T286" s="102" t="str">
        <f t="shared" si="8"/>
        <v>PP25-284</v>
      </c>
      <c r="U286" s="139"/>
      <c r="V286" s="139"/>
      <c r="W286" s="103"/>
      <c r="X286" s="103"/>
      <c r="Y286" s="103"/>
      <c r="Z286" s="104"/>
    </row>
    <row r="287" ht="49.5" customHeight="1">
      <c r="A287" s="132"/>
      <c r="B287" s="90" t="s">
        <v>2900</v>
      </c>
      <c r="C287" s="90">
        <f t="shared" si="75"/>
        <v>285</v>
      </c>
      <c r="D287" s="92" t="str">
        <f t="shared" si="1"/>
        <v>PP25-285</v>
      </c>
      <c r="E287" s="133">
        <v>45874.0</v>
      </c>
      <c r="F287" s="116"/>
      <c r="G287" s="110" t="s">
        <v>3010</v>
      </c>
      <c r="H287" s="134"/>
      <c r="I287" s="134"/>
      <c r="J287" s="135" t="s">
        <v>902</v>
      </c>
      <c r="K287" s="136">
        <v>8616910.0</v>
      </c>
      <c r="L287" s="140">
        <f t="shared" si="82"/>
        <v>646268.25</v>
      </c>
      <c r="M287" s="140">
        <f t="shared" si="69"/>
        <v>9263178.25</v>
      </c>
      <c r="N287" s="142">
        <f t="shared" si="72"/>
        <v>1018949.608</v>
      </c>
      <c r="O287" s="140">
        <f t="shared" si="73"/>
        <v>10282127.86</v>
      </c>
      <c r="P287" s="135"/>
      <c r="Q287" s="90" t="s">
        <v>2903</v>
      </c>
      <c r="R287" s="138"/>
      <c r="S287" s="101" t="str">
        <f t="shared" si="7"/>
        <v>#REF!</v>
      </c>
      <c r="T287" s="102" t="str">
        <f t="shared" si="8"/>
        <v>PP25-285</v>
      </c>
      <c r="U287" s="139"/>
      <c r="V287" s="139"/>
      <c r="W287" s="103"/>
      <c r="X287" s="103"/>
      <c r="Y287" s="103"/>
      <c r="Z287" s="104"/>
    </row>
    <row r="288" ht="49.5" customHeight="1">
      <c r="A288" s="132"/>
      <c r="B288" s="90" t="s">
        <v>2900</v>
      </c>
      <c r="C288" s="90">
        <f t="shared" si="75"/>
        <v>286</v>
      </c>
      <c r="D288" s="92" t="str">
        <f t="shared" si="1"/>
        <v>PP25-286</v>
      </c>
      <c r="E288" s="133">
        <v>45874.0</v>
      </c>
      <c r="F288" s="116"/>
      <c r="G288" s="110" t="s">
        <v>3010</v>
      </c>
      <c r="H288" s="134"/>
      <c r="I288" s="134"/>
      <c r="J288" s="135" t="s">
        <v>904</v>
      </c>
      <c r="K288" s="136">
        <v>8575265.0</v>
      </c>
      <c r="L288" s="140">
        <f t="shared" si="82"/>
        <v>643144.875</v>
      </c>
      <c r="M288" s="140">
        <f t="shared" si="69"/>
        <v>9218409.875</v>
      </c>
      <c r="N288" s="142">
        <f t="shared" si="72"/>
        <v>1014025.086</v>
      </c>
      <c r="O288" s="140">
        <f t="shared" si="73"/>
        <v>10232434.96</v>
      </c>
      <c r="P288" s="137"/>
      <c r="Q288" s="90" t="s">
        <v>2903</v>
      </c>
      <c r="R288" s="138"/>
      <c r="S288" s="101" t="str">
        <f t="shared" si="7"/>
        <v>#REF!</v>
      </c>
      <c r="T288" s="102" t="str">
        <f t="shared" si="8"/>
        <v>PP25-286</v>
      </c>
      <c r="U288" s="139"/>
      <c r="V288" s="139"/>
      <c r="W288" s="103"/>
      <c r="X288" s="103"/>
      <c r="Y288" s="103"/>
      <c r="Z288" s="104"/>
    </row>
    <row r="289" ht="49.5" customHeight="1">
      <c r="A289" s="132"/>
      <c r="B289" s="90" t="s">
        <v>2900</v>
      </c>
      <c r="C289" s="90">
        <f t="shared" si="75"/>
        <v>287</v>
      </c>
      <c r="D289" s="92" t="str">
        <f t="shared" si="1"/>
        <v>PP25-287</v>
      </c>
      <c r="E289" s="133">
        <v>45875.0</v>
      </c>
      <c r="F289" s="116"/>
      <c r="G289" s="116" t="s">
        <v>3012</v>
      </c>
      <c r="H289" s="134"/>
      <c r="I289" s="134"/>
      <c r="J289" s="135" t="s">
        <v>906</v>
      </c>
      <c r="K289" s="136">
        <v>5857200.0</v>
      </c>
      <c r="L289" s="140">
        <f t="shared" ref="L289:L291" si="83">K289*5.5%</f>
        <v>322146</v>
      </c>
      <c r="M289" s="140">
        <f t="shared" si="69"/>
        <v>6179346</v>
      </c>
      <c r="N289" s="142">
        <f t="shared" si="72"/>
        <v>679728.06</v>
      </c>
      <c r="O289" s="140">
        <f t="shared" si="73"/>
        <v>6859074.06</v>
      </c>
      <c r="P289" s="137"/>
      <c r="Q289" s="111" t="s">
        <v>3009</v>
      </c>
      <c r="R289" s="138"/>
      <c r="S289" s="101" t="str">
        <f t="shared" si="7"/>
        <v>#REF!</v>
      </c>
      <c r="T289" s="102" t="str">
        <f t="shared" si="8"/>
        <v>PP25-287</v>
      </c>
      <c r="U289" s="139"/>
      <c r="V289" s="139"/>
      <c r="W289" s="103"/>
      <c r="X289" s="103"/>
      <c r="Y289" s="103"/>
      <c r="Z289" s="104"/>
    </row>
    <row r="290" ht="49.5" customHeight="1">
      <c r="A290" s="132"/>
      <c r="B290" s="90" t="s">
        <v>2900</v>
      </c>
      <c r="C290" s="90">
        <f t="shared" si="75"/>
        <v>288</v>
      </c>
      <c r="D290" s="92" t="str">
        <f t="shared" si="1"/>
        <v>PP25-288</v>
      </c>
      <c r="E290" s="133">
        <v>45875.0</v>
      </c>
      <c r="F290" s="116"/>
      <c r="G290" s="116" t="s">
        <v>3012</v>
      </c>
      <c r="H290" s="134"/>
      <c r="I290" s="134"/>
      <c r="J290" s="135" t="s">
        <v>908</v>
      </c>
      <c r="K290" s="136">
        <v>1.57211385E8</v>
      </c>
      <c r="L290" s="140">
        <f t="shared" si="83"/>
        <v>8646626.175</v>
      </c>
      <c r="M290" s="140">
        <f t="shared" si="69"/>
        <v>165858011.2</v>
      </c>
      <c r="N290" s="142">
        <f t="shared" si="72"/>
        <v>18244381.23</v>
      </c>
      <c r="O290" s="140">
        <f t="shared" si="73"/>
        <v>184102392.4</v>
      </c>
      <c r="P290" s="137"/>
      <c r="Q290" s="111" t="s">
        <v>3009</v>
      </c>
      <c r="R290" s="138"/>
      <c r="S290" s="101" t="str">
        <f t="shared" si="7"/>
        <v>#REF!</v>
      </c>
      <c r="T290" s="102" t="str">
        <f t="shared" si="8"/>
        <v>PP25-288</v>
      </c>
      <c r="U290" s="139"/>
      <c r="V290" s="139"/>
      <c r="W290" s="103"/>
      <c r="X290" s="103"/>
      <c r="Y290" s="103"/>
      <c r="Z290" s="104"/>
    </row>
    <row r="291" ht="49.5" customHeight="1">
      <c r="A291" s="132"/>
      <c r="B291" s="90" t="s">
        <v>2900</v>
      </c>
      <c r="C291" s="90">
        <f t="shared" si="75"/>
        <v>289</v>
      </c>
      <c r="D291" s="92" t="str">
        <f t="shared" si="1"/>
        <v>PP25-289</v>
      </c>
      <c r="E291" s="133">
        <v>45875.0</v>
      </c>
      <c r="F291" s="116"/>
      <c r="G291" s="116" t="s">
        <v>3012</v>
      </c>
      <c r="H291" s="134"/>
      <c r="I291" s="134"/>
      <c r="J291" s="135" t="s">
        <v>910</v>
      </c>
      <c r="K291" s="136">
        <v>7.1494744E7</v>
      </c>
      <c r="L291" s="140">
        <f t="shared" si="83"/>
        <v>3932210.92</v>
      </c>
      <c r="M291" s="140">
        <f t="shared" si="69"/>
        <v>75426954.92</v>
      </c>
      <c r="N291" s="142">
        <f t="shared" si="72"/>
        <v>8296965.041</v>
      </c>
      <c r="O291" s="140">
        <f t="shared" si="73"/>
        <v>83723919.96</v>
      </c>
      <c r="P291" s="137"/>
      <c r="Q291" s="111" t="s">
        <v>3009</v>
      </c>
      <c r="R291" s="138"/>
      <c r="S291" s="101" t="str">
        <f t="shared" si="7"/>
        <v>#REF!</v>
      </c>
      <c r="T291" s="102" t="str">
        <f t="shared" si="8"/>
        <v>PP25-289</v>
      </c>
      <c r="U291" s="139"/>
      <c r="V291" s="139"/>
      <c r="W291" s="103"/>
      <c r="X291" s="103"/>
      <c r="Y291" s="103"/>
      <c r="Z291" s="104"/>
    </row>
    <row r="292" ht="49.5" customHeight="1">
      <c r="A292" s="132"/>
      <c r="B292" s="90" t="s">
        <v>2900</v>
      </c>
      <c r="C292" s="90">
        <f t="shared" si="75"/>
        <v>290</v>
      </c>
      <c r="D292" s="92" t="str">
        <f t="shared" si="1"/>
        <v>PP25-290</v>
      </c>
      <c r="E292" s="133">
        <v>45876.0</v>
      </c>
      <c r="F292" s="116"/>
      <c r="G292" s="110" t="s">
        <v>3010</v>
      </c>
      <c r="H292" s="134"/>
      <c r="I292" s="134"/>
      <c r="J292" s="135" t="s">
        <v>912</v>
      </c>
      <c r="K292" s="136">
        <v>2.91634251E8</v>
      </c>
      <c r="L292" s="140">
        <f>K292*6.3%</f>
        <v>18372957.81</v>
      </c>
      <c r="M292" s="140">
        <f t="shared" si="69"/>
        <v>310007208.8</v>
      </c>
      <c r="N292" s="142">
        <f t="shared" si="72"/>
        <v>34100792.97</v>
      </c>
      <c r="O292" s="140">
        <f t="shared" si="73"/>
        <v>344108001.8</v>
      </c>
      <c r="P292" s="137"/>
      <c r="Q292" s="90" t="s">
        <v>2903</v>
      </c>
      <c r="R292" s="138"/>
      <c r="S292" s="101" t="str">
        <f t="shared" si="7"/>
        <v>#REF!</v>
      </c>
      <c r="T292" s="102" t="str">
        <f t="shared" si="8"/>
        <v>PP25-290</v>
      </c>
      <c r="U292" s="139"/>
      <c r="V292" s="139"/>
      <c r="W292" s="103"/>
      <c r="X292" s="103"/>
      <c r="Y292" s="103"/>
      <c r="Z292" s="104"/>
    </row>
    <row r="293" ht="49.5" customHeight="1">
      <c r="A293" s="132"/>
      <c r="B293" s="90" t="s">
        <v>2900</v>
      </c>
      <c r="C293" s="90">
        <f t="shared" si="75"/>
        <v>291</v>
      </c>
      <c r="D293" s="92" t="str">
        <f t="shared" si="1"/>
        <v>PP25-291</v>
      </c>
      <c r="E293" s="133">
        <v>45877.0</v>
      </c>
      <c r="F293" s="116"/>
      <c r="G293" s="110" t="s">
        <v>3010</v>
      </c>
      <c r="H293" s="134"/>
      <c r="I293" s="134"/>
      <c r="J293" s="135" t="s">
        <v>914</v>
      </c>
      <c r="K293" s="136">
        <v>2.27998934E8</v>
      </c>
      <c r="L293" s="140"/>
      <c r="M293" s="140">
        <f t="shared" si="69"/>
        <v>227998934</v>
      </c>
      <c r="N293" s="142">
        <v>0.0</v>
      </c>
      <c r="O293" s="140">
        <f t="shared" si="73"/>
        <v>227998934</v>
      </c>
      <c r="P293" s="137"/>
      <c r="Q293" s="111" t="s">
        <v>2949</v>
      </c>
      <c r="R293" s="138"/>
      <c r="S293" s="101" t="str">
        <f t="shared" si="7"/>
        <v>#REF!</v>
      </c>
      <c r="T293" s="102" t="str">
        <f t="shared" si="8"/>
        <v>PP25-291</v>
      </c>
      <c r="U293" s="139"/>
      <c r="V293" s="139"/>
      <c r="W293" s="103"/>
      <c r="X293" s="103"/>
      <c r="Y293" s="103"/>
      <c r="Z293" s="104"/>
    </row>
    <row r="294" ht="49.5" customHeight="1">
      <c r="A294" s="132"/>
      <c r="B294" s="90" t="s">
        <v>2900</v>
      </c>
      <c r="C294" s="90">
        <f t="shared" si="75"/>
        <v>292</v>
      </c>
      <c r="D294" s="92" t="str">
        <f t="shared" si="1"/>
        <v>PP25-292</v>
      </c>
      <c r="E294" s="133">
        <v>45877.0</v>
      </c>
      <c r="F294" s="116"/>
      <c r="G294" s="110" t="s">
        <v>3010</v>
      </c>
      <c r="H294" s="134"/>
      <c r="I294" s="134"/>
      <c r="J294" s="135" t="s">
        <v>916</v>
      </c>
      <c r="K294" s="136">
        <v>6.2360046E7</v>
      </c>
      <c r="L294" s="140">
        <f>K294*5.3%</f>
        <v>3305082.438</v>
      </c>
      <c r="M294" s="140">
        <f t="shared" si="69"/>
        <v>65665128.44</v>
      </c>
      <c r="N294" s="142">
        <v>0.0</v>
      </c>
      <c r="O294" s="140">
        <f t="shared" si="73"/>
        <v>65665128.44</v>
      </c>
      <c r="P294" s="137"/>
      <c r="Q294" s="141" t="s">
        <v>2949</v>
      </c>
      <c r="R294" s="138"/>
      <c r="S294" s="101" t="str">
        <f t="shared" si="7"/>
        <v>#REF!</v>
      </c>
      <c r="T294" s="102" t="str">
        <f t="shared" si="8"/>
        <v>PP25-292</v>
      </c>
      <c r="U294" s="139"/>
      <c r="V294" s="139"/>
      <c r="W294" s="103"/>
      <c r="X294" s="103"/>
      <c r="Y294" s="103"/>
      <c r="Z294" s="104"/>
    </row>
    <row r="295" ht="49.5" customHeight="1">
      <c r="A295" s="132"/>
      <c r="B295" s="90" t="s">
        <v>2900</v>
      </c>
      <c r="C295" s="90">
        <f t="shared" si="75"/>
        <v>293</v>
      </c>
      <c r="D295" s="92" t="str">
        <f t="shared" si="1"/>
        <v>PP25-293</v>
      </c>
      <c r="E295" s="133">
        <v>45877.0</v>
      </c>
      <c r="F295" s="116"/>
      <c r="G295" s="110" t="s">
        <v>3010</v>
      </c>
      <c r="H295" s="116"/>
      <c r="I295" s="116"/>
      <c r="J295" s="135" t="s">
        <v>918</v>
      </c>
      <c r="K295" s="136">
        <v>4.6481711E7</v>
      </c>
      <c r="L295" s="140"/>
      <c r="M295" s="140">
        <f t="shared" si="69"/>
        <v>46481711</v>
      </c>
      <c r="N295" s="142">
        <v>0.0</v>
      </c>
      <c r="O295" s="140">
        <f t="shared" si="73"/>
        <v>46481711</v>
      </c>
      <c r="P295" s="137"/>
      <c r="Q295" s="141" t="s">
        <v>2949</v>
      </c>
      <c r="R295" s="138"/>
      <c r="S295" s="101" t="str">
        <f t="shared" si="7"/>
        <v>#REF!</v>
      </c>
      <c r="T295" s="102" t="str">
        <f t="shared" si="8"/>
        <v>PP25-293</v>
      </c>
      <c r="U295" s="139"/>
      <c r="V295" s="139"/>
      <c r="W295" s="103"/>
      <c r="X295" s="103"/>
      <c r="Y295" s="103"/>
      <c r="Z295" s="104"/>
    </row>
    <row r="296" ht="49.5" customHeight="1">
      <c r="A296" s="132"/>
      <c r="B296" s="90" t="s">
        <v>2900</v>
      </c>
      <c r="C296" s="90">
        <f t="shared" si="75"/>
        <v>294</v>
      </c>
      <c r="D296" s="92" t="str">
        <f t="shared" si="1"/>
        <v>PP25-294</v>
      </c>
      <c r="E296" s="133">
        <v>45877.0</v>
      </c>
      <c r="F296" s="116"/>
      <c r="G296" s="110" t="s">
        <v>3010</v>
      </c>
      <c r="H296" s="116"/>
      <c r="I296" s="116"/>
      <c r="J296" s="135" t="s">
        <v>920</v>
      </c>
      <c r="K296" s="136">
        <v>1.147573E7</v>
      </c>
      <c r="L296" s="140"/>
      <c r="M296" s="140">
        <f t="shared" si="69"/>
        <v>11475730</v>
      </c>
      <c r="N296" s="142">
        <f>M296*11%</f>
        <v>1262330.3</v>
      </c>
      <c r="O296" s="140">
        <f t="shared" si="73"/>
        <v>12738060.3</v>
      </c>
      <c r="P296" s="137"/>
      <c r="Q296" s="141" t="s">
        <v>2949</v>
      </c>
      <c r="R296" s="138"/>
      <c r="S296" s="101" t="str">
        <f t="shared" si="7"/>
        <v>#REF!</v>
      </c>
      <c r="T296" s="102" t="str">
        <f t="shared" si="8"/>
        <v>PP25-294</v>
      </c>
      <c r="U296" s="139"/>
      <c r="V296" s="139"/>
      <c r="W296" s="103"/>
      <c r="X296" s="103"/>
      <c r="Y296" s="103"/>
      <c r="Z296" s="104"/>
    </row>
    <row r="297" ht="49.5" customHeight="1">
      <c r="A297" s="132"/>
      <c r="B297" s="90" t="s">
        <v>2900</v>
      </c>
      <c r="C297" s="90">
        <f t="shared" si="75"/>
        <v>295</v>
      </c>
      <c r="D297" s="92" t="str">
        <f t="shared" si="1"/>
        <v>PP25-295</v>
      </c>
      <c r="E297" s="133">
        <v>45877.0</v>
      </c>
      <c r="F297" s="116"/>
      <c r="G297" s="110" t="s">
        <v>3010</v>
      </c>
      <c r="H297" s="116"/>
      <c r="I297" s="116"/>
      <c r="J297" s="135" t="s">
        <v>922</v>
      </c>
      <c r="K297" s="136">
        <v>3305082.0</v>
      </c>
      <c r="L297" s="140"/>
      <c r="M297" s="140"/>
      <c r="N297" s="140"/>
      <c r="O297" s="140">
        <f>K297+N297</f>
        <v>3305082</v>
      </c>
      <c r="P297" s="143"/>
      <c r="Q297" s="111" t="s">
        <v>2949</v>
      </c>
      <c r="R297" s="145"/>
      <c r="S297" s="101" t="str">
        <f t="shared" si="7"/>
        <v>#REF!</v>
      </c>
      <c r="T297" s="102" t="str">
        <f t="shared" si="8"/>
        <v>PP25-295</v>
      </c>
      <c r="U297" s="139"/>
      <c r="V297" s="139"/>
      <c r="W297" s="103"/>
      <c r="X297" s="103"/>
      <c r="Y297" s="103"/>
      <c r="Z297" s="104"/>
    </row>
    <row r="298" ht="49.5" customHeight="1">
      <c r="A298" s="132"/>
      <c r="B298" s="90" t="s">
        <v>2900</v>
      </c>
      <c r="C298" s="90">
        <f t="shared" si="75"/>
        <v>296</v>
      </c>
      <c r="D298" s="92" t="str">
        <f t="shared" si="1"/>
        <v>PP25-296</v>
      </c>
      <c r="E298" s="133">
        <v>45877.0</v>
      </c>
      <c r="F298" s="116"/>
      <c r="G298" s="110" t="s">
        <v>3010</v>
      </c>
      <c r="H298" s="116"/>
      <c r="I298" s="116"/>
      <c r="J298" s="135" t="s">
        <v>924</v>
      </c>
      <c r="K298" s="136">
        <v>2463531.0</v>
      </c>
      <c r="L298" s="140"/>
      <c r="M298" s="140">
        <f t="shared" ref="M298:M462" si="84">K298+L298</f>
        <v>2463531</v>
      </c>
      <c r="N298" s="142">
        <f>M298*11%</f>
        <v>270988.41</v>
      </c>
      <c r="O298" s="140">
        <f t="shared" ref="O298:O462" si="85">M298+N298</f>
        <v>2734519.41</v>
      </c>
      <c r="P298" s="137"/>
      <c r="Q298" s="111" t="s">
        <v>2949</v>
      </c>
      <c r="R298" s="138"/>
      <c r="S298" s="101" t="str">
        <f t="shared" si="7"/>
        <v>#REF!</v>
      </c>
      <c r="T298" s="102" t="str">
        <f t="shared" si="8"/>
        <v>PP25-296</v>
      </c>
      <c r="U298" s="139"/>
      <c r="V298" s="139"/>
      <c r="W298" s="103"/>
      <c r="X298" s="103"/>
      <c r="Y298" s="103"/>
      <c r="Z298" s="104"/>
    </row>
    <row r="299" ht="49.5" customHeight="1">
      <c r="A299" s="132"/>
      <c r="B299" s="90" t="s">
        <v>2900</v>
      </c>
      <c r="C299" s="90">
        <f t="shared" si="75"/>
        <v>297</v>
      </c>
      <c r="D299" s="92" t="str">
        <f t="shared" si="1"/>
        <v>PP25-297</v>
      </c>
      <c r="E299" s="133">
        <v>45880.0</v>
      </c>
      <c r="F299" s="116"/>
      <c r="G299" s="110" t="s">
        <v>3010</v>
      </c>
      <c r="H299" s="116"/>
      <c r="I299" s="116"/>
      <c r="J299" s="135" t="s">
        <v>1694</v>
      </c>
      <c r="K299" s="136">
        <v>3.7737408E7</v>
      </c>
      <c r="L299" s="140"/>
      <c r="M299" s="140">
        <f t="shared" si="84"/>
        <v>37737408</v>
      </c>
      <c r="N299" s="142">
        <v>0.0</v>
      </c>
      <c r="O299" s="140">
        <f t="shared" si="85"/>
        <v>37737408</v>
      </c>
      <c r="P299" s="137"/>
      <c r="Q299" s="90" t="s">
        <v>2903</v>
      </c>
      <c r="R299" s="138"/>
      <c r="S299" s="101" t="str">
        <f t="shared" si="7"/>
        <v>#REF!</v>
      </c>
      <c r="T299" s="102" t="str">
        <f t="shared" si="8"/>
        <v>PP25-297</v>
      </c>
      <c r="U299" s="139"/>
      <c r="V299" s="139"/>
      <c r="W299" s="103"/>
      <c r="X299" s="103"/>
      <c r="Y299" s="103"/>
      <c r="Z299" s="103"/>
    </row>
    <row r="300" ht="49.5" customHeight="1">
      <c r="A300" s="132"/>
      <c r="B300" s="90" t="s">
        <v>2900</v>
      </c>
      <c r="C300" s="90">
        <f t="shared" si="75"/>
        <v>298</v>
      </c>
      <c r="D300" s="92" t="str">
        <f t="shared" si="1"/>
        <v>PP25-298</v>
      </c>
      <c r="E300" s="133">
        <v>45880.0</v>
      </c>
      <c r="F300" s="116"/>
      <c r="G300" s="110" t="s">
        <v>3010</v>
      </c>
      <c r="H300" s="116"/>
      <c r="I300" s="116"/>
      <c r="J300" s="135" t="s">
        <v>1697</v>
      </c>
      <c r="K300" s="136">
        <v>2.1132949E7</v>
      </c>
      <c r="L300" s="140"/>
      <c r="M300" s="140">
        <f t="shared" si="84"/>
        <v>21132949</v>
      </c>
      <c r="N300" s="142">
        <f t="shared" ref="N300:N302" si="86">M300*11%</f>
        <v>2324624.39</v>
      </c>
      <c r="O300" s="140">
        <f t="shared" si="85"/>
        <v>23457573.39</v>
      </c>
      <c r="P300" s="137"/>
      <c r="Q300" s="90" t="s">
        <v>2903</v>
      </c>
      <c r="R300" s="138"/>
      <c r="S300" s="101" t="str">
        <f t="shared" si="7"/>
        <v>#REF!</v>
      </c>
      <c r="T300" s="102" t="str">
        <f t="shared" si="8"/>
        <v>PP25-298</v>
      </c>
      <c r="U300" s="139"/>
      <c r="V300" s="139"/>
      <c r="W300" s="103"/>
      <c r="X300" s="103"/>
      <c r="Y300" s="103"/>
      <c r="Z300" s="104"/>
    </row>
    <row r="301" ht="49.5" customHeight="1">
      <c r="A301" s="132"/>
      <c r="B301" s="90" t="s">
        <v>2900</v>
      </c>
      <c r="C301" s="90">
        <f t="shared" si="75"/>
        <v>299</v>
      </c>
      <c r="D301" s="92" t="str">
        <f t="shared" si="1"/>
        <v>PP25-299</v>
      </c>
      <c r="E301" s="133">
        <v>45870.0</v>
      </c>
      <c r="F301" s="116"/>
      <c r="G301" s="110" t="s">
        <v>3010</v>
      </c>
      <c r="H301" s="116"/>
      <c r="I301" s="116"/>
      <c r="J301" s="135" t="s">
        <v>931</v>
      </c>
      <c r="K301" s="136">
        <v>4917000.0</v>
      </c>
      <c r="L301" s="140">
        <f t="shared" ref="L301:L302" si="87">K301*5.3%</f>
        <v>260601</v>
      </c>
      <c r="M301" s="140">
        <f t="shared" si="84"/>
        <v>5177601</v>
      </c>
      <c r="N301" s="142">
        <f t="shared" si="86"/>
        <v>569536.11</v>
      </c>
      <c r="O301" s="140">
        <f t="shared" si="85"/>
        <v>5747137.11</v>
      </c>
      <c r="P301" s="137"/>
      <c r="Q301" s="141" t="s">
        <v>2949</v>
      </c>
      <c r="R301" s="138"/>
      <c r="S301" s="101" t="str">
        <f t="shared" si="7"/>
        <v>#REF!</v>
      </c>
      <c r="T301" s="102" t="str">
        <f t="shared" si="8"/>
        <v>PP25-299</v>
      </c>
      <c r="U301" s="139"/>
      <c r="V301" s="139"/>
      <c r="W301" s="103"/>
      <c r="X301" s="103"/>
      <c r="Y301" s="103"/>
      <c r="Z301" s="104"/>
    </row>
    <row r="302" ht="49.5" customHeight="1">
      <c r="A302" s="132"/>
      <c r="B302" s="90" t="s">
        <v>2900</v>
      </c>
      <c r="C302" s="90">
        <f t="shared" si="75"/>
        <v>300</v>
      </c>
      <c r="D302" s="92" t="str">
        <f t="shared" si="1"/>
        <v>PP25-300</v>
      </c>
      <c r="E302" s="133">
        <v>45882.0</v>
      </c>
      <c r="F302" s="116"/>
      <c r="G302" s="110" t="s">
        <v>3010</v>
      </c>
      <c r="H302" s="116"/>
      <c r="I302" s="116"/>
      <c r="J302" s="135" t="s">
        <v>933</v>
      </c>
      <c r="K302" s="136">
        <v>3318666.0</v>
      </c>
      <c r="L302" s="140">
        <f t="shared" si="87"/>
        <v>175889.298</v>
      </c>
      <c r="M302" s="140">
        <f t="shared" si="84"/>
        <v>3494555.298</v>
      </c>
      <c r="N302" s="142">
        <f t="shared" si="86"/>
        <v>384401.0828</v>
      </c>
      <c r="O302" s="140">
        <f t="shared" si="85"/>
        <v>3878956.381</v>
      </c>
      <c r="P302" s="137"/>
      <c r="Q302" s="141" t="s">
        <v>2949</v>
      </c>
      <c r="R302" s="138"/>
      <c r="S302" s="101" t="str">
        <f t="shared" si="7"/>
        <v>#REF!</v>
      </c>
      <c r="T302" s="102" t="str">
        <f t="shared" si="8"/>
        <v>PP25-300</v>
      </c>
      <c r="U302" s="139"/>
      <c r="V302" s="139"/>
      <c r="W302" s="103"/>
      <c r="X302" s="103"/>
      <c r="Y302" s="103"/>
      <c r="Z302" s="104"/>
    </row>
    <row r="303" ht="49.5" customHeight="1">
      <c r="A303" s="132"/>
      <c r="B303" s="90" t="s">
        <v>2900</v>
      </c>
      <c r="C303" s="90">
        <f t="shared" si="75"/>
        <v>301</v>
      </c>
      <c r="D303" s="92" t="str">
        <f t="shared" si="1"/>
        <v>PP25-301</v>
      </c>
      <c r="E303" s="133">
        <v>45883.0</v>
      </c>
      <c r="F303" s="116"/>
      <c r="G303" s="93" t="s">
        <v>3010</v>
      </c>
      <c r="H303" s="116"/>
      <c r="I303" s="116"/>
      <c r="J303" s="135" t="s">
        <v>1709</v>
      </c>
      <c r="K303" s="136">
        <v>4.96704453E8</v>
      </c>
      <c r="L303" s="140"/>
      <c r="M303" s="140">
        <f t="shared" si="84"/>
        <v>496704453</v>
      </c>
      <c r="N303" s="142">
        <v>0.0</v>
      </c>
      <c r="O303" s="140">
        <f t="shared" si="85"/>
        <v>496704453</v>
      </c>
      <c r="P303" s="137"/>
      <c r="Q303" s="141" t="s">
        <v>2934</v>
      </c>
      <c r="R303" s="138"/>
      <c r="S303" s="101" t="str">
        <f t="shared" si="7"/>
        <v>#REF!</v>
      </c>
      <c r="T303" s="102" t="str">
        <f t="shared" si="8"/>
        <v>PP25-301</v>
      </c>
      <c r="U303" s="139"/>
      <c r="V303" s="139"/>
      <c r="W303" s="103"/>
      <c r="X303" s="103"/>
      <c r="Y303" s="103"/>
      <c r="Z303" s="104"/>
    </row>
    <row r="304" ht="49.5" customHeight="1">
      <c r="A304" s="132"/>
      <c r="B304" s="90" t="s">
        <v>2900</v>
      </c>
      <c r="C304" s="90">
        <f t="shared" si="75"/>
        <v>302</v>
      </c>
      <c r="D304" s="92" t="str">
        <f t="shared" si="1"/>
        <v>PP25-302</v>
      </c>
      <c r="E304" s="133">
        <v>45883.0</v>
      </c>
      <c r="F304" s="116"/>
      <c r="G304" s="93" t="s">
        <v>3010</v>
      </c>
      <c r="H304" s="116"/>
      <c r="I304" s="116"/>
      <c r="J304" s="135" t="s">
        <v>1712</v>
      </c>
      <c r="K304" s="136">
        <v>2.8808858E7</v>
      </c>
      <c r="L304" s="140"/>
      <c r="M304" s="140">
        <f t="shared" si="84"/>
        <v>28808858</v>
      </c>
      <c r="N304" s="142">
        <f t="shared" ref="N304:N315" si="88">M304*11%</f>
        <v>3168974.38</v>
      </c>
      <c r="O304" s="140">
        <f t="shared" si="85"/>
        <v>31977832.38</v>
      </c>
      <c r="P304" s="137"/>
      <c r="Q304" s="141" t="s">
        <v>2934</v>
      </c>
      <c r="R304" s="138"/>
      <c r="S304" s="101" t="str">
        <f t="shared" si="7"/>
        <v>#REF!</v>
      </c>
      <c r="T304" s="102" t="str">
        <f t="shared" si="8"/>
        <v>PP25-302</v>
      </c>
      <c r="U304" s="139"/>
      <c r="V304" s="139"/>
      <c r="W304" s="103"/>
      <c r="X304" s="103"/>
      <c r="Y304" s="103"/>
      <c r="Z304" s="104"/>
    </row>
    <row r="305" ht="49.5" customHeight="1">
      <c r="A305" s="132"/>
      <c r="B305" s="90" t="s">
        <v>2900</v>
      </c>
      <c r="C305" s="90">
        <f t="shared" si="75"/>
        <v>303</v>
      </c>
      <c r="D305" s="92" t="str">
        <f t="shared" si="1"/>
        <v>PP25-303</v>
      </c>
      <c r="E305" s="133">
        <v>45884.0</v>
      </c>
      <c r="F305" s="116"/>
      <c r="G305" s="116" t="s">
        <v>80</v>
      </c>
      <c r="H305" s="116"/>
      <c r="I305" s="116"/>
      <c r="J305" s="135" t="s">
        <v>942</v>
      </c>
      <c r="K305" s="136">
        <v>2.0E8</v>
      </c>
      <c r="L305" s="140">
        <f>K305*12%</f>
        <v>24000000</v>
      </c>
      <c r="M305" s="140">
        <f t="shared" si="84"/>
        <v>224000000</v>
      </c>
      <c r="N305" s="142">
        <f t="shared" si="88"/>
        <v>24640000</v>
      </c>
      <c r="O305" s="140">
        <f t="shared" si="85"/>
        <v>248640000</v>
      </c>
      <c r="P305" s="137"/>
      <c r="Q305" s="141" t="s">
        <v>30</v>
      </c>
      <c r="R305" s="138"/>
      <c r="S305" s="101" t="str">
        <f t="shared" si="7"/>
        <v>#REF!</v>
      </c>
      <c r="T305" s="102" t="str">
        <f t="shared" si="8"/>
        <v>PP25-303</v>
      </c>
      <c r="U305" s="139"/>
      <c r="V305" s="139"/>
      <c r="W305" s="103"/>
      <c r="X305" s="103"/>
      <c r="Y305" s="103"/>
      <c r="Z305" s="104"/>
    </row>
    <row r="306" ht="49.5" customHeight="1">
      <c r="A306" s="132"/>
      <c r="B306" s="90" t="s">
        <v>2900</v>
      </c>
      <c r="C306" s="90">
        <f t="shared" si="75"/>
        <v>304</v>
      </c>
      <c r="D306" s="92" t="str">
        <f t="shared" si="1"/>
        <v>PP25-304</v>
      </c>
      <c r="E306" s="133">
        <v>45891.0</v>
      </c>
      <c r="F306" s="116"/>
      <c r="G306" s="110" t="s">
        <v>3010</v>
      </c>
      <c r="H306" s="116"/>
      <c r="I306" s="116"/>
      <c r="J306" s="135" t="s">
        <v>944</v>
      </c>
      <c r="K306" s="136">
        <v>3.465998E7</v>
      </c>
      <c r="L306" s="140">
        <f t="shared" ref="L306:L308" si="89">K306*5.3%</f>
        <v>1836978.94</v>
      </c>
      <c r="M306" s="140">
        <f t="shared" si="84"/>
        <v>36496958.94</v>
      </c>
      <c r="N306" s="142">
        <f t="shared" si="88"/>
        <v>4014665.483</v>
      </c>
      <c r="O306" s="140">
        <f t="shared" si="85"/>
        <v>40511624.42</v>
      </c>
      <c r="P306" s="137"/>
      <c r="Q306" s="141" t="s">
        <v>3002</v>
      </c>
      <c r="R306" s="138"/>
      <c r="S306" s="101" t="str">
        <f t="shared" si="7"/>
        <v>#REF!</v>
      </c>
      <c r="T306" s="102" t="str">
        <f t="shared" si="8"/>
        <v>PP25-304</v>
      </c>
      <c r="U306" s="139"/>
      <c r="V306" s="139"/>
      <c r="W306" s="103"/>
      <c r="X306" s="103"/>
      <c r="Y306" s="103"/>
      <c r="Z306" s="104"/>
    </row>
    <row r="307" ht="49.5" customHeight="1">
      <c r="A307" s="132"/>
      <c r="B307" s="90" t="s">
        <v>2900</v>
      </c>
      <c r="C307" s="90">
        <f t="shared" si="75"/>
        <v>305</v>
      </c>
      <c r="D307" s="92" t="str">
        <f t="shared" si="1"/>
        <v>PP25-305</v>
      </c>
      <c r="E307" s="133">
        <v>45891.0</v>
      </c>
      <c r="F307" s="116"/>
      <c r="G307" s="110" t="s">
        <v>3010</v>
      </c>
      <c r="H307" s="116"/>
      <c r="I307" s="116"/>
      <c r="J307" s="135" t="s">
        <v>946</v>
      </c>
      <c r="K307" s="136">
        <v>1.28399484E8</v>
      </c>
      <c r="L307" s="140">
        <f t="shared" si="89"/>
        <v>6805172.652</v>
      </c>
      <c r="M307" s="140">
        <f t="shared" si="84"/>
        <v>135204656.7</v>
      </c>
      <c r="N307" s="142">
        <f t="shared" si="88"/>
        <v>14872512.23</v>
      </c>
      <c r="O307" s="140">
        <f t="shared" si="85"/>
        <v>150077168.9</v>
      </c>
      <c r="P307" s="137"/>
      <c r="Q307" s="141" t="s">
        <v>3002</v>
      </c>
      <c r="R307" s="138"/>
      <c r="S307" s="101" t="str">
        <f t="shared" si="7"/>
        <v>#REF!</v>
      </c>
      <c r="T307" s="102" t="str">
        <f t="shared" si="8"/>
        <v>PP25-305</v>
      </c>
      <c r="U307" s="139"/>
      <c r="V307" s="139"/>
      <c r="W307" s="103"/>
      <c r="X307" s="103"/>
      <c r="Y307" s="103"/>
      <c r="Z307" s="103"/>
    </row>
    <row r="308" ht="49.5" customHeight="1">
      <c r="A308" s="132"/>
      <c r="B308" s="90" t="s">
        <v>2900</v>
      </c>
      <c r="C308" s="90">
        <f t="shared" si="75"/>
        <v>306</v>
      </c>
      <c r="D308" s="92" t="str">
        <f t="shared" si="1"/>
        <v>PP25-306</v>
      </c>
      <c r="E308" s="133">
        <v>45894.0</v>
      </c>
      <c r="F308" s="116"/>
      <c r="G308" s="110" t="s">
        <v>3010</v>
      </c>
      <c r="H308" s="116"/>
      <c r="I308" s="116"/>
      <c r="J308" s="135" t="s">
        <v>948</v>
      </c>
      <c r="K308" s="136">
        <v>3.49144848E8</v>
      </c>
      <c r="L308" s="140">
        <f t="shared" si="89"/>
        <v>18504676.94</v>
      </c>
      <c r="M308" s="140">
        <f t="shared" si="84"/>
        <v>367649524.9</v>
      </c>
      <c r="N308" s="142">
        <f t="shared" si="88"/>
        <v>40441447.74</v>
      </c>
      <c r="O308" s="140">
        <f t="shared" si="85"/>
        <v>408090972.7</v>
      </c>
      <c r="P308" s="137"/>
      <c r="Q308" s="111" t="s">
        <v>3002</v>
      </c>
      <c r="R308" s="138"/>
      <c r="S308" s="101" t="str">
        <f t="shared" si="7"/>
        <v>#REF!</v>
      </c>
      <c r="T308" s="102" t="str">
        <f t="shared" si="8"/>
        <v>PP25-306</v>
      </c>
      <c r="U308" s="139"/>
      <c r="V308" s="139"/>
      <c r="W308" s="103"/>
      <c r="X308" s="103"/>
      <c r="Y308" s="103"/>
      <c r="Z308" s="104"/>
    </row>
    <row r="309" ht="49.5" customHeight="1">
      <c r="A309" s="132"/>
      <c r="B309" s="90" t="s">
        <v>2900</v>
      </c>
      <c r="C309" s="90">
        <f t="shared" si="75"/>
        <v>307</v>
      </c>
      <c r="D309" s="92" t="str">
        <f t="shared" si="1"/>
        <v>PP25-307</v>
      </c>
      <c r="E309" s="133">
        <v>45894.0</v>
      </c>
      <c r="F309" s="116"/>
      <c r="G309" s="110" t="s">
        <v>3010</v>
      </c>
      <c r="H309" s="116"/>
      <c r="I309" s="116"/>
      <c r="J309" s="135" t="s">
        <v>950</v>
      </c>
      <c r="K309" s="136">
        <v>3.14022863E8</v>
      </c>
      <c r="L309" s="140">
        <f>K309*5.4%</f>
        <v>16957234.6</v>
      </c>
      <c r="M309" s="140">
        <f t="shared" si="84"/>
        <v>330980097.6</v>
      </c>
      <c r="N309" s="142">
        <f t="shared" si="88"/>
        <v>36407810.74</v>
      </c>
      <c r="O309" s="140">
        <f t="shared" si="85"/>
        <v>367387908.3</v>
      </c>
      <c r="P309" s="137"/>
      <c r="Q309" s="111" t="s">
        <v>3002</v>
      </c>
      <c r="R309" s="138"/>
      <c r="S309" s="101" t="str">
        <f t="shared" si="7"/>
        <v>#REF!</v>
      </c>
      <c r="T309" s="102" t="str">
        <f t="shared" si="8"/>
        <v>PP25-307</v>
      </c>
      <c r="U309" s="139"/>
      <c r="V309" s="139"/>
      <c r="W309" s="103"/>
      <c r="X309" s="103"/>
      <c r="Y309" s="103"/>
      <c r="Z309" s="103"/>
    </row>
    <row r="310" ht="49.5" customHeight="1">
      <c r="A310" s="132"/>
      <c r="B310" s="90" t="s">
        <v>2900</v>
      </c>
      <c r="C310" s="90">
        <f t="shared" si="75"/>
        <v>308</v>
      </c>
      <c r="D310" s="92" t="str">
        <f t="shared" si="1"/>
        <v>PP25-308</v>
      </c>
      <c r="E310" s="133">
        <v>45895.0</v>
      </c>
      <c r="F310" s="116"/>
      <c r="G310" s="116" t="s">
        <v>67</v>
      </c>
      <c r="H310" s="116"/>
      <c r="I310" s="116"/>
      <c r="J310" s="135" t="s">
        <v>952</v>
      </c>
      <c r="K310" s="136">
        <v>6.2687904E8</v>
      </c>
      <c r="L310" s="140">
        <f>K310*8.5%</f>
        <v>53284718.4</v>
      </c>
      <c r="M310" s="140">
        <f t="shared" si="84"/>
        <v>680163758.4</v>
      </c>
      <c r="N310" s="142">
        <f t="shared" si="88"/>
        <v>74818013.42</v>
      </c>
      <c r="O310" s="140">
        <f t="shared" si="85"/>
        <v>754981771.8</v>
      </c>
      <c r="P310" s="143"/>
      <c r="Q310" s="111" t="s">
        <v>30</v>
      </c>
      <c r="R310" s="138"/>
      <c r="S310" s="101" t="str">
        <f t="shared" si="7"/>
        <v>#REF!</v>
      </c>
      <c r="T310" s="102" t="str">
        <f t="shared" si="8"/>
        <v>PP25-308</v>
      </c>
      <c r="U310" s="139"/>
      <c r="V310" s="139"/>
      <c r="W310" s="103"/>
      <c r="X310" s="103"/>
      <c r="Y310" s="103"/>
      <c r="Z310" s="104"/>
    </row>
    <row r="311" ht="49.5" customHeight="1">
      <c r="A311" s="132"/>
      <c r="B311" s="90" t="s">
        <v>2900</v>
      </c>
      <c r="C311" s="90">
        <f t="shared" si="75"/>
        <v>309</v>
      </c>
      <c r="D311" s="92" t="str">
        <f t="shared" si="1"/>
        <v>PP25-309</v>
      </c>
      <c r="E311" s="133">
        <v>45895.0</v>
      </c>
      <c r="F311" s="116"/>
      <c r="G311" s="93" t="s">
        <v>3010</v>
      </c>
      <c r="H311" s="116"/>
      <c r="I311" s="116"/>
      <c r="J311" s="135" t="s">
        <v>1744</v>
      </c>
      <c r="K311" s="136">
        <v>8.838917E7</v>
      </c>
      <c r="L311" s="140"/>
      <c r="M311" s="140">
        <f t="shared" si="84"/>
        <v>88389170</v>
      </c>
      <c r="N311" s="142">
        <f t="shared" si="88"/>
        <v>9722808.7</v>
      </c>
      <c r="O311" s="140">
        <f t="shared" si="85"/>
        <v>98111978.7</v>
      </c>
      <c r="P311" s="137"/>
      <c r="Q311" s="111" t="s">
        <v>2934</v>
      </c>
      <c r="R311" s="138"/>
      <c r="S311" s="101" t="str">
        <f t="shared" si="7"/>
        <v>#REF!</v>
      </c>
      <c r="T311" s="102" t="str">
        <f t="shared" si="8"/>
        <v>PP25-309</v>
      </c>
      <c r="U311" s="139"/>
      <c r="V311" s="139"/>
      <c r="W311" s="103"/>
      <c r="X311" s="103"/>
      <c r="Y311" s="103"/>
      <c r="Z311" s="104"/>
    </row>
    <row r="312" ht="49.5" customHeight="1">
      <c r="A312" s="132"/>
      <c r="B312" s="90" t="s">
        <v>2900</v>
      </c>
      <c r="C312" s="90">
        <f t="shared" si="75"/>
        <v>310</v>
      </c>
      <c r="D312" s="92" t="str">
        <f t="shared" si="1"/>
        <v>PP25-310</v>
      </c>
      <c r="E312" s="133">
        <v>45895.0</v>
      </c>
      <c r="F312" s="116"/>
      <c r="G312" s="93" t="s">
        <v>3010</v>
      </c>
      <c r="H312" s="116"/>
      <c r="I312" s="116"/>
      <c r="J312" s="135" t="s">
        <v>1749</v>
      </c>
      <c r="K312" s="136">
        <v>1.44648225E8</v>
      </c>
      <c r="L312" s="140"/>
      <c r="M312" s="140">
        <f t="shared" si="84"/>
        <v>144648225</v>
      </c>
      <c r="N312" s="142">
        <f t="shared" si="88"/>
        <v>15911304.75</v>
      </c>
      <c r="O312" s="140">
        <f t="shared" si="85"/>
        <v>160559529.8</v>
      </c>
      <c r="P312" s="137"/>
      <c r="Q312" s="111" t="s">
        <v>2934</v>
      </c>
      <c r="R312" s="138"/>
      <c r="S312" s="101" t="str">
        <f t="shared" si="7"/>
        <v>#REF!</v>
      </c>
      <c r="T312" s="102" t="str">
        <f t="shared" si="8"/>
        <v>PP25-310</v>
      </c>
      <c r="U312" s="139"/>
      <c r="V312" s="139"/>
      <c r="W312" s="103"/>
      <c r="X312" s="103"/>
      <c r="Y312" s="103"/>
      <c r="Z312" s="103"/>
    </row>
    <row r="313" ht="49.5" customHeight="1">
      <c r="A313" s="132"/>
      <c r="B313" s="90" t="s">
        <v>2900</v>
      </c>
      <c r="C313" s="90">
        <f t="shared" si="75"/>
        <v>311</v>
      </c>
      <c r="D313" s="92" t="str">
        <f t="shared" si="1"/>
        <v>PP25-311</v>
      </c>
      <c r="E313" s="133">
        <v>45895.0</v>
      </c>
      <c r="F313" s="116"/>
      <c r="G313" s="93" t="s">
        <v>3010</v>
      </c>
      <c r="H313" s="116"/>
      <c r="I313" s="116"/>
      <c r="J313" s="135" t="s">
        <v>1754</v>
      </c>
      <c r="K313" s="136">
        <v>7255244.0</v>
      </c>
      <c r="L313" s="140"/>
      <c r="M313" s="140">
        <f t="shared" si="84"/>
        <v>7255244</v>
      </c>
      <c r="N313" s="142">
        <f t="shared" si="88"/>
        <v>798076.84</v>
      </c>
      <c r="O313" s="140">
        <f t="shared" si="85"/>
        <v>8053320.84</v>
      </c>
      <c r="P313" s="135"/>
      <c r="Q313" s="111" t="s">
        <v>2934</v>
      </c>
      <c r="R313" s="138"/>
      <c r="S313" s="101" t="str">
        <f t="shared" si="7"/>
        <v>#REF!</v>
      </c>
      <c r="T313" s="102" t="str">
        <f t="shared" si="8"/>
        <v>PP25-311</v>
      </c>
      <c r="U313" s="139"/>
      <c r="V313" s="139"/>
      <c r="W313" s="103"/>
      <c r="X313" s="103"/>
      <c r="Y313" s="103"/>
      <c r="Z313" s="104"/>
    </row>
    <row r="314" ht="49.5" customHeight="1">
      <c r="A314" s="132"/>
      <c r="B314" s="90" t="s">
        <v>2900</v>
      </c>
      <c r="C314" s="90">
        <f t="shared" si="75"/>
        <v>312</v>
      </c>
      <c r="D314" s="92" t="str">
        <f t="shared" si="1"/>
        <v>PP25-312</v>
      </c>
      <c r="E314" s="146">
        <v>45896.0</v>
      </c>
      <c r="F314" s="135"/>
      <c r="G314" s="110" t="s">
        <v>3010</v>
      </c>
      <c r="H314" s="116"/>
      <c r="I314" s="116"/>
      <c r="J314" s="135" t="s">
        <v>1758</v>
      </c>
      <c r="K314" s="136">
        <v>2.15738E8</v>
      </c>
      <c r="L314" s="140">
        <f>K314*5.6%</f>
        <v>12081328</v>
      </c>
      <c r="M314" s="140">
        <f t="shared" si="84"/>
        <v>227819328</v>
      </c>
      <c r="N314" s="142">
        <f t="shared" si="88"/>
        <v>25060126.08</v>
      </c>
      <c r="O314" s="140">
        <f t="shared" si="85"/>
        <v>252879454.1</v>
      </c>
      <c r="P314" s="137"/>
      <c r="Q314" s="90" t="s">
        <v>2903</v>
      </c>
      <c r="R314" s="138"/>
      <c r="S314" s="101" t="str">
        <f t="shared" si="7"/>
        <v>#REF!</v>
      </c>
      <c r="T314" s="102" t="str">
        <f t="shared" si="8"/>
        <v>PP25-312</v>
      </c>
      <c r="U314" s="139"/>
      <c r="V314" s="139"/>
      <c r="W314" s="103"/>
      <c r="X314" s="103"/>
      <c r="Y314" s="103"/>
      <c r="Z314" s="103"/>
    </row>
    <row r="315" ht="49.5" customHeight="1">
      <c r="A315" s="132"/>
      <c r="B315" s="90" t="s">
        <v>2900</v>
      </c>
      <c r="C315" s="90">
        <f t="shared" si="75"/>
        <v>313</v>
      </c>
      <c r="D315" s="92" t="str">
        <f t="shared" si="1"/>
        <v>PP25-313</v>
      </c>
      <c r="E315" s="146">
        <v>45898.0</v>
      </c>
      <c r="F315" s="135"/>
      <c r="G315" s="110" t="s">
        <v>3010</v>
      </c>
      <c r="H315" s="116"/>
      <c r="I315" s="116"/>
      <c r="J315" s="135" t="s">
        <v>970</v>
      </c>
      <c r="K315" s="136">
        <v>8.10444741E8</v>
      </c>
      <c r="L315" s="140">
        <f>K315*5.5%</f>
        <v>44574460.76</v>
      </c>
      <c r="M315" s="140">
        <f t="shared" si="84"/>
        <v>855019201.8</v>
      </c>
      <c r="N315" s="142">
        <f t="shared" si="88"/>
        <v>94052112.19</v>
      </c>
      <c r="O315" s="140">
        <f t="shared" si="85"/>
        <v>949071313.9</v>
      </c>
      <c r="P315" s="135"/>
      <c r="Q315" s="90" t="s">
        <v>2903</v>
      </c>
      <c r="R315" s="138"/>
      <c r="S315" s="101" t="str">
        <f t="shared" si="7"/>
        <v>#REF!</v>
      </c>
      <c r="T315" s="102" t="str">
        <f t="shared" si="8"/>
        <v>PP25-313</v>
      </c>
      <c r="U315" s="139"/>
      <c r="V315" s="139"/>
      <c r="W315" s="103"/>
      <c r="X315" s="103"/>
      <c r="Y315" s="103"/>
      <c r="Z315" s="104"/>
    </row>
    <row r="316" ht="49.5" customHeight="1">
      <c r="A316" s="132"/>
      <c r="B316" s="90" t="s">
        <v>2900</v>
      </c>
      <c r="C316" s="90">
        <f t="shared" si="75"/>
        <v>314</v>
      </c>
      <c r="D316" s="92" t="str">
        <f t="shared" si="1"/>
        <v>PP25-314</v>
      </c>
      <c r="E316" s="146">
        <v>45898.0</v>
      </c>
      <c r="F316" s="135"/>
      <c r="G316" s="116" t="s">
        <v>238</v>
      </c>
      <c r="H316" s="116"/>
      <c r="I316" s="116"/>
      <c r="J316" s="135" t="s">
        <v>972</v>
      </c>
      <c r="K316" s="136">
        <v>9.5928829E7</v>
      </c>
      <c r="L316" s="140">
        <f>K316*10%</f>
        <v>9592882.9</v>
      </c>
      <c r="M316" s="140">
        <f t="shared" si="84"/>
        <v>105521711.9</v>
      </c>
      <c r="N316" s="142">
        <v>1055217.0</v>
      </c>
      <c r="O316" s="140">
        <f t="shared" si="85"/>
        <v>106576928.9</v>
      </c>
      <c r="P316" s="137"/>
      <c r="Q316" s="90" t="s">
        <v>2903</v>
      </c>
      <c r="R316" s="138"/>
      <c r="S316" s="101" t="str">
        <f t="shared" si="7"/>
        <v>#REF!</v>
      </c>
      <c r="T316" s="102" t="str">
        <f t="shared" si="8"/>
        <v>PP25-314</v>
      </c>
      <c r="U316" s="139"/>
      <c r="V316" s="139"/>
      <c r="W316" s="103"/>
      <c r="X316" s="103"/>
      <c r="Y316" s="103"/>
      <c r="Z316" s="104"/>
    </row>
    <row r="317" ht="49.5" customHeight="1">
      <c r="A317" s="132"/>
      <c r="B317" s="90" t="s">
        <v>2900</v>
      </c>
      <c r="C317" s="90">
        <f t="shared" si="75"/>
        <v>315</v>
      </c>
      <c r="D317" s="92" t="str">
        <f t="shared" si="1"/>
        <v>PP25-315</v>
      </c>
      <c r="E317" s="146">
        <v>45901.0</v>
      </c>
      <c r="F317" s="135"/>
      <c r="G317" s="110" t="s">
        <v>3010</v>
      </c>
      <c r="H317" s="116"/>
      <c r="I317" s="116"/>
      <c r="J317" s="135" t="s">
        <v>974</v>
      </c>
      <c r="K317" s="136">
        <v>7.2687915E7</v>
      </c>
      <c r="L317" s="140">
        <f t="shared" ref="L317:L319" si="90">K317*6%</f>
        <v>4361274.9</v>
      </c>
      <c r="M317" s="140">
        <f t="shared" si="84"/>
        <v>77049189.9</v>
      </c>
      <c r="N317" s="142">
        <f t="shared" ref="N317:N346" si="91">M317*11%</f>
        <v>8475410.889</v>
      </c>
      <c r="O317" s="140">
        <f t="shared" si="85"/>
        <v>85524600.79</v>
      </c>
      <c r="P317" s="137"/>
      <c r="Q317" s="90" t="s">
        <v>2903</v>
      </c>
      <c r="R317" s="138"/>
      <c r="S317" s="101" t="str">
        <f t="shared" si="7"/>
        <v>#REF!</v>
      </c>
      <c r="T317" s="102" t="str">
        <f t="shared" si="8"/>
        <v>PP25-315</v>
      </c>
      <c r="U317" s="139"/>
      <c r="V317" s="139"/>
      <c r="W317" s="103"/>
      <c r="X317" s="103"/>
      <c r="Y317" s="103"/>
      <c r="Z317" s="104"/>
    </row>
    <row r="318" ht="49.5" customHeight="1">
      <c r="A318" s="132"/>
      <c r="B318" s="90" t="s">
        <v>2900</v>
      </c>
      <c r="C318" s="90">
        <f t="shared" si="75"/>
        <v>316</v>
      </c>
      <c r="D318" s="92" t="str">
        <f t="shared" si="1"/>
        <v>PP25-316</v>
      </c>
      <c r="E318" s="146">
        <v>45901.0</v>
      </c>
      <c r="F318" s="135"/>
      <c r="G318" s="110" t="s">
        <v>3010</v>
      </c>
      <c r="H318" s="116"/>
      <c r="I318" s="116"/>
      <c r="J318" s="135" t="s">
        <v>976</v>
      </c>
      <c r="K318" s="136">
        <v>5.9182907E7</v>
      </c>
      <c r="L318" s="140">
        <f t="shared" si="90"/>
        <v>3550974.42</v>
      </c>
      <c r="M318" s="140">
        <f t="shared" si="84"/>
        <v>62733881.42</v>
      </c>
      <c r="N318" s="142">
        <f t="shared" si="91"/>
        <v>6900726.956</v>
      </c>
      <c r="O318" s="140">
        <f t="shared" si="85"/>
        <v>69634608.38</v>
      </c>
      <c r="P318" s="137"/>
      <c r="Q318" s="90" t="s">
        <v>2903</v>
      </c>
      <c r="R318" s="138"/>
      <c r="S318" s="101" t="str">
        <f t="shared" si="7"/>
        <v>#REF!</v>
      </c>
      <c r="T318" s="102" t="str">
        <f t="shared" si="8"/>
        <v>PP25-316</v>
      </c>
      <c r="U318" s="139"/>
      <c r="V318" s="139"/>
      <c r="W318" s="103"/>
      <c r="X318" s="103"/>
      <c r="Y318" s="103"/>
      <c r="Z318" s="103"/>
    </row>
    <row r="319" ht="49.5" customHeight="1">
      <c r="A319" s="132"/>
      <c r="B319" s="90" t="s">
        <v>2900</v>
      </c>
      <c r="C319" s="90">
        <f t="shared" si="75"/>
        <v>317</v>
      </c>
      <c r="D319" s="92" t="str">
        <f t="shared" si="1"/>
        <v>PP25-317</v>
      </c>
      <c r="E319" s="146">
        <v>45901.0</v>
      </c>
      <c r="F319" s="135"/>
      <c r="G319" s="110" t="s">
        <v>3010</v>
      </c>
      <c r="H319" s="116"/>
      <c r="I319" s="116"/>
      <c r="J319" s="135" t="s">
        <v>978</v>
      </c>
      <c r="K319" s="136">
        <v>4.13781024E8</v>
      </c>
      <c r="L319" s="140">
        <f t="shared" si="90"/>
        <v>24826861.44</v>
      </c>
      <c r="M319" s="136">
        <f t="shared" si="84"/>
        <v>438607885.4</v>
      </c>
      <c r="N319" s="147">
        <f t="shared" si="91"/>
        <v>48246867.4</v>
      </c>
      <c r="O319" s="136">
        <f t="shared" si="85"/>
        <v>486854752.8</v>
      </c>
      <c r="P319" s="137"/>
      <c r="Q319" s="90" t="s">
        <v>2903</v>
      </c>
      <c r="R319" s="138"/>
      <c r="S319" s="101" t="str">
        <f t="shared" si="7"/>
        <v>#REF!</v>
      </c>
      <c r="T319" s="102" t="str">
        <f t="shared" si="8"/>
        <v>PP25-317</v>
      </c>
      <c r="U319" s="139"/>
      <c r="V319" s="139"/>
      <c r="W319" s="103"/>
      <c r="X319" s="103"/>
      <c r="Y319" s="103"/>
      <c r="Z319" s="104"/>
    </row>
    <row r="320" ht="49.5" customHeight="1">
      <c r="A320" s="132"/>
      <c r="B320" s="90" t="s">
        <v>2900</v>
      </c>
      <c r="C320" s="90">
        <f t="shared" si="75"/>
        <v>318</v>
      </c>
      <c r="D320" s="92" t="str">
        <f t="shared" si="1"/>
        <v>PP25-318</v>
      </c>
      <c r="E320" s="146">
        <v>45902.0</v>
      </c>
      <c r="F320" s="135"/>
      <c r="G320" s="110" t="s">
        <v>3010</v>
      </c>
      <c r="H320" s="116"/>
      <c r="I320" s="116"/>
      <c r="J320" s="135" t="s">
        <v>1781</v>
      </c>
      <c r="K320" s="136">
        <v>2.44291643E8</v>
      </c>
      <c r="L320" s="140">
        <f t="shared" ref="L320:L321" si="92">K320*5.6%</f>
        <v>13680332.01</v>
      </c>
      <c r="M320" s="136">
        <f t="shared" si="84"/>
        <v>257971975</v>
      </c>
      <c r="N320" s="147">
        <f t="shared" si="91"/>
        <v>28376917.25</v>
      </c>
      <c r="O320" s="136">
        <f t="shared" si="85"/>
        <v>286348892.3</v>
      </c>
      <c r="P320" s="137"/>
      <c r="Q320" s="90" t="s">
        <v>2903</v>
      </c>
      <c r="R320" s="138"/>
      <c r="S320" s="101" t="str">
        <f t="shared" si="7"/>
        <v>#REF!</v>
      </c>
      <c r="T320" s="102" t="str">
        <f t="shared" si="8"/>
        <v>PP25-318</v>
      </c>
      <c r="U320" s="139"/>
      <c r="V320" s="139"/>
      <c r="W320" s="103"/>
      <c r="X320" s="103"/>
      <c r="Y320" s="103"/>
      <c r="Z320" s="104"/>
    </row>
    <row r="321" ht="49.5" customHeight="1">
      <c r="A321" s="132"/>
      <c r="B321" s="90" t="s">
        <v>2900</v>
      </c>
      <c r="C321" s="90">
        <f t="shared" si="75"/>
        <v>319</v>
      </c>
      <c r="D321" s="92" t="str">
        <f t="shared" si="1"/>
        <v>PP25-319</v>
      </c>
      <c r="E321" s="146">
        <v>45902.0</v>
      </c>
      <c r="F321" s="135"/>
      <c r="G321" s="110" t="s">
        <v>3010</v>
      </c>
      <c r="H321" s="116"/>
      <c r="I321" s="116"/>
      <c r="J321" s="135" t="s">
        <v>1787</v>
      </c>
      <c r="K321" s="136">
        <v>8.1791378E7</v>
      </c>
      <c r="L321" s="140">
        <f t="shared" si="92"/>
        <v>4580317.168</v>
      </c>
      <c r="M321" s="136">
        <f t="shared" si="84"/>
        <v>86371695.17</v>
      </c>
      <c r="N321" s="147">
        <f t="shared" si="91"/>
        <v>9500886.468</v>
      </c>
      <c r="O321" s="136">
        <f t="shared" si="85"/>
        <v>95872581.64</v>
      </c>
      <c r="P321" s="137"/>
      <c r="Q321" s="90" t="s">
        <v>2903</v>
      </c>
      <c r="R321" s="138"/>
      <c r="S321" s="101" t="str">
        <f t="shared" si="7"/>
        <v>#REF!</v>
      </c>
      <c r="T321" s="102" t="str">
        <f t="shared" si="8"/>
        <v>PP25-319</v>
      </c>
      <c r="U321" s="139"/>
      <c r="V321" s="139"/>
      <c r="W321" s="103"/>
      <c r="X321" s="103"/>
      <c r="Y321" s="103"/>
      <c r="Z321" s="103"/>
    </row>
    <row r="322" ht="49.5" customHeight="1">
      <c r="A322" s="132"/>
      <c r="B322" s="90" t="s">
        <v>2900</v>
      </c>
      <c r="C322" s="90">
        <f t="shared" si="75"/>
        <v>320</v>
      </c>
      <c r="D322" s="92" t="str">
        <f t="shared" si="1"/>
        <v>PP25-320</v>
      </c>
      <c r="E322" s="146">
        <v>45902.0</v>
      </c>
      <c r="F322" s="135"/>
      <c r="G322" s="110" t="s">
        <v>3010</v>
      </c>
      <c r="H322" s="116"/>
      <c r="I322" s="116"/>
      <c r="J322" s="135" t="s">
        <v>1793</v>
      </c>
      <c r="K322" s="136">
        <v>3.54675228E8</v>
      </c>
      <c r="L322" s="140">
        <f>K322*5.8%</f>
        <v>20571163.22</v>
      </c>
      <c r="M322" s="136">
        <f t="shared" si="84"/>
        <v>375246391.2</v>
      </c>
      <c r="N322" s="147">
        <f t="shared" si="91"/>
        <v>41277103.03</v>
      </c>
      <c r="O322" s="136">
        <f t="shared" si="85"/>
        <v>416523494.3</v>
      </c>
      <c r="P322" s="143"/>
      <c r="Q322" s="111" t="s">
        <v>2911</v>
      </c>
      <c r="R322" s="138"/>
      <c r="S322" s="101" t="str">
        <f t="shared" si="7"/>
        <v>#REF!</v>
      </c>
      <c r="T322" s="102" t="str">
        <f t="shared" si="8"/>
        <v>PP25-320</v>
      </c>
      <c r="U322" s="139"/>
      <c r="V322" s="139"/>
      <c r="W322" s="103"/>
      <c r="X322" s="103"/>
      <c r="Y322" s="103"/>
      <c r="Z322" s="104"/>
    </row>
    <row r="323" ht="49.5" customHeight="1">
      <c r="A323" s="132"/>
      <c r="B323" s="90" t="s">
        <v>2900</v>
      </c>
      <c r="C323" s="90">
        <f t="shared" si="75"/>
        <v>321</v>
      </c>
      <c r="D323" s="92" t="str">
        <f t="shared" si="1"/>
        <v>PP25-321</v>
      </c>
      <c r="E323" s="146">
        <v>45903.0</v>
      </c>
      <c r="F323" s="135"/>
      <c r="G323" s="110" t="s">
        <v>3010</v>
      </c>
      <c r="H323" s="116"/>
      <c r="I323" s="116"/>
      <c r="J323" s="135" t="s">
        <v>990</v>
      </c>
      <c r="K323" s="136">
        <v>3.1469281E7</v>
      </c>
      <c r="L323" s="140">
        <f t="shared" ref="L323:L325" si="93">K323*6%</f>
        <v>1888156.86</v>
      </c>
      <c r="M323" s="136">
        <f t="shared" si="84"/>
        <v>33357437.86</v>
      </c>
      <c r="N323" s="147">
        <f t="shared" si="91"/>
        <v>3669318.165</v>
      </c>
      <c r="O323" s="136">
        <f t="shared" si="85"/>
        <v>37026756.02</v>
      </c>
      <c r="P323" s="137"/>
      <c r="Q323" s="90" t="s">
        <v>2903</v>
      </c>
      <c r="R323" s="138"/>
      <c r="S323" s="101" t="str">
        <f t="shared" si="7"/>
        <v>#REF!</v>
      </c>
      <c r="T323" s="102" t="str">
        <f t="shared" si="8"/>
        <v>PP25-321</v>
      </c>
      <c r="U323" s="139"/>
      <c r="V323" s="139"/>
      <c r="W323" s="103"/>
      <c r="X323" s="103"/>
      <c r="Y323" s="103"/>
      <c r="Z323" s="104"/>
    </row>
    <row r="324" ht="49.5" customHeight="1">
      <c r="A324" s="132"/>
      <c r="B324" s="90" t="s">
        <v>2900</v>
      </c>
      <c r="C324" s="90">
        <f t="shared" si="75"/>
        <v>322</v>
      </c>
      <c r="D324" s="92" t="str">
        <f t="shared" si="1"/>
        <v>PP25-322</v>
      </c>
      <c r="E324" s="146">
        <v>45903.0</v>
      </c>
      <c r="F324" s="135"/>
      <c r="G324" s="110" t="s">
        <v>3010</v>
      </c>
      <c r="H324" s="116"/>
      <c r="I324" s="116"/>
      <c r="J324" s="135" t="s">
        <v>992</v>
      </c>
      <c r="K324" s="136">
        <v>5.6703267E7</v>
      </c>
      <c r="L324" s="140">
        <f t="shared" si="93"/>
        <v>3402196.02</v>
      </c>
      <c r="M324" s="136">
        <f t="shared" si="84"/>
        <v>60105463.02</v>
      </c>
      <c r="N324" s="147">
        <f t="shared" si="91"/>
        <v>6611600.932</v>
      </c>
      <c r="O324" s="136">
        <f t="shared" si="85"/>
        <v>66717063.95</v>
      </c>
      <c r="P324" s="135"/>
      <c r="Q324" s="90" t="s">
        <v>2903</v>
      </c>
      <c r="R324" s="138"/>
      <c r="S324" s="101" t="str">
        <f t="shared" si="7"/>
        <v>#REF!</v>
      </c>
      <c r="T324" s="102" t="str">
        <f t="shared" si="8"/>
        <v>PP25-322</v>
      </c>
      <c r="U324" s="148"/>
      <c r="V324" s="139"/>
      <c r="W324" s="103"/>
      <c r="X324" s="103"/>
      <c r="Y324" s="103"/>
      <c r="Z324" s="104"/>
    </row>
    <row r="325" ht="49.5" customHeight="1">
      <c r="A325" s="132"/>
      <c r="B325" s="90" t="s">
        <v>2900</v>
      </c>
      <c r="C325" s="90">
        <f t="shared" si="75"/>
        <v>323</v>
      </c>
      <c r="D325" s="92" t="str">
        <f t="shared" si="1"/>
        <v>PP25-323</v>
      </c>
      <c r="E325" s="146">
        <v>45903.0</v>
      </c>
      <c r="F325" s="135"/>
      <c r="G325" s="110" t="s">
        <v>3010</v>
      </c>
      <c r="H325" s="116"/>
      <c r="I325" s="116"/>
      <c r="J325" s="135" t="s">
        <v>994</v>
      </c>
      <c r="K325" s="136">
        <v>7.7659129E7</v>
      </c>
      <c r="L325" s="140">
        <f t="shared" si="93"/>
        <v>4659547.74</v>
      </c>
      <c r="M325" s="136">
        <f t="shared" si="84"/>
        <v>82318676.74</v>
      </c>
      <c r="N325" s="147">
        <f t="shared" si="91"/>
        <v>9055054.441</v>
      </c>
      <c r="O325" s="136">
        <f t="shared" si="85"/>
        <v>91373731.18</v>
      </c>
      <c r="P325" s="144"/>
      <c r="Q325" s="90" t="s">
        <v>2903</v>
      </c>
      <c r="R325" s="138"/>
      <c r="S325" s="101" t="str">
        <f t="shared" si="7"/>
        <v>#REF!</v>
      </c>
      <c r="T325" s="102" t="str">
        <f t="shared" si="8"/>
        <v>PP25-323</v>
      </c>
      <c r="U325" s="139"/>
      <c r="V325" s="139"/>
      <c r="W325" s="103"/>
      <c r="X325" s="103"/>
      <c r="Y325" s="103"/>
      <c r="Z325" s="104"/>
    </row>
    <row r="326" ht="49.5" customHeight="1">
      <c r="A326" s="132"/>
      <c r="B326" s="90" t="s">
        <v>2900</v>
      </c>
      <c r="C326" s="90">
        <f t="shared" si="75"/>
        <v>324</v>
      </c>
      <c r="D326" s="92" t="str">
        <f t="shared" si="1"/>
        <v>PP25-324</v>
      </c>
      <c r="E326" s="146">
        <v>45904.0</v>
      </c>
      <c r="F326" s="135"/>
      <c r="G326" s="135" t="s">
        <v>3012</v>
      </c>
      <c r="H326" s="116"/>
      <c r="I326" s="116"/>
      <c r="J326" s="135" t="s">
        <v>996</v>
      </c>
      <c r="K326" s="136">
        <v>2.3277675E7</v>
      </c>
      <c r="L326" s="140">
        <f>K326*5.5%</f>
        <v>1280272.125</v>
      </c>
      <c r="M326" s="136">
        <f t="shared" si="84"/>
        <v>24557947.13</v>
      </c>
      <c r="N326" s="147">
        <f t="shared" si="91"/>
        <v>2701374.184</v>
      </c>
      <c r="O326" s="136">
        <f t="shared" si="85"/>
        <v>27259321.31</v>
      </c>
      <c r="P326" s="137"/>
      <c r="Q326" s="141" t="s">
        <v>3009</v>
      </c>
      <c r="R326" s="138"/>
      <c r="S326" s="101" t="str">
        <f t="shared" si="7"/>
        <v>#REF!</v>
      </c>
      <c r="T326" s="102" t="str">
        <f t="shared" si="8"/>
        <v>PP25-324</v>
      </c>
      <c r="U326" s="139"/>
      <c r="V326" s="139"/>
      <c r="W326" s="103"/>
      <c r="X326" s="103"/>
      <c r="Y326" s="103"/>
      <c r="Z326" s="104"/>
    </row>
    <row r="327" ht="49.5" customHeight="1">
      <c r="A327" s="132"/>
      <c r="B327" s="90" t="s">
        <v>2900</v>
      </c>
      <c r="C327" s="90">
        <f t="shared" si="75"/>
        <v>325</v>
      </c>
      <c r="D327" s="92" t="str">
        <f t="shared" si="1"/>
        <v>PP25-325</v>
      </c>
      <c r="E327" s="146">
        <v>45904.0</v>
      </c>
      <c r="F327" s="135"/>
      <c r="G327" s="135" t="s">
        <v>3010</v>
      </c>
      <c r="H327" s="116"/>
      <c r="I327" s="116"/>
      <c r="J327" s="135" t="s">
        <v>998</v>
      </c>
      <c r="K327" s="136">
        <v>1.62913493E8</v>
      </c>
      <c r="L327" s="140">
        <f t="shared" ref="L327:L329" si="94">K327*5.3%</f>
        <v>8634415.129</v>
      </c>
      <c r="M327" s="136">
        <f t="shared" si="84"/>
        <v>171547908.1</v>
      </c>
      <c r="N327" s="147">
        <f t="shared" si="91"/>
        <v>18870269.89</v>
      </c>
      <c r="O327" s="136">
        <f t="shared" si="85"/>
        <v>190418178</v>
      </c>
      <c r="P327" s="137"/>
      <c r="Q327" s="141" t="s">
        <v>2949</v>
      </c>
      <c r="R327" s="138"/>
      <c r="S327" s="101" t="str">
        <f t="shared" si="7"/>
        <v>#REF!</v>
      </c>
      <c r="T327" s="102" t="str">
        <f t="shared" si="8"/>
        <v>PP25-325</v>
      </c>
      <c r="U327" s="139"/>
      <c r="V327" s="139"/>
      <c r="W327" s="103"/>
      <c r="X327" s="103"/>
      <c r="Y327" s="103"/>
      <c r="Z327" s="103"/>
    </row>
    <row r="328" ht="49.5" customHeight="1">
      <c r="A328" s="132"/>
      <c r="B328" s="90" t="s">
        <v>2900</v>
      </c>
      <c r="C328" s="90">
        <f t="shared" si="75"/>
        <v>326</v>
      </c>
      <c r="D328" s="92" t="str">
        <f t="shared" si="1"/>
        <v>PP25-326</v>
      </c>
      <c r="E328" s="146">
        <v>45904.0</v>
      </c>
      <c r="F328" s="135"/>
      <c r="G328" s="135" t="s">
        <v>3010</v>
      </c>
      <c r="H328" s="116"/>
      <c r="I328" s="116"/>
      <c r="J328" s="135" t="s">
        <v>1000</v>
      </c>
      <c r="K328" s="136">
        <v>4.8368243E7</v>
      </c>
      <c r="L328" s="140">
        <f t="shared" si="94"/>
        <v>2563516.879</v>
      </c>
      <c r="M328" s="136">
        <f t="shared" si="84"/>
        <v>50931759.88</v>
      </c>
      <c r="N328" s="147">
        <f t="shared" si="91"/>
        <v>5602493.587</v>
      </c>
      <c r="O328" s="136">
        <f t="shared" si="85"/>
        <v>56534253.47</v>
      </c>
      <c r="P328" s="137"/>
      <c r="Q328" s="111" t="s">
        <v>2949</v>
      </c>
      <c r="R328" s="138"/>
      <c r="S328" s="101" t="str">
        <f t="shared" si="7"/>
        <v>#REF!</v>
      </c>
      <c r="T328" s="102" t="str">
        <f t="shared" si="8"/>
        <v>PP25-326</v>
      </c>
      <c r="U328" s="139"/>
      <c r="V328" s="139"/>
      <c r="W328" s="103"/>
      <c r="X328" s="103"/>
      <c r="Y328" s="103"/>
      <c r="Z328" s="104"/>
    </row>
    <row r="329" ht="49.5" customHeight="1">
      <c r="A329" s="132"/>
      <c r="B329" s="90" t="s">
        <v>2900</v>
      </c>
      <c r="C329" s="90">
        <f t="shared" si="75"/>
        <v>327</v>
      </c>
      <c r="D329" s="92" t="str">
        <f t="shared" si="1"/>
        <v>PP25-327</v>
      </c>
      <c r="E329" s="146">
        <v>45904.0</v>
      </c>
      <c r="F329" s="135"/>
      <c r="G329" s="135" t="s">
        <v>3010</v>
      </c>
      <c r="H329" s="116"/>
      <c r="I329" s="116"/>
      <c r="J329" s="135" t="s">
        <v>1002</v>
      </c>
      <c r="K329" s="136">
        <v>3.5404832E7</v>
      </c>
      <c r="L329" s="140">
        <f t="shared" si="94"/>
        <v>1876456.096</v>
      </c>
      <c r="M329" s="136">
        <f t="shared" si="84"/>
        <v>37281288.1</v>
      </c>
      <c r="N329" s="147">
        <f t="shared" si="91"/>
        <v>4100941.691</v>
      </c>
      <c r="O329" s="136">
        <f t="shared" si="85"/>
        <v>41382229.79</v>
      </c>
      <c r="P329" s="137"/>
      <c r="Q329" s="111" t="s">
        <v>2949</v>
      </c>
      <c r="R329" s="138"/>
      <c r="S329" s="101" t="str">
        <f t="shared" si="7"/>
        <v>#REF!</v>
      </c>
      <c r="T329" s="102" t="str">
        <f t="shared" si="8"/>
        <v>PP25-327</v>
      </c>
      <c r="U329" s="139"/>
      <c r="V329" s="139"/>
      <c r="W329" s="103"/>
      <c r="X329" s="103"/>
      <c r="Y329" s="103"/>
      <c r="Z329" s="104"/>
    </row>
    <row r="330" ht="49.5" customHeight="1">
      <c r="A330" s="132"/>
      <c r="B330" s="90" t="s">
        <v>2900</v>
      </c>
      <c r="C330" s="90">
        <f t="shared" si="75"/>
        <v>328</v>
      </c>
      <c r="D330" s="92" t="str">
        <f t="shared" si="1"/>
        <v>PP25-328</v>
      </c>
      <c r="E330" s="146">
        <v>45904.0</v>
      </c>
      <c r="F330" s="135"/>
      <c r="G330" s="135" t="s">
        <v>3010</v>
      </c>
      <c r="H330" s="116"/>
      <c r="I330" s="116"/>
      <c r="J330" s="135" t="s">
        <v>1004</v>
      </c>
      <c r="K330" s="136">
        <v>2.48770328E8</v>
      </c>
      <c r="L330" s="140">
        <f>K330*6.3%</f>
        <v>15672530.66</v>
      </c>
      <c r="M330" s="136">
        <f t="shared" si="84"/>
        <v>264442858.7</v>
      </c>
      <c r="N330" s="147">
        <f t="shared" si="91"/>
        <v>29088714.45</v>
      </c>
      <c r="O330" s="136">
        <f t="shared" si="85"/>
        <v>293531573.1</v>
      </c>
      <c r="P330" s="137"/>
      <c r="Q330" s="90" t="s">
        <v>2903</v>
      </c>
      <c r="R330" s="138"/>
      <c r="S330" s="101" t="str">
        <f t="shared" si="7"/>
        <v>#REF!</v>
      </c>
      <c r="T330" s="102" t="str">
        <f t="shared" si="8"/>
        <v>PP25-328</v>
      </c>
      <c r="U330" s="139"/>
      <c r="V330" s="139"/>
      <c r="W330" s="103"/>
      <c r="X330" s="103"/>
      <c r="Y330" s="103"/>
      <c r="Z330" s="103"/>
    </row>
    <row r="331" ht="49.5" customHeight="1">
      <c r="A331" s="132"/>
      <c r="B331" s="90" t="s">
        <v>2900</v>
      </c>
      <c r="C331" s="90">
        <f t="shared" si="75"/>
        <v>329</v>
      </c>
      <c r="D331" s="92" t="str">
        <f t="shared" si="1"/>
        <v>PP25-329</v>
      </c>
      <c r="E331" s="146">
        <v>45904.0</v>
      </c>
      <c r="F331" s="135"/>
      <c r="G331" s="135" t="s">
        <v>48</v>
      </c>
      <c r="H331" s="116"/>
      <c r="I331" s="116"/>
      <c r="J331" s="135" t="s">
        <v>1006</v>
      </c>
      <c r="K331" s="136">
        <v>1.0E9</v>
      </c>
      <c r="L331" s="140">
        <f>K331*6%</f>
        <v>60000000</v>
      </c>
      <c r="M331" s="136">
        <f t="shared" si="84"/>
        <v>1060000000</v>
      </c>
      <c r="N331" s="147">
        <f t="shared" si="91"/>
        <v>116600000</v>
      </c>
      <c r="O331" s="136">
        <f t="shared" si="85"/>
        <v>1176600000</v>
      </c>
      <c r="P331" s="135"/>
      <c r="Q331" s="111" t="s">
        <v>21</v>
      </c>
      <c r="R331" s="138"/>
      <c r="S331" s="101" t="str">
        <f t="shared" si="7"/>
        <v>#REF!</v>
      </c>
      <c r="T331" s="102" t="str">
        <f t="shared" si="8"/>
        <v>PP25-329</v>
      </c>
      <c r="U331" s="139"/>
      <c r="V331" s="139"/>
      <c r="W331" s="103"/>
      <c r="X331" s="103"/>
      <c r="Y331" s="103"/>
      <c r="Z331" s="104"/>
    </row>
    <row r="332" ht="49.5" customHeight="1">
      <c r="A332" s="132"/>
      <c r="B332" s="90" t="s">
        <v>2900</v>
      </c>
      <c r="C332" s="90">
        <f t="shared" si="75"/>
        <v>330</v>
      </c>
      <c r="D332" s="92" t="str">
        <f t="shared" si="1"/>
        <v>PP25-330</v>
      </c>
      <c r="E332" s="146">
        <v>45910.0</v>
      </c>
      <c r="F332" s="135"/>
      <c r="G332" s="135" t="s">
        <v>3010</v>
      </c>
      <c r="H332" s="116"/>
      <c r="I332" s="116"/>
      <c r="J332" s="135" t="s">
        <v>1008</v>
      </c>
      <c r="K332" s="136">
        <v>1.7061768E7</v>
      </c>
      <c r="L332" s="140">
        <f>K332*10%</f>
        <v>1706176.8</v>
      </c>
      <c r="M332" s="136">
        <f t="shared" si="84"/>
        <v>18767944.8</v>
      </c>
      <c r="N332" s="147">
        <f t="shared" si="91"/>
        <v>2064473.928</v>
      </c>
      <c r="O332" s="136">
        <f t="shared" si="85"/>
        <v>20832418.73</v>
      </c>
      <c r="P332" s="135"/>
      <c r="Q332" s="111" t="s">
        <v>2903</v>
      </c>
      <c r="R332" s="138"/>
      <c r="S332" s="101" t="str">
        <f t="shared" si="7"/>
        <v>#REF!</v>
      </c>
      <c r="T332" s="102" t="str">
        <f t="shared" si="8"/>
        <v>PP25-330</v>
      </c>
      <c r="U332" s="139"/>
      <c r="V332" s="139"/>
      <c r="W332" s="103"/>
      <c r="X332" s="103"/>
      <c r="Y332" s="103"/>
      <c r="Z332" s="104"/>
    </row>
    <row r="333" ht="49.5" customHeight="1">
      <c r="A333" s="132"/>
      <c r="B333" s="90" t="s">
        <v>2900</v>
      </c>
      <c r="C333" s="90">
        <f t="shared" si="75"/>
        <v>331</v>
      </c>
      <c r="D333" s="92" t="str">
        <f t="shared" si="1"/>
        <v>PP25-331</v>
      </c>
      <c r="E333" s="146">
        <v>45910.0</v>
      </c>
      <c r="F333" s="135"/>
      <c r="G333" s="135" t="s">
        <v>3010</v>
      </c>
      <c r="H333" s="116"/>
      <c r="I333" s="116"/>
      <c r="J333" s="135" t="s">
        <v>1832</v>
      </c>
      <c r="K333" s="136">
        <v>1.3098757E7</v>
      </c>
      <c r="L333" s="140">
        <f t="shared" ref="L333:L336" si="95">K333*7.5%</f>
        <v>982406.775</v>
      </c>
      <c r="M333" s="136">
        <f t="shared" si="84"/>
        <v>14081163.78</v>
      </c>
      <c r="N333" s="147">
        <f t="shared" si="91"/>
        <v>1548928.015</v>
      </c>
      <c r="O333" s="136">
        <f t="shared" si="85"/>
        <v>15630091.79</v>
      </c>
      <c r="P333" s="143"/>
      <c r="Q333" s="141" t="s">
        <v>2903</v>
      </c>
      <c r="R333" s="138"/>
      <c r="S333" s="101" t="str">
        <f t="shared" si="7"/>
        <v>#REF!</v>
      </c>
      <c r="T333" s="102" t="str">
        <f t="shared" si="8"/>
        <v>PP25-331</v>
      </c>
      <c r="U333" s="139"/>
      <c r="V333" s="139"/>
      <c r="W333" s="103"/>
      <c r="X333" s="103"/>
      <c r="Y333" s="103"/>
      <c r="Z333" s="104"/>
    </row>
    <row r="334" ht="49.5" customHeight="1">
      <c r="A334" s="132"/>
      <c r="B334" s="90" t="s">
        <v>2900</v>
      </c>
      <c r="C334" s="90">
        <f t="shared" si="75"/>
        <v>332</v>
      </c>
      <c r="D334" s="92" t="str">
        <f t="shared" si="1"/>
        <v>PP25-332</v>
      </c>
      <c r="E334" s="146">
        <v>45910.0</v>
      </c>
      <c r="F334" s="135"/>
      <c r="G334" s="135" t="s">
        <v>3010</v>
      </c>
      <c r="H334" s="116"/>
      <c r="I334" s="116"/>
      <c r="J334" s="135" t="s">
        <v>1837</v>
      </c>
      <c r="K334" s="136">
        <v>8616910.0</v>
      </c>
      <c r="L334" s="140">
        <f t="shared" si="95"/>
        <v>646268.25</v>
      </c>
      <c r="M334" s="136">
        <f t="shared" si="84"/>
        <v>9263178.25</v>
      </c>
      <c r="N334" s="147">
        <f t="shared" si="91"/>
        <v>1018949.608</v>
      </c>
      <c r="O334" s="136">
        <f t="shared" si="85"/>
        <v>10282127.86</v>
      </c>
      <c r="P334" s="137"/>
      <c r="Q334" s="141" t="s">
        <v>2903</v>
      </c>
      <c r="R334" s="138"/>
      <c r="S334" s="101" t="str">
        <f t="shared" si="7"/>
        <v>#REF!</v>
      </c>
      <c r="T334" s="102" t="str">
        <f t="shared" si="8"/>
        <v>PP25-332</v>
      </c>
      <c r="U334" s="139"/>
      <c r="V334" s="139"/>
      <c r="W334" s="103"/>
      <c r="X334" s="103"/>
      <c r="Y334" s="103"/>
      <c r="Z334" s="103"/>
    </row>
    <row r="335" ht="49.5" customHeight="1">
      <c r="A335" s="132"/>
      <c r="B335" s="90" t="s">
        <v>2900</v>
      </c>
      <c r="C335" s="90">
        <f t="shared" si="75"/>
        <v>333</v>
      </c>
      <c r="D335" s="92" t="str">
        <f t="shared" si="1"/>
        <v>PP25-333</v>
      </c>
      <c r="E335" s="146">
        <v>45910.0</v>
      </c>
      <c r="F335" s="135"/>
      <c r="G335" s="135" t="s">
        <v>3010</v>
      </c>
      <c r="H335" s="116"/>
      <c r="I335" s="116"/>
      <c r="J335" s="135" t="s">
        <v>1839</v>
      </c>
      <c r="K335" s="136">
        <v>8616910.0</v>
      </c>
      <c r="L335" s="140">
        <f t="shared" si="95"/>
        <v>646268.25</v>
      </c>
      <c r="M335" s="136">
        <f t="shared" si="84"/>
        <v>9263178.25</v>
      </c>
      <c r="N335" s="147">
        <f t="shared" si="91"/>
        <v>1018949.608</v>
      </c>
      <c r="O335" s="136">
        <f t="shared" si="85"/>
        <v>10282127.86</v>
      </c>
      <c r="P335" s="137"/>
      <c r="Q335" s="141" t="s">
        <v>2903</v>
      </c>
      <c r="R335" s="138"/>
      <c r="S335" s="101" t="str">
        <f t="shared" si="7"/>
        <v>#REF!</v>
      </c>
      <c r="T335" s="102" t="str">
        <f t="shared" si="8"/>
        <v>PP25-333</v>
      </c>
      <c r="U335" s="139"/>
      <c r="V335" s="139"/>
      <c r="W335" s="103"/>
      <c r="X335" s="103"/>
      <c r="Y335" s="103"/>
      <c r="Z335" s="103"/>
    </row>
    <row r="336" ht="49.5" customHeight="1">
      <c r="A336" s="132"/>
      <c r="B336" s="90" t="s">
        <v>2900</v>
      </c>
      <c r="C336" s="90">
        <f t="shared" si="75"/>
        <v>334</v>
      </c>
      <c r="D336" s="92" t="str">
        <f t="shared" si="1"/>
        <v>PP25-334</v>
      </c>
      <c r="E336" s="146">
        <v>45910.0</v>
      </c>
      <c r="F336" s="135"/>
      <c r="G336" s="135" t="s">
        <v>3010</v>
      </c>
      <c r="H336" s="116"/>
      <c r="I336" s="116"/>
      <c r="J336" s="135" t="s">
        <v>1841</v>
      </c>
      <c r="K336" s="136">
        <v>8575265.0</v>
      </c>
      <c r="L336" s="140">
        <f t="shared" si="95"/>
        <v>643144.875</v>
      </c>
      <c r="M336" s="136">
        <f t="shared" si="84"/>
        <v>9218409.875</v>
      </c>
      <c r="N336" s="147">
        <f t="shared" si="91"/>
        <v>1014025.086</v>
      </c>
      <c r="O336" s="136">
        <f t="shared" si="85"/>
        <v>10232434.96</v>
      </c>
      <c r="P336" s="137"/>
      <c r="Q336" s="111" t="s">
        <v>2903</v>
      </c>
      <c r="R336" s="138"/>
      <c r="S336" s="101" t="str">
        <f t="shared" si="7"/>
        <v>#REF!</v>
      </c>
      <c r="T336" s="102" t="str">
        <f t="shared" si="8"/>
        <v>PP25-334</v>
      </c>
      <c r="U336" s="139"/>
      <c r="V336" s="139"/>
      <c r="W336" s="103"/>
      <c r="X336" s="103"/>
      <c r="Y336" s="103"/>
      <c r="Z336" s="104"/>
    </row>
    <row r="337" ht="49.5" customHeight="1">
      <c r="A337" s="132"/>
      <c r="B337" s="90" t="s">
        <v>2900</v>
      </c>
      <c r="C337" s="90">
        <f t="shared" si="75"/>
        <v>335</v>
      </c>
      <c r="D337" s="92" t="str">
        <f t="shared" si="1"/>
        <v>PP25-335</v>
      </c>
      <c r="E337" s="146">
        <v>45910.0</v>
      </c>
      <c r="F337" s="135"/>
      <c r="G337" s="135" t="s">
        <v>3010</v>
      </c>
      <c r="H337" s="116"/>
      <c r="I337" s="116"/>
      <c r="J337" s="135" t="s">
        <v>1843</v>
      </c>
      <c r="K337" s="136">
        <v>2.37468E8</v>
      </c>
      <c r="L337" s="140">
        <f>K337*5.8%</f>
        <v>13773144</v>
      </c>
      <c r="M337" s="136">
        <f t="shared" si="84"/>
        <v>251241144</v>
      </c>
      <c r="N337" s="147">
        <f t="shared" si="91"/>
        <v>27636525.84</v>
      </c>
      <c r="O337" s="136">
        <f t="shared" si="85"/>
        <v>278877669.8</v>
      </c>
      <c r="P337" s="135"/>
      <c r="Q337" s="111" t="s">
        <v>2911</v>
      </c>
      <c r="R337" s="138"/>
      <c r="S337" s="101" t="str">
        <f t="shared" si="7"/>
        <v>#REF!</v>
      </c>
      <c r="T337" s="102" t="str">
        <f t="shared" si="8"/>
        <v>PP25-335</v>
      </c>
      <c r="U337" s="139"/>
      <c r="V337" s="139"/>
      <c r="W337" s="103"/>
      <c r="X337" s="103"/>
      <c r="Y337" s="103"/>
      <c r="Z337" s="104"/>
    </row>
    <row r="338" ht="49.5" customHeight="1">
      <c r="A338" s="132"/>
      <c r="B338" s="90" t="s">
        <v>2900</v>
      </c>
      <c r="C338" s="90">
        <f t="shared" si="75"/>
        <v>336</v>
      </c>
      <c r="D338" s="92" t="str">
        <f t="shared" si="1"/>
        <v>PP25-336</v>
      </c>
      <c r="E338" s="146">
        <v>45910.0</v>
      </c>
      <c r="F338" s="135"/>
      <c r="G338" s="135" t="s">
        <v>3010</v>
      </c>
      <c r="H338" s="116"/>
      <c r="I338" s="116"/>
      <c r="J338" s="135" t="s">
        <v>1849</v>
      </c>
      <c r="K338" s="136">
        <v>1.7223642E7</v>
      </c>
      <c r="L338" s="140">
        <f>K338*7.5%</f>
        <v>1291773.15</v>
      </c>
      <c r="M338" s="136">
        <f t="shared" si="84"/>
        <v>18515415.15</v>
      </c>
      <c r="N338" s="147">
        <f t="shared" si="91"/>
        <v>2036695.667</v>
      </c>
      <c r="O338" s="136">
        <f t="shared" si="85"/>
        <v>20552110.82</v>
      </c>
      <c r="P338" s="137"/>
      <c r="Q338" s="111" t="s">
        <v>2903</v>
      </c>
      <c r="R338" s="138"/>
      <c r="S338" s="101" t="str">
        <f t="shared" si="7"/>
        <v>#REF!</v>
      </c>
      <c r="T338" s="102" t="str">
        <f t="shared" si="8"/>
        <v>PP25-336</v>
      </c>
      <c r="U338" s="139"/>
      <c r="V338" s="139"/>
      <c r="W338" s="103"/>
      <c r="X338" s="103"/>
      <c r="Y338" s="103"/>
      <c r="Z338" s="103"/>
    </row>
    <row r="339" ht="49.5" customHeight="1">
      <c r="A339" s="132"/>
      <c r="B339" s="90" t="s">
        <v>2900</v>
      </c>
      <c r="C339" s="90">
        <f t="shared" si="75"/>
        <v>337</v>
      </c>
      <c r="D339" s="92" t="str">
        <f t="shared" si="1"/>
        <v>PP25-337</v>
      </c>
      <c r="E339" s="146">
        <v>45911.0</v>
      </c>
      <c r="F339" s="135"/>
      <c r="G339" s="135" t="s">
        <v>3010</v>
      </c>
      <c r="H339" s="116"/>
      <c r="I339" s="116"/>
      <c r="J339" s="135" t="s">
        <v>1039</v>
      </c>
      <c r="K339" s="136">
        <v>1.2343965E7</v>
      </c>
      <c r="L339" s="140">
        <f t="shared" ref="L339:L343" si="96">K339*5.3%</f>
        <v>654230.145</v>
      </c>
      <c r="M339" s="136">
        <f t="shared" si="84"/>
        <v>12998195.15</v>
      </c>
      <c r="N339" s="147">
        <f t="shared" si="91"/>
        <v>1429801.466</v>
      </c>
      <c r="O339" s="136">
        <f t="shared" si="85"/>
        <v>14427996.61</v>
      </c>
      <c r="P339" s="143"/>
      <c r="Q339" s="111" t="s">
        <v>2949</v>
      </c>
      <c r="R339" s="138"/>
      <c r="S339" s="101" t="str">
        <f t="shared" si="7"/>
        <v>#REF!</v>
      </c>
      <c r="T339" s="102" t="str">
        <f t="shared" si="8"/>
        <v>PP25-337</v>
      </c>
      <c r="U339" s="139"/>
      <c r="V339" s="139"/>
      <c r="W339" s="103"/>
      <c r="X339" s="103"/>
      <c r="Y339" s="103"/>
      <c r="Z339" s="104"/>
    </row>
    <row r="340" ht="49.5" customHeight="1">
      <c r="A340" s="132"/>
      <c r="B340" s="90" t="s">
        <v>2900</v>
      </c>
      <c r="C340" s="90">
        <f t="shared" si="75"/>
        <v>338</v>
      </c>
      <c r="D340" s="92" t="str">
        <f t="shared" si="1"/>
        <v>PP25-338</v>
      </c>
      <c r="E340" s="146">
        <v>45911.0</v>
      </c>
      <c r="F340" s="135"/>
      <c r="G340" s="135" t="s">
        <v>3010</v>
      </c>
      <c r="H340" s="116"/>
      <c r="I340" s="116"/>
      <c r="J340" s="135" t="s">
        <v>1041</v>
      </c>
      <c r="K340" s="136">
        <v>1.1815108E7</v>
      </c>
      <c r="L340" s="140">
        <f t="shared" si="96"/>
        <v>626200.724</v>
      </c>
      <c r="M340" s="136">
        <f t="shared" si="84"/>
        <v>12441308.72</v>
      </c>
      <c r="N340" s="147">
        <f t="shared" si="91"/>
        <v>1368543.96</v>
      </c>
      <c r="O340" s="136">
        <f t="shared" si="85"/>
        <v>13809852.68</v>
      </c>
      <c r="P340" s="135"/>
      <c r="Q340" s="111" t="s">
        <v>2949</v>
      </c>
      <c r="R340" s="138"/>
      <c r="S340" s="101" t="str">
        <f t="shared" si="7"/>
        <v>#REF!</v>
      </c>
      <c r="T340" s="102" t="str">
        <f t="shared" si="8"/>
        <v>PP25-338</v>
      </c>
      <c r="U340" s="139"/>
      <c r="V340" s="139"/>
      <c r="W340" s="103"/>
      <c r="X340" s="103"/>
      <c r="Y340" s="103"/>
      <c r="Z340" s="104"/>
    </row>
    <row r="341" ht="49.5" customHeight="1">
      <c r="A341" s="132"/>
      <c r="B341" s="90" t="s">
        <v>2900</v>
      </c>
      <c r="C341" s="90">
        <f t="shared" si="75"/>
        <v>339</v>
      </c>
      <c r="D341" s="92" t="str">
        <f t="shared" si="1"/>
        <v>PP25-339</v>
      </c>
      <c r="E341" s="146">
        <v>45911.0</v>
      </c>
      <c r="F341" s="135"/>
      <c r="G341" s="135" t="s">
        <v>3010</v>
      </c>
      <c r="H341" s="116"/>
      <c r="I341" s="116"/>
      <c r="J341" s="135" t="s">
        <v>1043</v>
      </c>
      <c r="K341" s="136">
        <v>3.83915E7</v>
      </c>
      <c r="L341" s="140">
        <f t="shared" si="96"/>
        <v>2034749.5</v>
      </c>
      <c r="M341" s="136">
        <f t="shared" si="84"/>
        <v>40426249.5</v>
      </c>
      <c r="N341" s="147">
        <f t="shared" si="91"/>
        <v>4446887.445</v>
      </c>
      <c r="O341" s="136">
        <f t="shared" si="85"/>
        <v>44873136.95</v>
      </c>
      <c r="P341" s="149"/>
      <c r="Q341" s="111" t="s">
        <v>2949</v>
      </c>
      <c r="R341" s="138"/>
      <c r="S341" s="101" t="str">
        <f t="shared" si="7"/>
        <v>#REF!</v>
      </c>
      <c r="T341" s="102" t="str">
        <f t="shared" si="8"/>
        <v>PP25-339</v>
      </c>
      <c r="U341" s="139"/>
      <c r="V341" s="139"/>
      <c r="W341" s="103"/>
      <c r="X341" s="103"/>
      <c r="Y341" s="103"/>
      <c r="Z341" s="104"/>
    </row>
    <row r="342" ht="49.5" customHeight="1">
      <c r="A342" s="132"/>
      <c r="B342" s="90" t="s">
        <v>2900</v>
      </c>
      <c r="C342" s="90">
        <f t="shared" si="75"/>
        <v>340</v>
      </c>
      <c r="D342" s="92" t="str">
        <f t="shared" si="1"/>
        <v>PP25-340</v>
      </c>
      <c r="E342" s="146">
        <v>45911.0</v>
      </c>
      <c r="F342" s="135"/>
      <c r="G342" s="135" t="s">
        <v>3010</v>
      </c>
      <c r="H342" s="116"/>
      <c r="I342" s="116"/>
      <c r="J342" s="135" t="s">
        <v>1045</v>
      </c>
      <c r="K342" s="136">
        <v>9492000.0</v>
      </c>
      <c r="L342" s="140">
        <f t="shared" si="96"/>
        <v>503076</v>
      </c>
      <c r="M342" s="136">
        <f t="shared" si="84"/>
        <v>9995076</v>
      </c>
      <c r="N342" s="147">
        <f t="shared" si="91"/>
        <v>1099458.36</v>
      </c>
      <c r="O342" s="136">
        <f t="shared" si="85"/>
        <v>11094534.36</v>
      </c>
      <c r="P342" s="149"/>
      <c r="Q342" s="141" t="s">
        <v>2949</v>
      </c>
      <c r="R342" s="138"/>
      <c r="S342" s="101" t="str">
        <f t="shared" si="7"/>
        <v>#REF!</v>
      </c>
      <c r="T342" s="102" t="str">
        <f t="shared" si="8"/>
        <v>PP25-340</v>
      </c>
      <c r="U342" s="139"/>
      <c r="V342" s="139"/>
      <c r="W342" s="103"/>
      <c r="X342" s="103"/>
      <c r="Y342" s="103"/>
      <c r="Z342" s="104"/>
    </row>
    <row r="343" ht="49.5" customHeight="1">
      <c r="A343" s="132"/>
      <c r="B343" s="90" t="s">
        <v>2900</v>
      </c>
      <c r="C343" s="90">
        <f t="shared" si="75"/>
        <v>341</v>
      </c>
      <c r="D343" s="92" t="str">
        <f t="shared" si="1"/>
        <v>PP25-341</v>
      </c>
      <c r="E343" s="146">
        <v>45911.0</v>
      </c>
      <c r="F343" s="135"/>
      <c r="G343" s="135" t="s">
        <v>3010</v>
      </c>
      <c r="H343" s="116"/>
      <c r="I343" s="116"/>
      <c r="J343" s="135" t="s">
        <v>1867</v>
      </c>
      <c r="K343" s="136">
        <v>1.59355E7</v>
      </c>
      <c r="L343" s="140">
        <f t="shared" si="96"/>
        <v>844581.5</v>
      </c>
      <c r="M343" s="136">
        <f t="shared" si="84"/>
        <v>16780081.5</v>
      </c>
      <c r="N343" s="147">
        <f t="shared" si="91"/>
        <v>1845808.965</v>
      </c>
      <c r="O343" s="136">
        <f t="shared" si="85"/>
        <v>18625890.47</v>
      </c>
      <c r="P343" s="135"/>
      <c r="Q343" s="141" t="s">
        <v>2949</v>
      </c>
      <c r="R343" s="138"/>
      <c r="S343" s="101" t="str">
        <f t="shared" si="7"/>
        <v>#REF!</v>
      </c>
      <c r="T343" s="102" t="str">
        <f t="shared" si="8"/>
        <v>PP25-341</v>
      </c>
      <c r="U343" s="139"/>
      <c r="V343" s="139"/>
      <c r="W343" s="103"/>
      <c r="X343" s="103"/>
      <c r="Y343" s="103"/>
      <c r="Z343" s="103"/>
    </row>
    <row r="344" ht="49.5" customHeight="1">
      <c r="A344" s="132"/>
      <c r="B344" s="90" t="s">
        <v>2900</v>
      </c>
      <c r="C344" s="90">
        <f t="shared" si="75"/>
        <v>342</v>
      </c>
      <c r="D344" s="92" t="str">
        <f t="shared" si="1"/>
        <v>PP25-342</v>
      </c>
      <c r="E344" s="146">
        <v>45911.0</v>
      </c>
      <c r="F344" s="135"/>
      <c r="G344" s="135" t="s">
        <v>3010</v>
      </c>
      <c r="H344" s="116"/>
      <c r="I344" s="116"/>
      <c r="J344" s="135" t="s">
        <v>1872</v>
      </c>
      <c r="K344" s="136">
        <v>1.9433569E7</v>
      </c>
      <c r="L344" s="140">
        <f>K344*7.5%</f>
        <v>1457517.675</v>
      </c>
      <c r="M344" s="136">
        <f t="shared" si="84"/>
        <v>20891086.68</v>
      </c>
      <c r="N344" s="147">
        <f t="shared" si="91"/>
        <v>2298019.534</v>
      </c>
      <c r="O344" s="136">
        <f t="shared" si="85"/>
        <v>23189106.21</v>
      </c>
      <c r="P344" s="149"/>
      <c r="Q344" s="141" t="s">
        <v>2903</v>
      </c>
      <c r="R344" s="138"/>
      <c r="S344" s="101" t="str">
        <f t="shared" si="7"/>
        <v>#REF!</v>
      </c>
      <c r="T344" s="102" t="str">
        <f t="shared" si="8"/>
        <v>PP25-342</v>
      </c>
      <c r="U344" s="139"/>
      <c r="V344" s="139"/>
      <c r="W344" s="103"/>
      <c r="X344" s="103"/>
      <c r="Y344" s="103"/>
      <c r="Z344" s="104"/>
    </row>
    <row r="345" ht="49.5" customHeight="1">
      <c r="A345" s="132"/>
      <c r="B345" s="90" t="s">
        <v>2900</v>
      </c>
      <c r="C345" s="90">
        <f t="shared" si="75"/>
        <v>343</v>
      </c>
      <c r="D345" s="92" t="str">
        <f t="shared" si="1"/>
        <v>PP25-343</v>
      </c>
      <c r="E345" s="150">
        <v>0.0</v>
      </c>
      <c r="F345" s="135"/>
      <c r="G345" s="135"/>
      <c r="H345" s="116"/>
      <c r="I345" s="116"/>
      <c r="J345" s="135" t="s">
        <v>1054</v>
      </c>
      <c r="K345" s="136">
        <v>6.3132939E7</v>
      </c>
      <c r="L345" s="140">
        <f>K345*5.3%</f>
        <v>3346045.767</v>
      </c>
      <c r="M345" s="136">
        <f t="shared" si="84"/>
        <v>66478984.77</v>
      </c>
      <c r="N345" s="147">
        <f t="shared" si="91"/>
        <v>7312688.324</v>
      </c>
      <c r="O345" s="136">
        <f t="shared" si="85"/>
        <v>73791673.09</v>
      </c>
      <c r="P345" s="151"/>
      <c r="Q345" s="137" t="s">
        <v>3002</v>
      </c>
      <c r="R345" s="138"/>
      <c r="S345" s="101" t="str">
        <f t="shared" si="7"/>
        <v>#REF!</v>
      </c>
      <c r="T345" s="102" t="str">
        <f t="shared" si="8"/>
        <v>PP25-343</v>
      </c>
      <c r="U345" s="139"/>
      <c r="V345" s="139"/>
      <c r="W345" s="103"/>
      <c r="X345" s="103"/>
      <c r="Y345" s="103"/>
      <c r="Z345" s="104"/>
    </row>
    <row r="346" ht="49.5" customHeight="1">
      <c r="A346" s="132"/>
      <c r="B346" s="90" t="s">
        <v>2900</v>
      </c>
      <c r="C346" s="90">
        <f t="shared" si="75"/>
        <v>344</v>
      </c>
      <c r="D346" s="92" t="str">
        <f t="shared" si="1"/>
        <v>PP25-344</v>
      </c>
      <c r="E346" s="146">
        <v>45915.0</v>
      </c>
      <c r="F346" s="135"/>
      <c r="G346" s="135" t="s">
        <v>3010</v>
      </c>
      <c r="H346" s="116"/>
      <c r="I346" s="116"/>
      <c r="J346" s="135" t="s">
        <v>1056</v>
      </c>
      <c r="K346" s="136">
        <v>4.743239E7</v>
      </c>
      <c r="L346" s="140">
        <f>K346*5.5%</f>
        <v>2608781.45</v>
      </c>
      <c r="M346" s="136">
        <f t="shared" si="84"/>
        <v>50041171.45</v>
      </c>
      <c r="N346" s="147">
        <f t="shared" si="91"/>
        <v>5504528.86</v>
      </c>
      <c r="O346" s="136">
        <f t="shared" si="85"/>
        <v>55545700.31</v>
      </c>
      <c r="P346" s="149"/>
      <c r="Q346" s="141" t="s">
        <v>2903</v>
      </c>
      <c r="R346" s="138"/>
      <c r="S346" s="101" t="str">
        <f t="shared" si="7"/>
        <v>#REF!</v>
      </c>
      <c r="T346" s="102" t="str">
        <f t="shared" si="8"/>
        <v>PP25-344</v>
      </c>
      <c r="U346" s="139"/>
      <c r="V346" s="139"/>
      <c r="W346" s="103"/>
      <c r="X346" s="103"/>
      <c r="Y346" s="103"/>
      <c r="Z346" s="104"/>
    </row>
    <row r="347" ht="49.5" customHeight="1">
      <c r="A347" s="132"/>
      <c r="B347" s="90" t="s">
        <v>2900</v>
      </c>
      <c r="C347" s="90">
        <f t="shared" si="75"/>
        <v>345</v>
      </c>
      <c r="D347" s="92" t="str">
        <f t="shared" si="1"/>
        <v>PP25-345</v>
      </c>
      <c r="E347" s="146">
        <v>45923.0</v>
      </c>
      <c r="F347" s="135"/>
      <c r="G347" s="116" t="s">
        <v>238</v>
      </c>
      <c r="H347" s="116"/>
      <c r="I347" s="116"/>
      <c r="J347" s="135" t="s">
        <v>1058</v>
      </c>
      <c r="K347" s="136">
        <v>9.4953117E7</v>
      </c>
      <c r="L347" s="140">
        <f>K347*10%</f>
        <v>9495311.7</v>
      </c>
      <c r="M347" s="136">
        <f t="shared" si="84"/>
        <v>104448428.7</v>
      </c>
      <c r="N347" s="147">
        <f>L347*11%</f>
        <v>1044484.287</v>
      </c>
      <c r="O347" s="136">
        <f t="shared" si="85"/>
        <v>105492913</v>
      </c>
      <c r="P347" s="149"/>
      <c r="Q347" s="111" t="s">
        <v>2949</v>
      </c>
      <c r="R347" s="138"/>
      <c r="S347" s="101" t="str">
        <f t="shared" si="7"/>
        <v>#REF!</v>
      </c>
      <c r="T347" s="102" t="str">
        <f t="shared" si="8"/>
        <v>PP25-345</v>
      </c>
      <c r="U347" s="139"/>
      <c r="V347" s="139"/>
      <c r="W347" s="103"/>
      <c r="X347" s="103"/>
      <c r="Y347" s="103"/>
      <c r="Z347" s="103"/>
    </row>
    <row r="348" ht="49.5" customHeight="1">
      <c r="A348" s="132"/>
      <c r="B348" s="90" t="s">
        <v>2900</v>
      </c>
      <c r="C348" s="90">
        <f t="shared" si="75"/>
        <v>346</v>
      </c>
      <c r="D348" s="92" t="str">
        <f t="shared" si="1"/>
        <v>PP25-346</v>
      </c>
      <c r="E348" s="146">
        <v>45925.0</v>
      </c>
      <c r="F348" s="135"/>
      <c r="G348" s="135" t="s">
        <v>3010</v>
      </c>
      <c r="H348" s="116"/>
      <c r="I348" s="116"/>
      <c r="J348" s="135" t="s">
        <v>1893</v>
      </c>
      <c r="K348" s="136">
        <v>9.3363092E7</v>
      </c>
      <c r="L348" s="140">
        <f t="shared" ref="L348:L350" si="97">K348*5.8%</f>
        <v>5415059.336</v>
      </c>
      <c r="M348" s="136">
        <f t="shared" si="84"/>
        <v>98778151.34</v>
      </c>
      <c r="N348" s="147">
        <f t="shared" ref="N348:N354" si="98">M348*11%</f>
        <v>10865596.65</v>
      </c>
      <c r="O348" s="136">
        <f t="shared" si="85"/>
        <v>109643748</v>
      </c>
      <c r="P348" s="149"/>
      <c r="Q348" s="109" t="s">
        <v>2911</v>
      </c>
      <c r="R348" s="138"/>
      <c r="S348" s="101" t="str">
        <f t="shared" si="7"/>
        <v>#REF!</v>
      </c>
      <c r="T348" s="102" t="str">
        <f t="shared" si="8"/>
        <v>PP25-346</v>
      </c>
      <c r="U348" s="139"/>
      <c r="V348" s="139"/>
      <c r="W348" s="103"/>
      <c r="X348" s="103"/>
      <c r="Y348" s="103"/>
      <c r="Z348" s="104"/>
    </row>
    <row r="349" ht="49.5" customHeight="1">
      <c r="A349" s="132"/>
      <c r="B349" s="90" t="s">
        <v>2900</v>
      </c>
      <c r="C349" s="90">
        <f t="shared" si="75"/>
        <v>347</v>
      </c>
      <c r="D349" s="92" t="str">
        <f t="shared" si="1"/>
        <v>PP25-347</v>
      </c>
      <c r="E349" s="146">
        <v>45925.0</v>
      </c>
      <c r="F349" s="152"/>
      <c r="G349" s="135" t="s">
        <v>3010</v>
      </c>
      <c r="H349" s="153"/>
      <c r="I349" s="116"/>
      <c r="J349" s="135" t="s">
        <v>1899</v>
      </c>
      <c r="K349" s="136">
        <v>1.50663777E8</v>
      </c>
      <c r="L349" s="140">
        <f t="shared" si="97"/>
        <v>8738499.066</v>
      </c>
      <c r="M349" s="136">
        <f t="shared" si="84"/>
        <v>159402276.1</v>
      </c>
      <c r="N349" s="147">
        <f t="shared" si="98"/>
        <v>17534250.37</v>
      </c>
      <c r="O349" s="136">
        <f t="shared" si="85"/>
        <v>176936526.4</v>
      </c>
      <c r="P349" s="99"/>
      <c r="Q349" s="109" t="s">
        <v>2911</v>
      </c>
      <c r="R349" s="138"/>
      <c r="S349" s="101" t="str">
        <f t="shared" si="7"/>
        <v>#REF!</v>
      </c>
      <c r="T349" s="102" t="str">
        <f t="shared" si="8"/>
        <v>PP25-347</v>
      </c>
      <c r="U349" s="139"/>
      <c r="V349" s="139"/>
      <c r="W349" s="103"/>
      <c r="X349" s="103"/>
      <c r="Y349" s="103"/>
      <c r="Z349" s="103"/>
    </row>
    <row r="350" ht="49.5" customHeight="1">
      <c r="A350" s="132"/>
      <c r="B350" s="90" t="s">
        <v>2900</v>
      </c>
      <c r="C350" s="90">
        <f t="shared" si="75"/>
        <v>348</v>
      </c>
      <c r="D350" s="92" t="str">
        <f t="shared" si="1"/>
        <v>PP25-348</v>
      </c>
      <c r="E350" s="146">
        <v>45925.0</v>
      </c>
      <c r="F350" s="152"/>
      <c r="G350" s="135" t="s">
        <v>3010</v>
      </c>
      <c r="H350" s="116"/>
      <c r="I350" s="116"/>
      <c r="J350" s="135" t="s">
        <v>1905</v>
      </c>
      <c r="K350" s="136">
        <v>7255244.0</v>
      </c>
      <c r="L350" s="140">
        <f t="shared" si="97"/>
        <v>420804.152</v>
      </c>
      <c r="M350" s="136">
        <f t="shared" si="84"/>
        <v>7676048.152</v>
      </c>
      <c r="N350" s="147">
        <f t="shared" si="98"/>
        <v>844365.2967</v>
      </c>
      <c r="O350" s="136">
        <f t="shared" si="85"/>
        <v>8520413.449</v>
      </c>
      <c r="P350" s="154"/>
      <c r="Q350" s="109" t="s">
        <v>2911</v>
      </c>
      <c r="R350" s="138"/>
      <c r="S350" s="101" t="str">
        <f t="shared" si="7"/>
        <v>#REF!</v>
      </c>
      <c r="T350" s="102" t="str">
        <f t="shared" si="8"/>
        <v>PP25-348</v>
      </c>
      <c r="U350" s="139"/>
      <c r="V350" s="139"/>
      <c r="W350" s="103"/>
      <c r="X350" s="103"/>
      <c r="Y350" s="103"/>
      <c r="Z350" s="104"/>
    </row>
    <row r="351" ht="49.5" customHeight="1">
      <c r="A351" s="132"/>
      <c r="B351" s="90" t="s">
        <v>2900</v>
      </c>
      <c r="C351" s="90">
        <f t="shared" si="75"/>
        <v>349</v>
      </c>
      <c r="D351" s="92" t="str">
        <f t="shared" si="1"/>
        <v>PP25-349</v>
      </c>
      <c r="E351" s="146">
        <v>45925.0</v>
      </c>
      <c r="F351" s="152"/>
      <c r="G351" s="152" t="s">
        <v>3010</v>
      </c>
      <c r="H351" s="153"/>
      <c r="I351" s="153"/>
      <c r="J351" s="135" t="s">
        <v>1907</v>
      </c>
      <c r="K351" s="136">
        <v>5.7952869E7</v>
      </c>
      <c r="L351" s="140">
        <f t="shared" ref="L351:L353" si="99">K351*6%</f>
        <v>3477172.14</v>
      </c>
      <c r="M351" s="136">
        <f t="shared" si="84"/>
        <v>61430041.14</v>
      </c>
      <c r="N351" s="147">
        <f t="shared" si="98"/>
        <v>6757304.525</v>
      </c>
      <c r="O351" s="136">
        <f t="shared" si="85"/>
        <v>68187345.67</v>
      </c>
      <c r="P351" s="131"/>
      <c r="Q351" s="109" t="s">
        <v>3009</v>
      </c>
      <c r="R351" s="138"/>
      <c r="S351" s="101" t="str">
        <f t="shared" si="7"/>
        <v>#REF!</v>
      </c>
      <c r="T351" s="102" t="str">
        <f t="shared" si="8"/>
        <v>PP25-349</v>
      </c>
      <c r="U351" s="139"/>
      <c r="V351" s="139"/>
      <c r="W351" s="103"/>
      <c r="X351" s="103"/>
      <c r="Y351" s="103"/>
      <c r="Z351" s="104"/>
    </row>
    <row r="352" ht="49.5" customHeight="1">
      <c r="A352" s="132"/>
      <c r="B352" s="90" t="s">
        <v>2900</v>
      </c>
      <c r="C352" s="90">
        <f t="shared" si="75"/>
        <v>350</v>
      </c>
      <c r="D352" s="92" t="str">
        <f t="shared" si="1"/>
        <v>PP25-350</v>
      </c>
      <c r="E352" s="146">
        <v>45925.0</v>
      </c>
      <c r="F352" s="152"/>
      <c r="G352" s="152" t="s">
        <v>3010</v>
      </c>
      <c r="H352" s="153"/>
      <c r="I352" s="153"/>
      <c r="J352" s="135" t="s">
        <v>1913</v>
      </c>
      <c r="K352" s="136">
        <v>5.761759E7</v>
      </c>
      <c r="L352" s="140">
        <f t="shared" si="99"/>
        <v>3457055.4</v>
      </c>
      <c r="M352" s="136">
        <f t="shared" si="84"/>
        <v>61074645.4</v>
      </c>
      <c r="N352" s="147">
        <f t="shared" si="98"/>
        <v>6718210.994</v>
      </c>
      <c r="O352" s="136">
        <f t="shared" si="85"/>
        <v>67792856.39</v>
      </c>
      <c r="P352" s="99"/>
      <c r="Q352" s="109" t="s">
        <v>3009</v>
      </c>
      <c r="R352" s="138"/>
      <c r="S352" s="101" t="str">
        <f t="shared" si="7"/>
        <v>#REF!</v>
      </c>
      <c r="T352" s="102" t="str">
        <f t="shared" si="8"/>
        <v>PP25-350</v>
      </c>
      <c r="U352" s="139"/>
      <c r="V352" s="139"/>
      <c r="W352" s="103"/>
      <c r="X352" s="103"/>
      <c r="Y352" s="103"/>
      <c r="Z352" s="103"/>
    </row>
    <row r="353" ht="49.5" customHeight="1">
      <c r="A353" s="132"/>
      <c r="B353" s="90" t="s">
        <v>2900</v>
      </c>
      <c r="C353" s="90">
        <f t="shared" si="75"/>
        <v>351</v>
      </c>
      <c r="D353" s="92" t="str">
        <f t="shared" si="1"/>
        <v>PP25-351</v>
      </c>
      <c r="E353" s="146">
        <v>45925.0</v>
      </c>
      <c r="F353" s="152"/>
      <c r="G353" s="152" t="s">
        <v>3010</v>
      </c>
      <c r="H353" s="153"/>
      <c r="I353" s="153"/>
      <c r="J353" s="135" t="s">
        <v>1919</v>
      </c>
      <c r="K353" s="136">
        <v>2.2583E7</v>
      </c>
      <c r="L353" s="140">
        <f t="shared" si="99"/>
        <v>1354980</v>
      </c>
      <c r="M353" s="140">
        <f t="shared" si="84"/>
        <v>23937980</v>
      </c>
      <c r="N353" s="140">
        <f t="shared" si="98"/>
        <v>2633177.8</v>
      </c>
      <c r="O353" s="140">
        <f t="shared" si="85"/>
        <v>26571157.8</v>
      </c>
      <c r="P353" s="131"/>
      <c r="Q353" s="109" t="s">
        <v>3009</v>
      </c>
      <c r="R353" s="138"/>
      <c r="S353" s="101" t="str">
        <f t="shared" si="7"/>
        <v>#REF!</v>
      </c>
      <c r="T353" s="102" t="str">
        <f t="shared" si="8"/>
        <v>PP25-351</v>
      </c>
      <c r="U353" s="139"/>
      <c r="V353" s="139"/>
      <c r="W353" s="103"/>
      <c r="X353" s="103"/>
      <c r="Y353" s="103"/>
      <c r="Z353" s="104"/>
    </row>
    <row r="354" ht="49.5" customHeight="1">
      <c r="A354" s="132"/>
      <c r="B354" s="90" t="s">
        <v>2900</v>
      </c>
      <c r="C354" s="90">
        <f t="shared" si="75"/>
        <v>352</v>
      </c>
      <c r="D354" s="92" t="str">
        <f t="shared" si="1"/>
        <v>PP25-352</v>
      </c>
      <c r="E354" s="146">
        <v>45925.0</v>
      </c>
      <c r="F354" s="152"/>
      <c r="G354" s="152" t="s">
        <v>3010</v>
      </c>
      <c r="H354" s="153"/>
      <c r="I354" s="153"/>
      <c r="J354" s="152" t="s">
        <v>1072</v>
      </c>
      <c r="K354" s="155">
        <v>7.99360903E8</v>
      </c>
      <c r="L354" s="156">
        <f>K354*5.5%</f>
        <v>43964849.67</v>
      </c>
      <c r="M354" s="140">
        <f t="shared" si="84"/>
        <v>843325752.7</v>
      </c>
      <c r="N354" s="140">
        <f t="shared" si="98"/>
        <v>92765832.79</v>
      </c>
      <c r="O354" s="140">
        <f t="shared" si="85"/>
        <v>936091585.5</v>
      </c>
      <c r="P354" s="99"/>
      <c r="Q354" s="109" t="s">
        <v>2903</v>
      </c>
      <c r="R354" s="138"/>
      <c r="S354" s="101" t="str">
        <f t="shared" si="7"/>
        <v>#REF!</v>
      </c>
      <c r="T354" s="102" t="str">
        <f t="shared" si="8"/>
        <v>PP25-352</v>
      </c>
      <c r="U354" s="139"/>
      <c r="V354" s="139"/>
      <c r="W354" s="103"/>
      <c r="X354" s="103"/>
      <c r="Y354" s="103"/>
      <c r="Z354" s="103"/>
    </row>
    <row r="355" ht="49.5" customHeight="1">
      <c r="A355" s="132"/>
      <c r="B355" s="90" t="s">
        <v>2900</v>
      </c>
      <c r="C355" s="90">
        <f t="shared" si="75"/>
        <v>353</v>
      </c>
      <c r="D355" s="92" t="str">
        <f t="shared" si="1"/>
        <v>PP25-353</v>
      </c>
      <c r="E355" s="157">
        <v>45927.0</v>
      </c>
      <c r="F355" s="152"/>
      <c r="G355" s="152" t="s">
        <v>3010</v>
      </c>
      <c r="H355" s="153"/>
      <c r="I355" s="153"/>
      <c r="J355" s="152" t="s">
        <v>1930</v>
      </c>
      <c r="K355" s="155">
        <v>3.55967707E8</v>
      </c>
      <c r="L355" s="156">
        <f>K355*5.8%</f>
        <v>20646127.01</v>
      </c>
      <c r="M355" s="156">
        <f t="shared" si="84"/>
        <v>376613834</v>
      </c>
      <c r="N355" s="156">
        <f t="shared" ref="N355:N358" si="100">L355*11%</f>
        <v>2271073.971</v>
      </c>
      <c r="O355" s="156">
        <f t="shared" si="85"/>
        <v>378884908</v>
      </c>
      <c r="P355" s="99"/>
      <c r="Q355" s="141" t="s">
        <v>2911</v>
      </c>
      <c r="R355" s="138"/>
      <c r="S355" s="101" t="str">
        <f t="shared" si="7"/>
        <v>#REF!</v>
      </c>
      <c r="T355" s="102" t="str">
        <f t="shared" si="8"/>
        <v>PP25-353</v>
      </c>
      <c r="U355" s="139"/>
      <c r="V355" s="139"/>
      <c r="W355" s="103"/>
      <c r="X355" s="103"/>
      <c r="Y355" s="103"/>
      <c r="Z355" s="103"/>
    </row>
    <row r="356" ht="49.5" customHeight="1">
      <c r="A356" s="132"/>
      <c r="B356" s="90" t="s">
        <v>2900</v>
      </c>
      <c r="C356" s="90">
        <f t="shared" si="75"/>
        <v>354</v>
      </c>
      <c r="D356" s="92" t="str">
        <f t="shared" si="1"/>
        <v>PP25-354</v>
      </c>
      <c r="E356" s="157">
        <v>45930.0</v>
      </c>
      <c r="F356" s="152"/>
      <c r="G356" s="152" t="s">
        <v>3010</v>
      </c>
      <c r="H356" s="153"/>
      <c r="I356" s="153"/>
      <c r="J356" s="152" t="s">
        <v>1074</v>
      </c>
      <c r="K356" s="155">
        <v>6.7830337E7</v>
      </c>
      <c r="L356" s="156">
        <f t="shared" ref="L356:L358" si="101">K356*6%</f>
        <v>4069820.22</v>
      </c>
      <c r="M356" s="156">
        <f t="shared" si="84"/>
        <v>71900157.22</v>
      </c>
      <c r="N356" s="156">
        <f t="shared" si="100"/>
        <v>447680.2242</v>
      </c>
      <c r="O356" s="156">
        <f t="shared" si="85"/>
        <v>72347837.44</v>
      </c>
      <c r="P356" s="95"/>
      <c r="Q356" s="141" t="s">
        <v>2903</v>
      </c>
      <c r="R356" s="138"/>
      <c r="S356" s="101" t="str">
        <f t="shared" si="7"/>
        <v>#REF!</v>
      </c>
      <c r="T356" s="102" t="str">
        <f t="shared" si="8"/>
        <v>PP25-354</v>
      </c>
      <c r="U356" s="139"/>
      <c r="V356" s="139"/>
      <c r="W356" s="103"/>
      <c r="X356" s="103"/>
      <c r="Y356" s="103"/>
      <c r="Z356" s="104"/>
    </row>
    <row r="357" ht="49.5" customHeight="1">
      <c r="A357" s="132"/>
      <c r="B357" s="90" t="s">
        <v>2900</v>
      </c>
      <c r="C357" s="90">
        <f t="shared" si="75"/>
        <v>355</v>
      </c>
      <c r="D357" s="92" t="str">
        <f t="shared" si="1"/>
        <v>PP25-355</v>
      </c>
      <c r="E357" s="157">
        <v>45930.0</v>
      </c>
      <c r="F357" s="152"/>
      <c r="G357" s="152" t="s">
        <v>3010</v>
      </c>
      <c r="H357" s="153"/>
      <c r="I357" s="153"/>
      <c r="J357" s="152" t="s">
        <v>1076</v>
      </c>
      <c r="K357" s="155">
        <v>5.9241796E7</v>
      </c>
      <c r="L357" s="156">
        <f t="shared" si="101"/>
        <v>3554507.76</v>
      </c>
      <c r="M357" s="156">
        <f t="shared" si="84"/>
        <v>62796303.76</v>
      </c>
      <c r="N357" s="156">
        <f t="shared" si="100"/>
        <v>390995.8536</v>
      </c>
      <c r="O357" s="156">
        <f t="shared" si="85"/>
        <v>63187299.61</v>
      </c>
      <c r="P357" s="131"/>
      <c r="Q357" s="141" t="s">
        <v>2903</v>
      </c>
      <c r="R357" s="138"/>
      <c r="S357" s="101" t="str">
        <f t="shared" si="7"/>
        <v>#REF!</v>
      </c>
      <c r="T357" s="102" t="str">
        <f t="shared" si="8"/>
        <v>PP25-355</v>
      </c>
      <c r="U357" s="139"/>
      <c r="V357" s="139"/>
      <c r="W357" s="103"/>
      <c r="X357" s="103"/>
      <c r="Y357" s="103"/>
      <c r="Z357" s="104"/>
    </row>
    <row r="358" ht="49.5" customHeight="1">
      <c r="A358" s="132"/>
      <c r="B358" s="90" t="s">
        <v>2900</v>
      </c>
      <c r="C358" s="90">
        <f t="shared" si="75"/>
        <v>356</v>
      </c>
      <c r="D358" s="92" t="str">
        <f t="shared" si="1"/>
        <v>PP25-356</v>
      </c>
      <c r="E358" s="157">
        <v>45930.0</v>
      </c>
      <c r="F358" s="152"/>
      <c r="G358" s="152" t="s">
        <v>3010</v>
      </c>
      <c r="H358" s="153"/>
      <c r="I358" s="153"/>
      <c r="J358" s="152" t="s">
        <v>1078</v>
      </c>
      <c r="K358" s="155">
        <v>4.13990011E8</v>
      </c>
      <c r="L358" s="156">
        <f t="shared" si="101"/>
        <v>24839400.66</v>
      </c>
      <c r="M358" s="156">
        <f t="shared" si="84"/>
        <v>438829411.7</v>
      </c>
      <c r="N358" s="156">
        <f t="shared" si="100"/>
        <v>2732334.073</v>
      </c>
      <c r="O358" s="156">
        <f t="shared" si="85"/>
        <v>441561745.7</v>
      </c>
      <c r="P358" s="95"/>
      <c r="Q358" s="141" t="s">
        <v>2903</v>
      </c>
      <c r="R358" s="138"/>
      <c r="S358" s="101" t="str">
        <f t="shared" si="7"/>
        <v>#REF!</v>
      </c>
      <c r="T358" s="102" t="str">
        <f t="shared" si="8"/>
        <v>PP25-356</v>
      </c>
      <c r="U358" s="139"/>
      <c r="V358" s="139"/>
      <c r="W358" s="103"/>
      <c r="X358" s="103"/>
      <c r="Y358" s="103"/>
      <c r="Z358" s="104"/>
    </row>
    <row r="359" ht="49.5" customHeight="1">
      <c r="A359" s="132"/>
      <c r="B359" s="90" t="s">
        <v>2900</v>
      </c>
      <c r="C359" s="90">
        <f t="shared" si="75"/>
        <v>357</v>
      </c>
      <c r="D359" s="92" t="str">
        <f t="shared" si="1"/>
        <v>PP25-357</v>
      </c>
      <c r="E359" s="157">
        <v>45931.0</v>
      </c>
      <c r="F359" s="152"/>
      <c r="G359" s="152" t="s">
        <v>3010</v>
      </c>
      <c r="H359" s="153"/>
      <c r="I359" s="116"/>
      <c r="J359" s="152" t="s">
        <v>1945</v>
      </c>
      <c r="K359" s="155">
        <v>2.45361169E8</v>
      </c>
      <c r="L359" s="156">
        <f>K359*5.6%</f>
        <v>13740225.46</v>
      </c>
      <c r="M359" s="156">
        <f t="shared" si="84"/>
        <v>259101394.5</v>
      </c>
      <c r="N359" s="156">
        <f t="shared" ref="N359:N367" si="102">M359*11%</f>
        <v>28501153.39</v>
      </c>
      <c r="O359" s="156">
        <f t="shared" si="85"/>
        <v>287602547.9</v>
      </c>
      <c r="P359" s="95"/>
      <c r="Q359" s="109" t="s">
        <v>2903</v>
      </c>
      <c r="R359" s="138"/>
      <c r="S359" s="101" t="str">
        <f t="shared" si="7"/>
        <v>#REF!</v>
      </c>
      <c r="T359" s="102" t="str">
        <f t="shared" si="8"/>
        <v>PP25-357</v>
      </c>
      <c r="U359" s="139"/>
      <c r="V359" s="139"/>
      <c r="W359" s="103"/>
      <c r="X359" s="103"/>
      <c r="Y359" s="103"/>
      <c r="Z359" s="104"/>
    </row>
    <row r="360" ht="49.5" customHeight="1">
      <c r="A360" s="132"/>
      <c r="B360" s="90" t="s">
        <v>2900</v>
      </c>
      <c r="C360" s="90">
        <f t="shared" si="75"/>
        <v>358</v>
      </c>
      <c r="D360" s="92" t="str">
        <f t="shared" si="1"/>
        <v>PP25-358</v>
      </c>
      <c r="E360" s="157">
        <v>45931.0</v>
      </c>
      <c r="F360" s="152"/>
      <c r="G360" s="152" t="s">
        <v>3010</v>
      </c>
      <c r="H360" s="153"/>
      <c r="I360" s="116"/>
      <c r="J360" s="152" t="s">
        <v>1084</v>
      </c>
      <c r="K360" s="155">
        <v>1.63201613E8</v>
      </c>
      <c r="L360" s="156">
        <f t="shared" ref="L360:L363" si="103">K360*5.3%</f>
        <v>8649685.489</v>
      </c>
      <c r="M360" s="156">
        <f t="shared" si="84"/>
        <v>171851298.5</v>
      </c>
      <c r="N360" s="156">
        <f t="shared" si="102"/>
        <v>18903642.83</v>
      </c>
      <c r="O360" s="156">
        <f t="shared" si="85"/>
        <v>190754941.3</v>
      </c>
      <c r="P360" s="99"/>
      <c r="Q360" s="109" t="s">
        <v>2949</v>
      </c>
      <c r="R360" s="138"/>
      <c r="S360" s="101" t="str">
        <f t="shared" si="7"/>
        <v>#REF!</v>
      </c>
      <c r="T360" s="102" t="str">
        <f t="shared" si="8"/>
        <v>PP25-358</v>
      </c>
      <c r="U360" s="139"/>
      <c r="V360" s="139"/>
      <c r="W360" s="103"/>
      <c r="X360" s="103"/>
      <c r="Y360" s="103"/>
      <c r="Z360" s="103"/>
    </row>
    <row r="361" ht="49.5" customHeight="1">
      <c r="A361" s="132"/>
      <c r="B361" s="90" t="s">
        <v>2900</v>
      </c>
      <c r="C361" s="90">
        <f t="shared" si="75"/>
        <v>359</v>
      </c>
      <c r="D361" s="92" t="str">
        <f t="shared" si="1"/>
        <v>PP25-359</v>
      </c>
      <c r="E361" s="157">
        <v>45931.0</v>
      </c>
      <c r="F361" s="152"/>
      <c r="G361" s="152" t="s">
        <v>3010</v>
      </c>
      <c r="H361" s="153"/>
      <c r="I361" s="116"/>
      <c r="J361" s="152" t="s">
        <v>1086</v>
      </c>
      <c r="K361" s="155">
        <v>4.8368243E7</v>
      </c>
      <c r="L361" s="156">
        <f t="shared" si="103"/>
        <v>2563516.879</v>
      </c>
      <c r="M361" s="156">
        <f t="shared" si="84"/>
        <v>50931759.88</v>
      </c>
      <c r="N361" s="156">
        <f t="shared" si="102"/>
        <v>5602493.587</v>
      </c>
      <c r="O361" s="156">
        <f t="shared" si="85"/>
        <v>56534253.47</v>
      </c>
      <c r="P361" s="99"/>
      <c r="Q361" s="109" t="s">
        <v>2949</v>
      </c>
      <c r="R361" s="138"/>
      <c r="S361" s="101" t="str">
        <f t="shared" si="7"/>
        <v>#REF!</v>
      </c>
      <c r="T361" s="102" t="str">
        <f t="shared" si="8"/>
        <v>PP25-359</v>
      </c>
      <c r="U361" s="139"/>
      <c r="V361" s="139"/>
      <c r="W361" s="103"/>
      <c r="X361" s="103"/>
      <c r="Y361" s="103"/>
      <c r="Z361" s="103"/>
    </row>
    <row r="362" ht="49.5" customHeight="1">
      <c r="A362" s="132"/>
      <c r="B362" s="90" t="s">
        <v>2900</v>
      </c>
      <c r="C362" s="90">
        <f t="shared" si="75"/>
        <v>360</v>
      </c>
      <c r="D362" s="92" t="str">
        <f t="shared" si="1"/>
        <v>PP25-360</v>
      </c>
      <c r="E362" s="157">
        <v>45931.0</v>
      </c>
      <c r="F362" s="152"/>
      <c r="G362" s="152" t="s">
        <v>3010</v>
      </c>
      <c r="H362" s="153"/>
      <c r="I362" s="116"/>
      <c r="J362" s="152" t="s">
        <v>1088</v>
      </c>
      <c r="K362" s="155">
        <v>3.5452832E7</v>
      </c>
      <c r="L362" s="156">
        <f t="shared" si="103"/>
        <v>1879000.096</v>
      </c>
      <c r="M362" s="156">
        <f t="shared" si="84"/>
        <v>37331832.1</v>
      </c>
      <c r="N362" s="156">
        <f t="shared" si="102"/>
        <v>4106501.531</v>
      </c>
      <c r="O362" s="156">
        <f t="shared" si="85"/>
        <v>41438333.63</v>
      </c>
      <c r="P362" s="131"/>
      <c r="Q362" s="109" t="s">
        <v>2949</v>
      </c>
      <c r="R362" s="138"/>
      <c r="S362" s="101" t="str">
        <f t="shared" si="7"/>
        <v>#REF!</v>
      </c>
      <c r="T362" s="102" t="str">
        <f t="shared" si="8"/>
        <v>PP25-360</v>
      </c>
      <c r="U362" s="139"/>
      <c r="V362" s="139"/>
      <c r="W362" s="103"/>
      <c r="X362" s="103"/>
      <c r="Y362" s="103"/>
      <c r="Z362" s="104"/>
    </row>
    <row r="363" ht="49.5" customHeight="1">
      <c r="A363" s="132"/>
      <c r="B363" s="90" t="s">
        <v>2900</v>
      </c>
      <c r="C363" s="90">
        <f t="shared" si="75"/>
        <v>361</v>
      </c>
      <c r="D363" s="92" t="str">
        <f t="shared" si="1"/>
        <v>PP25-361</v>
      </c>
      <c r="E363" s="157">
        <v>45931.0</v>
      </c>
      <c r="F363" s="152"/>
      <c r="G363" s="152" t="s">
        <v>3010</v>
      </c>
      <c r="H363" s="153"/>
      <c r="I363" s="116"/>
      <c r="J363" s="152" t="s">
        <v>1090</v>
      </c>
      <c r="K363" s="155">
        <v>3.6650023E7</v>
      </c>
      <c r="L363" s="156">
        <f t="shared" si="103"/>
        <v>1942451.219</v>
      </c>
      <c r="M363" s="156">
        <f t="shared" si="84"/>
        <v>38592474.22</v>
      </c>
      <c r="N363" s="156">
        <f t="shared" si="102"/>
        <v>4245172.164</v>
      </c>
      <c r="O363" s="156">
        <f t="shared" si="85"/>
        <v>42837646.38</v>
      </c>
      <c r="P363" s="131"/>
      <c r="Q363" s="109" t="s">
        <v>2949</v>
      </c>
      <c r="R363" s="138"/>
      <c r="S363" s="101" t="str">
        <f t="shared" si="7"/>
        <v>#REF!</v>
      </c>
      <c r="T363" s="102" t="str">
        <f t="shared" si="8"/>
        <v>PP25-361</v>
      </c>
      <c r="U363" s="139"/>
      <c r="V363" s="139"/>
      <c r="W363" s="103"/>
      <c r="X363" s="103"/>
      <c r="Y363" s="103"/>
      <c r="Z363" s="104"/>
    </row>
    <row r="364" ht="49.5" customHeight="1">
      <c r="A364" s="132"/>
      <c r="B364" s="90" t="s">
        <v>2900</v>
      </c>
      <c r="C364" s="90">
        <f t="shared" si="75"/>
        <v>362</v>
      </c>
      <c r="D364" s="92" t="str">
        <f t="shared" si="1"/>
        <v>PP25-362</v>
      </c>
      <c r="E364" s="157">
        <v>45931.0</v>
      </c>
      <c r="F364" s="152"/>
      <c r="G364" s="152" t="s">
        <v>3010</v>
      </c>
      <c r="H364" s="153"/>
      <c r="I364" s="116"/>
      <c r="J364" s="152" t="s">
        <v>1963</v>
      </c>
      <c r="K364" s="155">
        <v>1.08782201E8</v>
      </c>
      <c r="L364" s="156">
        <f>K364*5.6%</f>
        <v>6091803.256</v>
      </c>
      <c r="M364" s="156">
        <f t="shared" si="84"/>
        <v>114874004.3</v>
      </c>
      <c r="N364" s="156">
        <f t="shared" si="102"/>
        <v>12636140.47</v>
      </c>
      <c r="O364" s="156">
        <f t="shared" si="85"/>
        <v>127510144.7</v>
      </c>
      <c r="P364" s="99"/>
      <c r="Q364" s="109" t="s">
        <v>2903</v>
      </c>
      <c r="R364" s="138"/>
      <c r="S364" s="101" t="str">
        <f t="shared" si="7"/>
        <v>#REF!</v>
      </c>
      <c r="T364" s="102" t="str">
        <f t="shared" si="8"/>
        <v>PP25-362</v>
      </c>
      <c r="U364" s="139"/>
      <c r="V364" s="139"/>
      <c r="W364" s="103"/>
      <c r="X364" s="103"/>
      <c r="Y364" s="103"/>
      <c r="Z364" s="103"/>
    </row>
    <row r="365" ht="49.5" customHeight="1">
      <c r="A365" s="132"/>
      <c r="B365" s="90" t="s">
        <v>2900</v>
      </c>
      <c r="C365" s="90">
        <f t="shared" si="75"/>
        <v>363</v>
      </c>
      <c r="D365" s="92" t="str">
        <f t="shared" si="1"/>
        <v>PP25-363</v>
      </c>
      <c r="E365" s="157">
        <v>45931.0</v>
      </c>
      <c r="F365" s="152"/>
      <c r="G365" s="152" t="s">
        <v>3010</v>
      </c>
      <c r="H365" s="153"/>
      <c r="I365" s="116"/>
      <c r="J365" s="152" t="s">
        <v>1098</v>
      </c>
      <c r="K365" s="155">
        <v>2.21736926E8</v>
      </c>
      <c r="L365" s="156">
        <f>K365*6.3%</f>
        <v>13969426.34</v>
      </c>
      <c r="M365" s="156">
        <f t="shared" si="84"/>
        <v>235706352.3</v>
      </c>
      <c r="N365" s="156">
        <f t="shared" si="102"/>
        <v>25927698.76</v>
      </c>
      <c r="O365" s="156">
        <f t="shared" si="85"/>
        <v>261634051.1</v>
      </c>
      <c r="P365" s="99"/>
      <c r="Q365" s="109" t="s">
        <v>2903</v>
      </c>
      <c r="R365" s="138"/>
      <c r="S365" s="101" t="str">
        <f t="shared" si="7"/>
        <v>#REF!</v>
      </c>
      <c r="T365" s="102" t="str">
        <f t="shared" si="8"/>
        <v>PP25-363</v>
      </c>
      <c r="U365" s="139"/>
      <c r="V365" s="139"/>
      <c r="W365" s="103"/>
      <c r="X365" s="103"/>
      <c r="Y365" s="103"/>
      <c r="Z365" s="103"/>
    </row>
    <row r="366" ht="49.5" customHeight="1">
      <c r="A366" s="132"/>
      <c r="B366" s="90" t="s">
        <v>2900</v>
      </c>
      <c r="C366" s="90">
        <f t="shared" si="75"/>
        <v>364</v>
      </c>
      <c r="D366" s="92" t="str">
        <f t="shared" si="1"/>
        <v>PP25-364</v>
      </c>
      <c r="E366" s="157">
        <v>45903.0</v>
      </c>
      <c r="F366" s="152"/>
      <c r="G366" s="152" t="s">
        <v>3010</v>
      </c>
      <c r="H366" s="153"/>
      <c r="I366" s="116"/>
      <c r="J366" s="152" t="s">
        <v>1100</v>
      </c>
      <c r="K366" s="155">
        <v>3.41417389E8</v>
      </c>
      <c r="L366" s="156">
        <f t="shared" ref="L366:L367" si="104">K366*5.3%</f>
        <v>18095121.62</v>
      </c>
      <c r="M366" s="156">
        <f t="shared" si="84"/>
        <v>359512510.6</v>
      </c>
      <c r="N366" s="156">
        <f t="shared" si="102"/>
        <v>39546376.17</v>
      </c>
      <c r="O366" s="156">
        <f t="shared" si="85"/>
        <v>399058886.8</v>
      </c>
      <c r="P366" s="131"/>
      <c r="Q366" s="109" t="s">
        <v>3002</v>
      </c>
      <c r="R366" s="138"/>
      <c r="S366" s="101" t="str">
        <f t="shared" si="7"/>
        <v>#REF!</v>
      </c>
      <c r="T366" s="102" t="str">
        <f t="shared" si="8"/>
        <v>PP25-364</v>
      </c>
      <c r="U366" s="139"/>
      <c r="V366" s="139"/>
      <c r="W366" s="103"/>
      <c r="X366" s="103"/>
      <c r="Y366" s="103"/>
      <c r="Z366" s="104"/>
    </row>
    <row r="367" ht="49.5" customHeight="1">
      <c r="A367" s="132"/>
      <c r="B367" s="90" t="s">
        <v>2900</v>
      </c>
      <c r="C367" s="90">
        <f t="shared" si="75"/>
        <v>365</v>
      </c>
      <c r="D367" s="92" t="str">
        <f t="shared" si="1"/>
        <v>PP25-365</v>
      </c>
      <c r="E367" s="158">
        <v>45933.0</v>
      </c>
      <c r="F367" s="153"/>
      <c r="G367" s="152" t="s">
        <v>3010</v>
      </c>
      <c r="H367" s="153"/>
      <c r="I367" s="153"/>
      <c r="J367" s="152" t="s">
        <v>1102</v>
      </c>
      <c r="K367" s="155">
        <v>2.3449708E7</v>
      </c>
      <c r="L367" s="156">
        <f t="shared" si="104"/>
        <v>1242834.524</v>
      </c>
      <c r="M367" s="156">
        <f t="shared" si="84"/>
        <v>24692542.52</v>
      </c>
      <c r="N367" s="156">
        <f t="shared" si="102"/>
        <v>2716179.678</v>
      </c>
      <c r="O367" s="156">
        <f t="shared" si="85"/>
        <v>27408722.2</v>
      </c>
      <c r="P367" s="99"/>
      <c r="Q367" s="141" t="s">
        <v>2949</v>
      </c>
      <c r="R367" s="138"/>
      <c r="S367" s="101" t="str">
        <f t="shared" si="7"/>
        <v>#REF!</v>
      </c>
      <c r="T367" s="102" t="str">
        <f t="shared" si="8"/>
        <v>PP25-365</v>
      </c>
      <c r="U367" s="139"/>
      <c r="V367" s="139"/>
      <c r="W367" s="103"/>
      <c r="X367" s="103"/>
      <c r="Y367" s="103"/>
      <c r="Z367" s="103"/>
    </row>
    <row r="368" ht="49.5" customHeight="1">
      <c r="A368" s="132"/>
      <c r="B368" s="90" t="s">
        <v>2900</v>
      </c>
      <c r="C368" s="90">
        <f t="shared" si="75"/>
        <v>366</v>
      </c>
      <c r="D368" s="92" t="str">
        <f t="shared" si="1"/>
        <v>PP25-366</v>
      </c>
      <c r="E368" s="158">
        <v>45936.0</v>
      </c>
      <c r="F368" s="153"/>
      <c r="G368" s="116" t="s">
        <v>238</v>
      </c>
      <c r="H368" s="153"/>
      <c r="I368" s="153"/>
      <c r="J368" s="152" t="s">
        <v>1058</v>
      </c>
      <c r="K368" s="155">
        <v>9.4953117E7</v>
      </c>
      <c r="L368" s="156">
        <f>K368*10%</f>
        <v>9495311.7</v>
      </c>
      <c r="M368" s="156">
        <f t="shared" si="84"/>
        <v>104448428.7</v>
      </c>
      <c r="N368" s="156">
        <f>L368*11%</f>
        <v>1044484.287</v>
      </c>
      <c r="O368" s="156">
        <f t="shared" si="85"/>
        <v>105492913</v>
      </c>
      <c r="P368" s="99"/>
      <c r="Q368" s="141" t="s">
        <v>2903</v>
      </c>
      <c r="R368" s="138"/>
      <c r="S368" s="101" t="str">
        <f t="shared" si="7"/>
        <v>#REF!</v>
      </c>
      <c r="T368" s="102" t="str">
        <f t="shared" si="8"/>
        <v>PP25-366</v>
      </c>
      <c r="U368" s="139"/>
      <c r="V368" s="139"/>
      <c r="W368" s="103"/>
      <c r="X368" s="103"/>
      <c r="Y368" s="103"/>
      <c r="Z368" s="103"/>
    </row>
    <row r="369" ht="49.5" customHeight="1">
      <c r="A369" s="132"/>
      <c r="B369" s="90" t="s">
        <v>2900</v>
      </c>
      <c r="C369" s="90">
        <f t="shared" si="75"/>
        <v>367</v>
      </c>
      <c r="D369" s="92" t="str">
        <f t="shared" si="1"/>
        <v>PP25-367</v>
      </c>
      <c r="E369" s="158">
        <v>45936.0</v>
      </c>
      <c r="F369" s="153"/>
      <c r="G369" s="152" t="s">
        <v>3010</v>
      </c>
      <c r="H369" s="153"/>
      <c r="I369" s="153"/>
      <c r="J369" s="152" t="s">
        <v>1105</v>
      </c>
      <c r="K369" s="155">
        <v>1.2015103E8</v>
      </c>
      <c r="L369" s="156">
        <f t="shared" ref="L369:L371" si="105">K369*6%</f>
        <v>7209061.8</v>
      </c>
      <c r="M369" s="156">
        <f t="shared" si="84"/>
        <v>127360091.8</v>
      </c>
      <c r="N369" s="156">
        <f t="shared" ref="N369:N377" si="106">M369*11%</f>
        <v>14009610.1</v>
      </c>
      <c r="O369" s="156">
        <f t="shared" si="85"/>
        <v>141369701.9</v>
      </c>
      <c r="P369" s="99"/>
      <c r="Q369" s="141" t="s">
        <v>2903</v>
      </c>
      <c r="R369" s="138"/>
      <c r="S369" s="101" t="str">
        <f t="shared" si="7"/>
        <v>#REF!</v>
      </c>
      <c r="T369" s="102" t="str">
        <f t="shared" si="8"/>
        <v>PP25-367</v>
      </c>
      <c r="U369" s="139"/>
      <c r="V369" s="139"/>
      <c r="W369" s="103"/>
      <c r="X369" s="103"/>
      <c r="Y369" s="103"/>
      <c r="Z369" s="103"/>
    </row>
    <row r="370" ht="49.5" customHeight="1">
      <c r="A370" s="132"/>
      <c r="B370" s="90" t="s">
        <v>2900</v>
      </c>
      <c r="C370" s="90">
        <f t="shared" si="75"/>
        <v>368</v>
      </c>
      <c r="D370" s="92" t="str">
        <f t="shared" si="1"/>
        <v>PP25-368</v>
      </c>
      <c r="E370" s="158">
        <v>45936.0</v>
      </c>
      <c r="F370" s="153"/>
      <c r="G370" s="152" t="s">
        <v>3010</v>
      </c>
      <c r="H370" s="153"/>
      <c r="I370" s="153"/>
      <c r="J370" s="152" t="s">
        <v>1107</v>
      </c>
      <c r="K370" s="155">
        <v>5.2795904E7</v>
      </c>
      <c r="L370" s="156">
        <f t="shared" si="105"/>
        <v>3167754.24</v>
      </c>
      <c r="M370" s="156">
        <f t="shared" si="84"/>
        <v>55963658.24</v>
      </c>
      <c r="N370" s="156">
        <f t="shared" si="106"/>
        <v>6156002.406</v>
      </c>
      <c r="O370" s="156">
        <f t="shared" si="85"/>
        <v>62119660.65</v>
      </c>
      <c r="P370" s="99"/>
      <c r="Q370" s="141" t="s">
        <v>2903</v>
      </c>
      <c r="R370" s="138"/>
      <c r="S370" s="101" t="str">
        <f t="shared" si="7"/>
        <v>#REF!</v>
      </c>
      <c r="T370" s="102" t="str">
        <f t="shared" si="8"/>
        <v>PP25-368</v>
      </c>
      <c r="U370" s="139"/>
      <c r="V370" s="139"/>
      <c r="W370" s="103"/>
      <c r="X370" s="103"/>
      <c r="Y370" s="103"/>
      <c r="Z370" s="103"/>
    </row>
    <row r="371" ht="49.5" customHeight="1">
      <c r="A371" s="132"/>
      <c r="B371" s="90" t="s">
        <v>2900</v>
      </c>
      <c r="C371" s="90">
        <f t="shared" si="75"/>
        <v>369</v>
      </c>
      <c r="D371" s="92" t="str">
        <f t="shared" si="1"/>
        <v>PP25-369</v>
      </c>
      <c r="E371" s="158">
        <v>45936.0</v>
      </c>
      <c r="F371" s="153"/>
      <c r="G371" s="152" t="s">
        <v>3010</v>
      </c>
      <c r="H371" s="153"/>
      <c r="I371" s="153"/>
      <c r="J371" s="152" t="s">
        <v>1109</v>
      </c>
      <c r="K371" s="155">
        <v>4.0516321E7</v>
      </c>
      <c r="L371" s="156">
        <f t="shared" si="105"/>
        <v>2430979.26</v>
      </c>
      <c r="M371" s="156">
        <f t="shared" si="84"/>
        <v>42947300.26</v>
      </c>
      <c r="N371" s="156">
        <f t="shared" si="106"/>
        <v>4724203.029</v>
      </c>
      <c r="O371" s="156">
        <f t="shared" si="85"/>
        <v>47671503.29</v>
      </c>
      <c r="P371" s="131"/>
      <c r="Q371" s="141" t="s">
        <v>2903</v>
      </c>
      <c r="R371" s="138"/>
      <c r="S371" s="101" t="str">
        <f t="shared" si="7"/>
        <v>#REF!</v>
      </c>
      <c r="T371" s="102" t="str">
        <f t="shared" si="8"/>
        <v>PP25-369</v>
      </c>
      <c r="U371" s="139"/>
      <c r="V371" s="139"/>
      <c r="W371" s="103"/>
      <c r="X371" s="103"/>
      <c r="Y371" s="103"/>
      <c r="Z371" s="104"/>
    </row>
    <row r="372" ht="49.5" customHeight="1">
      <c r="A372" s="132"/>
      <c r="B372" s="90" t="s">
        <v>2900</v>
      </c>
      <c r="C372" s="90">
        <f t="shared" si="75"/>
        <v>370</v>
      </c>
      <c r="D372" s="92" t="str">
        <f t="shared" si="1"/>
        <v>PP25-370</v>
      </c>
      <c r="E372" s="158">
        <v>45936.0</v>
      </c>
      <c r="F372" s="153"/>
      <c r="G372" s="152" t="s">
        <v>3010</v>
      </c>
      <c r="H372" s="153"/>
      <c r="I372" s="153"/>
      <c r="J372" s="152" t="s">
        <v>1111</v>
      </c>
      <c r="K372" s="155">
        <v>1.5780006E7</v>
      </c>
      <c r="L372" s="156">
        <f>K372*10%</f>
        <v>1578000.6</v>
      </c>
      <c r="M372" s="156">
        <f t="shared" si="84"/>
        <v>17358006.6</v>
      </c>
      <c r="N372" s="156">
        <f t="shared" si="106"/>
        <v>1909380.726</v>
      </c>
      <c r="O372" s="156">
        <f t="shared" si="85"/>
        <v>19267387.33</v>
      </c>
      <c r="P372" s="99"/>
      <c r="Q372" s="141" t="s">
        <v>2903</v>
      </c>
      <c r="R372" s="138"/>
      <c r="S372" s="101" t="str">
        <f t="shared" si="7"/>
        <v>#REF!</v>
      </c>
      <c r="T372" s="102" t="str">
        <f t="shared" si="8"/>
        <v>PP25-370</v>
      </c>
      <c r="U372" s="139"/>
      <c r="V372" s="139"/>
      <c r="W372" s="103"/>
      <c r="X372" s="103"/>
      <c r="Y372" s="103"/>
      <c r="Z372" s="103"/>
    </row>
    <row r="373" ht="49.5" customHeight="1">
      <c r="A373" s="132"/>
      <c r="B373" s="90" t="s">
        <v>2900</v>
      </c>
      <c r="C373" s="90">
        <f t="shared" si="75"/>
        <v>371</v>
      </c>
      <c r="D373" s="92" t="str">
        <f t="shared" si="1"/>
        <v>PP25-371</v>
      </c>
      <c r="E373" s="158">
        <v>45936.0</v>
      </c>
      <c r="F373" s="153"/>
      <c r="G373" s="152" t="s">
        <v>3010</v>
      </c>
      <c r="H373" s="153"/>
      <c r="I373" s="153"/>
      <c r="J373" s="152" t="s">
        <v>1997</v>
      </c>
      <c r="K373" s="155">
        <v>8616910.0</v>
      </c>
      <c r="L373" s="156">
        <f t="shared" ref="L373:L377" si="107">K373*7.5%</f>
        <v>646268.25</v>
      </c>
      <c r="M373" s="156">
        <f t="shared" si="84"/>
        <v>9263178.25</v>
      </c>
      <c r="N373" s="156">
        <f t="shared" si="106"/>
        <v>1018949.608</v>
      </c>
      <c r="O373" s="156">
        <f t="shared" si="85"/>
        <v>10282127.86</v>
      </c>
      <c r="P373" s="99"/>
      <c r="Q373" s="141" t="s">
        <v>2903</v>
      </c>
      <c r="R373" s="138"/>
      <c r="S373" s="101" t="str">
        <f t="shared" si="7"/>
        <v>#REF!</v>
      </c>
      <c r="T373" s="102" t="str">
        <f t="shared" si="8"/>
        <v>PP25-371</v>
      </c>
      <c r="U373" s="139"/>
      <c r="V373" s="139"/>
      <c r="W373" s="103"/>
      <c r="X373" s="103"/>
      <c r="Y373" s="103"/>
      <c r="Z373" s="103"/>
    </row>
    <row r="374" ht="49.5" customHeight="1">
      <c r="A374" s="132"/>
      <c r="B374" s="90" t="s">
        <v>2900</v>
      </c>
      <c r="C374" s="90">
        <f t="shared" si="75"/>
        <v>372</v>
      </c>
      <c r="D374" s="92" t="str">
        <f t="shared" si="1"/>
        <v>PP25-372</v>
      </c>
      <c r="E374" s="158">
        <v>45936.0</v>
      </c>
      <c r="F374" s="153"/>
      <c r="G374" s="152" t="s">
        <v>3010</v>
      </c>
      <c r="H374" s="153"/>
      <c r="I374" s="153"/>
      <c r="J374" s="152" t="s">
        <v>1999</v>
      </c>
      <c r="K374" s="155">
        <v>8616910.0</v>
      </c>
      <c r="L374" s="156">
        <f t="shared" si="107"/>
        <v>646268.25</v>
      </c>
      <c r="M374" s="156">
        <f t="shared" si="84"/>
        <v>9263178.25</v>
      </c>
      <c r="N374" s="156">
        <f t="shared" si="106"/>
        <v>1018949.608</v>
      </c>
      <c r="O374" s="156">
        <f t="shared" si="85"/>
        <v>10282127.86</v>
      </c>
      <c r="P374" s="99"/>
      <c r="Q374" s="109" t="s">
        <v>2903</v>
      </c>
      <c r="R374" s="138"/>
      <c r="S374" s="101" t="str">
        <f t="shared" si="7"/>
        <v>#REF!</v>
      </c>
      <c r="T374" s="102" t="str">
        <f t="shared" si="8"/>
        <v>PP25-372</v>
      </c>
      <c r="U374" s="139"/>
      <c r="V374" s="139"/>
      <c r="W374" s="103"/>
      <c r="X374" s="103"/>
      <c r="Y374" s="103"/>
      <c r="Z374" s="103"/>
    </row>
    <row r="375" ht="49.5" customHeight="1">
      <c r="A375" s="132"/>
      <c r="B375" s="90" t="s">
        <v>2900</v>
      </c>
      <c r="C375" s="90">
        <f t="shared" si="75"/>
        <v>373</v>
      </c>
      <c r="D375" s="92" t="str">
        <f t="shared" si="1"/>
        <v>PP25-373</v>
      </c>
      <c r="E375" s="158">
        <v>45936.0</v>
      </c>
      <c r="F375" s="153"/>
      <c r="G375" s="152" t="s">
        <v>3010</v>
      </c>
      <c r="H375" s="153"/>
      <c r="I375" s="153"/>
      <c r="J375" s="152" t="s">
        <v>2001</v>
      </c>
      <c r="K375" s="155">
        <v>1.7233642E7</v>
      </c>
      <c r="L375" s="156">
        <f t="shared" si="107"/>
        <v>1292523.15</v>
      </c>
      <c r="M375" s="156">
        <f t="shared" si="84"/>
        <v>18526165.15</v>
      </c>
      <c r="N375" s="156">
        <f t="shared" si="106"/>
        <v>2037878.167</v>
      </c>
      <c r="O375" s="156">
        <f t="shared" si="85"/>
        <v>20564043.32</v>
      </c>
      <c r="P375" s="99"/>
      <c r="Q375" s="109" t="s">
        <v>2903</v>
      </c>
      <c r="R375" s="138"/>
      <c r="S375" s="101" t="str">
        <f t="shared" si="7"/>
        <v>#REF!</v>
      </c>
      <c r="T375" s="102" t="str">
        <f t="shared" si="8"/>
        <v>PP25-373</v>
      </c>
      <c r="U375" s="139"/>
      <c r="V375" s="139"/>
      <c r="W375" s="103"/>
      <c r="X375" s="103"/>
      <c r="Y375" s="103"/>
      <c r="Z375" s="103"/>
    </row>
    <row r="376" ht="49.5" customHeight="1">
      <c r="A376" s="132"/>
      <c r="B376" s="90" t="s">
        <v>2900</v>
      </c>
      <c r="C376" s="90">
        <f t="shared" si="75"/>
        <v>374</v>
      </c>
      <c r="D376" s="92" t="str">
        <f t="shared" si="1"/>
        <v>PP25-374</v>
      </c>
      <c r="E376" s="158">
        <v>45936.0</v>
      </c>
      <c r="F376" s="153"/>
      <c r="G376" s="152" t="s">
        <v>3010</v>
      </c>
      <c r="H376" s="153"/>
      <c r="I376" s="153"/>
      <c r="J376" s="152" t="s">
        <v>2003</v>
      </c>
      <c r="K376" s="155">
        <v>8616910.0</v>
      </c>
      <c r="L376" s="156">
        <f t="shared" si="107"/>
        <v>646268.25</v>
      </c>
      <c r="M376" s="156">
        <f t="shared" si="84"/>
        <v>9263178.25</v>
      </c>
      <c r="N376" s="156">
        <f t="shared" si="106"/>
        <v>1018949.608</v>
      </c>
      <c r="O376" s="156">
        <f t="shared" si="85"/>
        <v>10282127.86</v>
      </c>
      <c r="P376" s="99"/>
      <c r="Q376" s="109" t="s">
        <v>2903</v>
      </c>
      <c r="R376" s="138"/>
      <c r="S376" s="101" t="str">
        <f t="shared" si="7"/>
        <v>#REF!</v>
      </c>
      <c r="T376" s="102" t="str">
        <f t="shared" si="8"/>
        <v>PP25-374</v>
      </c>
      <c r="U376" s="139"/>
      <c r="V376" s="139"/>
      <c r="W376" s="103"/>
      <c r="X376" s="103"/>
      <c r="Y376" s="103"/>
      <c r="Z376" s="103"/>
    </row>
    <row r="377" ht="49.5" customHeight="1">
      <c r="A377" s="132"/>
      <c r="B377" s="90" t="s">
        <v>2900</v>
      </c>
      <c r="C377" s="90">
        <f t="shared" si="75"/>
        <v>375</v>
      </c>
      <c r="D377" s="92" t="str">
        <f t="shared" si="1"/>
        <v>PP25-375</v>
      </c>
      <c r="E377" s="158">
        <v>45936.0</v>
      </c>
      <c r="F377" s="153"/>
      <c r="G377" s="152" t="s">
        <v>3010</v>
      </c>
      <c r="H377" s="153"/>
      <c r="I377" s="153"/>
      <c r="J377" s="152" t="s">
        <v>2005</v>
      </c>
      <c r="K377" s="155">
        <v>8575265.0</v>
      </c>
      <c r="L377" s="156">
        <f t="shared" si="107"/>
        <v>643144.875</v>
      </c>
      <c r="M377" s="156">
        <f t="shared" si="84"/>
        <v>9218409.875</v>
      </c>
      <c r="N377" s="156">
        <f t="shared" si="106"/>
        <v>1014025.086</v>
      </c>
      <c r="O377" s="156">
        <f t="shared" si="85"/>
        <v>10232434.96</v>
      </c>
      <c r="P377" s="99"/>
      <c r="Q377" s="109" t="s">
        <v>2903</v>
      </c>
      <c r="R377" s="138"/>
      <c r="S377" s="101" t="str">
        <f t="shared" si="7"/>
        <v>#REF!</v>
      </c>
      <c r="T377" s="102" t="str">
        <f t="shared" si="8"/>
        <v>PP25-375</v>
      </c>
      <c r="U377" s="139"/>
      <c r="V377" s="139"/>
      <c r="W377" s="103"/>
      <c r="X377" s="103"/>
      <c r="Y377" s="103"/>
      <c r="Z377" s="103"/>
    </row>
    <row r="378" ht="49.5" customHeight="1">
      <c r="A378" s="132"/>
      <c r="B378" s="90" t="s">
        <v>2900</v>
      </c>
      <c r="C378" s="90">
        <f t="shared" si="75"/>
        <v>376</v>
      </c>
      <c r="D378" s="92" t="str">
        <f t="shared" si="1"/>
        <v>PP25-376</v>
      </c>
      <c r="E378" s="158">
        <v>45939.0</v>
      </c>
      <c r="F378" s="153"/>
      <c r="G378" s="153" t="s">
        <v>3012</v>
      </c>
      <c r="H378" s="153"/>
      <c r="I378" s="153"/>
      <c r="J378" s="152" t="s">
        <v>1135</v>
      </c>
      <c r="K378" s="155">
        <v>5.7723425E7</v>
      </c>
      <c r="L378" s="156">
        <f>K378*5.5%</f>
        <v>3174788.375</v>
      </c>
      <c r="M378" s="156">
        <f t="shared" si="84"/>
        <v>60898213.38</v>
      </c>
      <c r="N378" s="156">
        <v>349227.0</v>
      </c>
      <c r="O378" s="156">
        <f t="shared" si="85"/>
        <v>61247440.38</v>
      </c>
      <c r="P378" s="99"/>
      <c r="Q378" s="141" t="s">
        <v>3009</v>
      </c>
      <c r="R378" s="138"/>
      <c r="S378" s="101" t="str">
        <f t="shared" si="7"/>
        <v>#REF!</v>
      </c>
      <c r="T378" s="102" t="str">
        <f t="shared" si="8"/>
        <v>PP25-376</v>
      </c>
      <c r="U378" s="139"/>
      <c r="V378" s="139"/>
      <c r="W378" s="103"/>
      <c r="X378" s="103"/>
      <c r="Y378" s="103"/>
      <c r="Z378" s="103"/>
    </row>
    <row r="379" ht="49.5" customHeight="1">
      <c r="A379" s="132"/>
      <c r="B379" s="90" t="s">
        <v>2900</v>
      </c>
      <c r="C379" s="90">
        <f t="shared" si="75"/>
        <v>377</v>
      </c>
      <c r="D379" s="92" t="str">
        <f t="shared" si="1"/>
        <v>PP25-377</v>
      </c>
      <c r="E379" s="158">
        <v>45946.0</v>
      </c>
      <c r="F379" s="153"/>
      <c r="G379" s="153" t="s">
        <v>3012</v>
      </c>
      <c r="H379" s="153"/>
      <c r="I379" s="153"/>
      <c r="J379" s="152" t="s">
        <v>1137</v>
      </c>
      <c r="K379" s="155">
        <v>2.02656E7</v>
      </c>
      <c r="L379" s="156">
        <f t="shared" ref="L379:L381" si="108">K379*6%</f>
        <v>1215936</v>
      </c>
      <c r="M379" s="156">
        <f t="shared" si="84"/>
        <v>21481536</v>
      </c>
      <c r="N379" s="156">
        <f t="shared" ref="N379:N462" si="109">M379*11%</f>
        <v>2362968.96</v>
      </c>
      <c r="O379" s="156">
        <f t="shared" si="85"/>
        <v>23844504.96</v>
      </c>
      <c r="P379" s="99"/>
      <c r="Q379" s="141" t="s">
        <v>3009</v>
      </c>
      <c r="R379" s="138"/>
      <c r="S379" s="101" t="str">
        <f t="shared" si="7"/>
        <v>#REF!</v>
      </c>
      <c r="T379" s="102" t="str">
        <f t="shared" si="8"/>
        <v>PP25-377</v>
      </c>
      <c r="U379" s="139"/>
      <c r="V379" s="139"/>
      <c r="W379" s="103"/>
      <c r="X379" s="103"/>
      <c r="Y379" s="103"/>
      <c r="Z379" s="103"/>
    </row>
    <row r="380" ht="49.5" customHeight="1">
      <c r="A380" s="132"/>
      <c r="B380" s="90" t="s">
        <v>2900</v>
      </c>
      <c r="C380" s="90">
        <f t="shared" si="75"/>
        <v>378</v>
      </c>
      <c r="D380" s="92" t="str">
        <f t="shared" si="1"/>
        <v>PP25-378</v>
      </c>
      <c r="E380" s="158">
        <v>45946.0</v>
      </c>
      <c r="F380" s="153"/>
      <c r="G380" s="153" t="s">
        <v>3012</v>
      </c>
      <c r="H380" s="153"/>
      <c r="I380" s="153"/>
      <c r="J380" s="152" t="s">
        <v>1139</v>
      </c>
      <c r="K380" s="155">
        <v>3.067E7</v>
      </c>
      <c r="L380" s="156">
        <f t="shared" si="108"/>
        <v>1840200</v>
      </c>
      <c r="M380" s="156">
        <f t="shared" si="84"/>
        <v>32510200</v>
      </c>
      <c r="N380" s="156">
        <f t="shared" si="109"/>
        <v>3576122</v>
      </c>
      <c r="O380" s="156">
        <f t="shared" si="85"/>
        <v>36086322</v>
      </c>
      <c r="P380" s="131"/>
      <c r="Q380" s="141" t="s">
        <v>3009</v>
      </c>
      <c r="R380" s="138"/>
      <c r="S380" s="101" t="str">
        <f t="shared" si="7"/>
        <v>#REF!</v>
      </c>
      <c r="T380" s="102" t="str">
        <f t="shared" si="8"/>
        <v>PP25-378</v>
      </c>
      <c r="U380" s="139"/>
      <c r="V380" s="139"/>
      <c r="W380" s="103"/>
      <c r="X380" s="103"/>
      <c r="Y380" s="103"/>
      <c r="Z380" s="104"/>
    </row>
    <row r="381" ht="49.5" customHeight="1">
      <c r="A381" s="132"/>
      <c r="B381" s="90" t="s">
        <v>2900</v>
      </c>
      <c r="C381" s="90">
        <f t="shared" si="75"/>
        <v>379</v>
      </c>
      <c r="D381" s="92" t="str">
        <f t="shared" si="1"/>
        <v>PP25-379</v>
      </c>
      <c r="E381" s="158">
        <v>45946.0</v>
      </c>
      <c r="F381" s="153"/>
      <c r="G381" s="153" t="s">
        <v>3012</v>
      </c>
      <c r="H381" s="93"/>
      <c r="I381" s="93"/>
      <c r="J381" s="152" t="s">
        <v>1141</v>
      </c>
      <c r="K381" s="96">
        <v>2080000.0</v>
      </c>
      <c r="L381" s="156">
        <f t="shared" si="108"/>
        <v>124800</v>
      </c>
      <c r="M381" s="156">
        <f t="shared" si="84"/>
        <v>2204800</v>
      </c>
      <c r="N381" s="156">
        <f t="shared" si="109"/>
        <v>242528</v>
      </c>
      <c r="O381" s="156">
        <f t="shared" si="85"/>
        <v>2447328</v>
      </c>
      <c r="P381" s="99"/>
      <c r="Q381" s="141" t="s">
        <v>3009</v>
      </c>
      <c r="R381" s="138"/>
      <c r="S381" s="101" t="str">
        <f t="shared" si="7"/>
        <v>#REF!</v>
      </c>
      <c r="T381" s="102" t="str">
        <f t="shared" si="8"/>
        <v>PP25-379</v>
      </c>
      <c r="U381" s="139"/>
      <c r="V381" s="139"/>
      <c r="W381" s="103"/>
      <c r="X381" s="103"/>
      <c r="Y381" s="103"/>
      <c r="Z381" s="103"/>
    </row>
    <row r="382" ht="49.5" customHeight="1">
      <c r="A382" s="132"/>
      <c r="B382" s="90" t="s">
        <v>2900</v>
      </c>
      <c r="C382" s="90">
        <f t="shared" si="75"/>
        <v>380</v>
      </c>
      <c r="D382" s="92" t="str">
        <f t="shared" si="1"/>
        <v>PP25-380</v>
      </c>
      <c r="E382" s="120">
        <v>45954.0</v>
      </c>
      <c r="F382" s="93"/>
      <c r="G382" s="93" t="s">
        <v>3010</v>
      </c>
      <c r="H382" s="93"/>
      <c r="I382" s="93"/>
      <c r="J382" s="95" t="s">
        <v>1143</v>
      </c>
      <c r="K382" s="96">
        <v>3.45609637E8</v>
      </c>
      <c r="L382" s="97">
        <f t="shared" ref="L382:L384" si="110">K382*5.3%</f>
        <v>18317310.76</v>
      </c>
      <c r="M382" s="156">
        <f t="shared" si="84"/>
        <v>363926947.8</v>
      </c>
      <c r="N382" s="156">
        <f t="shared" si="109"/>
        <v>40031964.25</v>
      </c>
      <c r="O382" s="156">
        <f t="shared" si="85"/>
        <v>403958912</v>
      </c>
      <c r="P382" s="131"/>
      <c r="Q382" s="109" t="s">
        <v>3002</v>
      </c>
      <c r="R382" s="138"/>
      <c r="S382" s="101" t="str">
        <f t="shared" si="7"/>
        <v>#REF!</v>
      </c>
      <c r="T382" s="102" t="str">
        <f t="shared" si="8"/>
        <v>PP25-380</v>
      </c>
      <c r="U382" s="139"/>
      <c r="V382" s="139"/>
      <c r="W382" s="103"/>
      <c r="X382" s="103"/>
      <c r="Y382" s="103"/>
      <c r="Z382" s="104"/>
    </row>
    <row r="383" ht="49.5" customHeight="1">
      <c r="A383" s="132"/>
      <c r="B383" s="90" t="s">
        <v>2900</v>
      </c>
      <c r="C383" s="90">
        <f t="shared" si="75"/>
        <v>381</v>
      </c>
      <c r="D383" s="92" t="str">
        <f t="shared" si="1"/>
        <v>PP25-381</v>
      </c>
      <c r="E383" s="120">
        <v>45954.0</v>
      </c>
      <c r="F383" s="93"/>
      <c r="G383" s="93" t="s">
        <v>3010</v>
      </c>
      <c r="H383" s="93"/>
      <c r="I383" s="93"/>
      <c r="J383" s="95" t="s">
        <v>1143</v>
      </c>
      <c r="K383" s="96">
        <v>1.23355577E8</v>
      </c>
      <c r="L383" s="97">
        <f t="shared" si="110"/>
        <v>6537845.581</v>
      </c>
      <c r="M383" s="156">
        <f t="shared" si="84"/>
        <v>129893422.6</v>
      </c>
      <c r="N383" s="156">
        <f t="shared" si="109"/>
        <v>14288276.48</v>
      </c>
      <c r="O383" s="156">
        <f t="shared" si="85"/>
        <v>144181699.1</v>
      </c>
      <c r="P383" s="131"/>
      <c r="Q383" s="141" t="s">
        <v>3002</v>
      </c>
      <c r="R383" s="138"/>
      <c r="S383" s="101" t="str">
        <f t="shared" si="7"/>
        <v>#REF!</v>
      </c>
      <c r="T383" s="102" t="str">
        <f t="shared" si="8"/>
        <v>PP25-381</v>
      </c>
      <c r="U383" s="139"/>
      <c r="V383" s="139"/>
      <c r="W383" s="103"/>
      <c r="X383" s="103"/>
      <c r="Y383" s="103"/>
      <c r="Z383" s="104"/>
    </row>
    <row r="384" ht="49.5" customHeight="1">
      <c r="A384" s="132"/>
      <c r="B384" s="90" t="s">
        <v>2900</v>
      </c>
      <c r="C384" s="90">
        <f t="shared" si="75"/>
        <v>382</v>
      </c>
      <c r="D384" s="92" t="str">
        <f t="shared" si="1"/>
        <v>PP25-382</v>
      </c>
      <c r="E384" s="120">
        <v>45954.0</v>
      </c>
      <c r="F384" s="93"/>
      <c r="G384" s="93" t="s">
        <v>3010</v>
      </c>
      <c r="H384" s="93"/>
      <c r="I384" s="93"/>
      <c r="J384" s="95" t="s">
        <v>1143</v>
      </c>
      <c r="K384" s="96">
        <v>3.8158606E7</v>
      </c>
      <c r="L384" s="97">
        <f t="shared" si="110"/>
        <v>2022406.118</v>
      </c>
      <c r="M384" s="156">
        <f t="shared" si="84"/>
        <v>40181012.12</v>
      </c>
      <c r="N384" s="156">
        <f t="shared" si="109"/>
        <v>4419911.333</v>
      </c>
      <c r="O384" s="156">
        <f t="shared" si="85"/>
        <v>44600923.45</v>
      </c>
      <c r="P384" s="99"/>
      <c r="Q384" s="141" t="s">
        <v>3002</v>
      </c>
      <c r="R384" s="138"/>
      <c r="S384" s="101" t="str">
        <f t="shared" si="7"/>
        <v>#REF!</v>
      </c>
      <c r="T384" s="102" t="str">
        <f t="shared" si="8"/>
        <v>PP25-382</v>
      </c>
      <c r="U384" s="139"/>
      <c r="V384" s="139"/>
      <c r="W384" s="103"/>
      <c r="X384" s="103"/>
      <c r="Y384" s="103"/>
      <c r="Z384" s="103"/>
    </row>
    <row r="385" ht="49.5" customHeight="1">
      <c r="A385" s="132"/>
      <c r="B385" s="90" t="s">
        <v>2900</v>
      </c>
      <c r="C385" s="90">
        <f t="shared" si="75"/>
        <v>383</v>
      </c>
      <c r="D385" s="92" t="str">
        <f t="shared" si="1"/>
        <v>PP25-383</v>
      </c>
      <c r="E385" s="120">
        <v>45958.0</v>
      </c>
      <c r="F385" s="93"/>
      <c r="G385" s="93" t="s">
        <v>3010</v>
      </c>
      <c r="H385" s="93"/>
      <c r="I385" s="93"/>
      <c r="J385" s="95" t="s">
        <v>2035</v>
      </c>
      <c r="K385" s="96">
        <v>3.6781815E8</v>
      </c>
      <c r="L385" s="97">
        <f>K385*6%</f>
        <v>22069089</v>
      </c>
      <c r="M385" s="156">
        <f t="shared" si="84"/>
        <v>389887239</v>
      </c>
      <c r="N385" s="156">
        <f t="shared" si="109"/>
        <v>42887596.29</v>
      </c>
      <c r="O385" s="156">
        <f t="shared" si="85"/>
        <v>432774835.3</v>
      </c>
      <c r="P385" s="131"/>
      <c r="Q385" s="141" t="s">
        <v>2934</v>
      </c>
      <c r="R385" s="138"/>
      <c r="S385" s="101" t="str">
        <f t="shared" si="7"/>
        <v>#REF!</v>
      </c>
      <c r="T385" s="102" t="str">
        <f t="shared" si="8"/>
        <v>PP25-383</v>
      </c>
      <c r="U385" s="139"/>
      <c r="V385" s="139"/>
      <c r="W385" s="103"/>
      <c r="X385" s="103"/>
      <c r="Y385" s="103"/>
      <c r="Z385" s="104"/>
    </row>
    <row r="386" ht="49.5" customHeight="1">
      <c r="A386" s="132"/>
      <c r="B386" s="90" t="s">
        <v>2900</v>
      </c>
      <c r="C386" s="90">
        <f t="shared" si="75"/>
        <v>384</v>
      </c>
      <c r="D386" s="92" t="str">
        <f t="shared" si="1"/>
        <v>PP25-384</v>
      </c>
      <c r="E386" s="120">
        <v>45958.0</v>
      </c>
      <c r="F386" s="93"/>
      <c r="G386" s="93" t="s">
        <v>3010</v>
      </c>
      <c r="H386" s="93"/>
      <c r="I386" s="93"/>
      <c r="J386" s="95" t="s">
        <v>2041</v>
      </c>
      <c r="K386" s="96">
        <v>7.430681E7</v>
      </c>
      <c r="L386" s="97">
        <f>K386*5.4%</f>
        <v>4012567.74</v>
      </c>
      <c r="M386" s="156">
        <f t="shared" si="84"/>
        <v>78319377.74</v>
      </c>
      <c r="N386" s="156">
        <f t="shared" si="109"/>
        <v>8615131.551</v>
      </c>
      <c r="O386" s="156">
        <f t="shared" si="85"/>
        <v>86934509.29</v>
      </c>
      <c r="P386" s="99"/>
      <c r="Q386" s="141" t="s">
        <v>2934</v>
      </c>
      <c r="R386" s="138"/>
      <c r="S386" s="101" t="str">
        <f t="shared" si="7"/>
        <v>#REF!</v>
      </c>
      <c r="T386" s="102" t="str">
        <f t="shared" si="8"/>
        <v>PP25-384</v>
      </c>
      <c r="U386" s="139"/>
      <c r="V386" s="139"/>
      <c r="W386" s="103"/>
      <c r="X386" s="103"/>
      <c r="Y386" s="103"/>
      <c r="Z386" s="103"/>
    </row>
    <row r="387" ht="49.5" customHeight="1">
      <c r="A387" s="132"/>
      <c r="B387" s="90" t="s">
        <v>2900</v>
      </c>
      <c r="C387" s="90">
        <f t="shared" si="75"/>
        <v>385</v>
      </c>
      <c r="D387" s="92" t="str">
        <f t="shared" si="1"/>
        <v>PP25-385</v>
      </c>
      <c r="E387" s="120">
        <v>45958.0</v>
      </c>
      <c r="F387" s="93"/>
      <c r="G387" s="93" t="s">
        <v>3010</v>
      </c>
      <c r="H387" s="116"/>
      <c r="I387" s="116"/>
      <c r="J387" s="93" t="s">
        <v>2047</v>
      </c>
      <c r="K387" s="96">
        <v>1.20701358E8</v>
      </c>
      <c r="L387" s="97"/>
      <c r="M387" s="156">
        <f t="shared" si="84"/>
        <v>120701358</v>
      </c>
      <c r="N387" s="156">
        <f t="shared" si="109"/>
        <v>13277149.38</v>
      </c>
      <c r="O387" s="156">
        <f t="shared" si="85"/>
        <v>133978507.4</v>
      </c>
      <c r="P387" s="99"/>
      <c r="Q387" s="141" t="s">
        <v>2934</v>
      </c>
      <c r="R387" s="138"/>
      <c r="S387" s="101" t="str">
        <f t="shared" si="7"/>
        <v>#REF!</v>
      </c>
      <c r="T387" s="102" t="str">
        <f t="shared" si="8"/>
        <v>PP25-385</v>
      </c>
      <c r="U387" s="139"/>
      <c r="V387" s="139"/>
      <c r="W387" s="103"/>
      <c r="X387" s="103"/>
      <c r="Y387" s="103"/>
      <c r="Z387" s="103"/>
    </row>
    <row r="388" ht="49.5" customHeight="1">
      <c r="A388" s="132"/>
      <c r="B388" s="90" t="s">
        <v>2900</v>
      </c>
      <c r="C388" s="90">
        <f t="shared" si="75"/>
        <v>386</v>
      </c>
      <c r="D388" s="92" t="str">
        <f t="shared" si="1"/>
        <v>PP25-386</v>
      </c>
      <c r="E388" s="120">
        <v>45958.0</v>
      </c>
      <c r="F388" s="93"/>
      <c r="G388" s="93" t="s">
        <v>3010</v>
      </c>
      <c r="H388" s="93"/>
      <c r="I388" s="116"/>
      <c r="J388" s="95" t="s">
        <v>2052</v>
      </c>
      <c r="K388" s="96">
        <v>7676048.0</v>
      </c>
      <c r="L388" s="97"/>
      <c r="M388" s="156">
        <f t="shared" si="84"/>
        <v>7676048</v>
      </c>
      <c r="N388" s="156">
        <f t="shared" si="109"/>
        <v>844365.28</v>
      </c>
      <c r="O388" s="156">
        <f t="shared" si="85"/>
        <v>8520413.28</v>
      </c>
      <c r="P388" s="99"/>
      <c r="Q388" s="141" t="s">
        <v>2934</v>
      </c>
      <c r="R388" s="138"/>
      <c r="S388" s="101" t="str">
        <f t="shared" si="7"/>
        <v>#REF!</v>
      </c>
      <c r="T388" s="102" t="str">
        <f t="shared" si="8"/>
        <v>PP25-386</v>
      </c>
      <c r="U388" s="139"/>
      <c r="V388" s="139"/>
      <c r="W388" s="103"/>
      <c r="X388" s="103"/>
      <c r="Y388" s="103"/>
      <c r="Z388" s="103"/>
    </row>
    <row r="389" ht="49.5" customHeight="1">
      <c r="A389" s="132"/>
      <c r="B389" s="90" t="s">
        <v>2900</v>
      </c>
      <c r="C389" s="90">
        <f t="shared" si="75"/>
        <v>387</v>
      </c>
      <c r="D389" s="92" t="str">
        <f t="shared" si="1"/>
        <v>PP25-387</v>
      </c>
      <c r="E389" s="120">
        <v>45958.0</v>
      </c>
      <c r="F389" s="93"/>
      <c r="G389" s="93" t="s">
        <v>3010</v>
      </c>
      <c r="H389" s="93"/>
      <c r="I389" s="116"/>
      <c r="J389" s="95" t="s">
        <v>1159</v>
      </c>
      <c r="K389" s="96">
        <v>1.63650457E8</v>
      </c>
      <c r="L389" s="97">
        <f t="shared" ref="L389:L391" si="111">K389*5.3%</f>
        <v>8673474.221</v>
      </c>
      <c r="M389" s="156">
        <f t="shared" si="84"/>
        <v>172323931.2</v>
      </c>
      <c r="N389" s="156">
        <f t="shared" si="109"/>
        <v>18955632.43</v>
      </c>
      <c r="O389" s="156">
        <f t="shared" si="85"/>
        <v>191279563.7</v>
      </c>
      <c r="P389" s="99"/>
      <c r="Q389" s="141" t="s">
        <v>2949</v>
      </c>
      <c r="R389" s="138"/>
      <c r="S389" s="101" t="str">
        <f t="shared" si="7"/>
        <v>#REF!</v>
      </c>
      <c r="T389" s="102" t="str">
        <f t="shared" si="8"/>
        <v>PP25-387</v>
      </c>
      <c r="U389" s="139"/>
      <c r="V389" s="139"/>
      <c r="W389" s="103"/>
      <c r="X389" s="103"/>
      <c r="Y389" s="103"/>
      <c r="Z389" s="103"/>
    </row>
    <row r="390" ht="49.5" customHeight="1">
      <c r="A390" s="132"/>
      <c r="B390" s="90" t="s">
        <v>2900</v>
      </c>
      <c r="C390" s="90">
        <f t="shared" si="75"/>
        <v>388</v>
      </c>
      <c r="D390" s="92" t="str">
        <f t="shared" si="1"/>
        <v>PP25-388</v>
      </c>
      <c r="E390" s="120">
        <v>45958.0</v>
      </c>
      <c r="F390" s="93"/>
      <c r="G390" s="93" t="s">
        <v>3010</v>
      </c>
      <c r="H390" s="93"/>
      <c r="I390" s="116"/>
      <c r="J390" s="95" t="s">
        <v>1161</v>
      </c>
      <c r="K390" s="96">
        <v>4.8368243E7</v>
      </c>
      <c r="L390" s="97">
        <f t="shared" si="111"/>
        <v>2563516.879</v>
      </c>
      <c r="M390" s="156">
        <f t="shared" si="84"/>
        <v>50931759.88</v>
      </c>
      <c r="N390" s="156">
        <f t="shared" si="109"/>
        <v>5602493.587</v>
      </c>
      <c r="O390" s="156">
        <f t="shared" si="85"/>
        <v>56534253.47</v>
      </c>
      <c r="P390" s="99"/>
      <c r="Q390" s="141" t="s">
        <v>2949</v>
      </c>
      <c r="R390" s="138"/>
      <c r="S390" s="101" t="str">
        <f t="shared" si="7"/>
        <v>#REF!</v>
      </c>
      <c r="T390" s="102" t="str">
        <f t="shared" si="8"/>
        <v>PP25-388</v>
      </c>
      <c r="U390" s="139"/>
      <c r="V390" s="139"/>
      <c r="W390" s="103"/>
      <c r="X390" s="103"/>
      <c r="Y390" s="103"/>
      <c r="Z390" s="103"/>
    </row>
    <row r="391" ht="49.5" customHeight="1">
      <c r="A391" s="132"/>
      <c r="B391" s="90" t="s">
        <v>2900</v>
      </c>
      <c r="C391" s="90">
        <f t="shared" si="75"/>
        <v>389</v>
      </c>
      <c r="D391" s="92" t="str">
        <f t="shared" si="1"/>
        <v>PP25-389</v>
      </c>
      <c r="E391" s="120">
        <v>45958.0</v>
      </c>
      <c r="F391" s="93"/>
      <c r="G391" s="93" t="s">
        <v>3010</v>
      </c>
      <c r="H391" s="93"/>
      <c r="I391" s="116"/>
      <c r="J391" s="95" t="s">
        <v>1163</v>
      </c>
      <c r="K391" s="96">
        <v>3.5500832E7</v>
      </c>
      <c r="L391" s="97">
        <f t="shared" si="111"/>
        <v>1881544.096</v>
      </c>
      <c r="M391" s="156">
        <f t="shared" si="84"/>
        <v>37382376.1</v>
      </c>
      <c r="N391" s="156">
        <f t="shared" si="109"/>
        <v>4112061.371</v>
      </c>
      <c r="O391" s="156">
        <f t="shared" si="85"/>
        <v>41494437.47</v>
      </c>
      <c r="P391" s="99"/>
      <c r="Q391" s="141" t="s">
        <v>2949</v>
      </c>
      <c r="R391" s="138"/>
      <c r="S391" s="101" t="str">
        <f t="shared" si="7"/>
        <v>#REF!</v>
      </c>
      <c r="T391" s="102" t="str">
        <f t="shared" si="8"/>
        <v>PP25-389</v>
      </c>
      <c r="U391" s="139"/>
      <c r="V391" s="139"/>
      <c r="W391" s="103"/>
      <c r="X391" s="103"/>
      <c r="Y391" s="103"/>
      <c r="Z391" s="103"/>
    </row>
    <row r="392" ht="49.5" customHeight="1">
      <c r="A392" s="132"/>
      <c r="B392" s="90" t="s">
        <v>2900</v>
      </c>
      <c r="C392" s="90">
        <f t="shared" si="75"/>
        <v>390</v>
      </c>
      <c r="D392" s="92" t="str">
        <f t="shared" si="1"/>
        <v>PP25-390</v>
      </c>
      <c r="E392" s="120">
        <v>45959.0</v>
      </c>
      <c r="F392" s="93"/>
      <c r="G392" s="93" t="s">
        <v>3010</v>
      </c>
      <c r="H392" s="93"/>
      <c r="I392" s="116"/>
      <c r="J392" s="95" t="s">
        <v>2060</v>
      </c>
      <c r="K392" s="96">
        <v>6.1152432E7</v>
      </c>
      <c r="L392" s="97">
        <f>K392*10%</f>
        <v>6115243.2</v>
      </c>
      <c r="M392" s="156">
        <f t="shared" si="84"/>
        <v>67267675.2</v>
      </c>
      <c r="N392" s="156">
        <f t="shared" si="109"/>
        <v>7399444.272</v>
      </c>
      <c r="O392" s="156">
        <f t="shared" si="85"/>
        <v>74667119.47</v>
      </c>
      <c r="P392" s="99"/>
      <c r="Q392" s="141" t="s">
        <v>2903</v>
      </c>
      <c r="R392" s="138"/>
      <c r="S392" s="101" t="str">
        <f t="shared" si="7"/>
        <v>#REF!</v>
      </c>
      <c r="T392" s="102" t="str">
        <f t="shared" si="8"/>
        <v>PP25-390</v>
      </c>
      <c r="U392" s="139"/>
      <c r="V392" s="139"/>
      <c r="W392" s="103"/>
      <c r="X392" s="103"/>
      <c r="Y392" s="103"/>
      <c r="Z392" s="103"/>
    </row>
    <row r="393" ht="49.5" customHeight="1">
      <c r="A393" s="132"/>
      <c r="B393" s="90" t="s">
        <v>2900</v>
      </c>
      <c r="C393" s="90">
        <f t="shared" si="75"/>
        <v>391</v>
      </c>
      <c r="D393" s="92" t="str">
        <f t="shared" si="1"/>
        <v>PP25-391</v>
      </c>
      <c r="E393" s="120">
        <v>45961.0</v>
      </c>
      <c r="F393" s="93"/>
      <c r="G393" s="93" t="s">
        <v>3010</v>
      </c>
      <c r="H393" s="93"/>
      <c r="I393" s="116"/>
      <c r="J393" s="95" t="s">
        <v>1072</v>
      </c>
      <c r="K393" s="96">
        <v>8.34405339E8</v>
      </c>
      <c r="L393" s="97">
        <f>K393*5.5%</f>
        <v>45892293.65</v>
      </c>
      <c r="M393" s="156">
        <f t="shared" si="84"/>
        <v>880297632.6</v>
      </c>
      <c r="N393" s="156">
        <f t="shared" si="109"/>
        <v>96832739.59</v>
      </c>
      <c r="O393" s="156">
        <f t="shared" si="85"/>
        <v>977130372.2</v>
      </c>
      <c r="P393" s="99"/>
      <c r="Q393" s="141" t="s">
        <v>2903</v>
      </c>
      <c r="R393" s="138"/>
      <c r="S393" s="101" t="str">
        <f t="shared" si="7"/>
        <v>#REF!</v>
      </c>
      <c r="T393" s="102" t="str">
        <f t="shared" si="8"/>
        <v>PP25-391</v>
      </c>
      <c r="U393" s="139"/>
      <c r="V393" s="139"/>
      <c r="W393" s="103"/>
      <c r="X393" s="103"/>
      <c r="Y393" s="103"/>
      <c r="Z393" s="103"/>
    </row>
    <row r="394" ht="49.5" customHeight="1">
      <c r="A394" s="132"/>
      <c r="B394" s="90" t="s">
        <v>2900</v>
      </c>
      <c r="C394" s="90">
        <f t="shared" si="75"/>
        <v>392</v>
      </c>
      <c r="D394" s="92" t="str">
        <f t="shared" si="1"/>
        <v>PP25-392</v>
      </c>
      <c r="E394" s="120">
        <v>45961.0</v>
      </c>
      <c r="F394" s="93"/>
      <c r="G394" s="93" t="s">
        <v>3010</v>
      </c>
      <c r="H394" s="93"/>
      <c r="I394" s="116"/>
      <c r="J394" s="95" t="s">
        <v>1172</v>
      </c>
      <c r="K394" s="96">
        <v>6.7830337E7</v>
      </c>
      <c r="L394" s="97">
        <f t="shared" ref="L394:L396" si="112">K394*6%</f>
        <v>4069820.22</v>
      </c>
      <c r="M394" s="156">
        <f t="shared" si="84"/>
        <v>71900157.22</v>
      </c>
      <c r="N394" s="156">
        <f t="shared" si="109"/>
        <v>7909017.294</v>
      </c>
      <c r="O394" s="156">
        <f t="shared" si="85"/>
        <v>79809174.51</v>
      </c>
      <c r="P394" s="99"/>
      <c r="Q394" s="141" t="s">
        <v>2903</v>
      </c>
      <c r="R394" s="138"/>
      <c r="S394" s="101" t="str">
        <f t="shared" si="7"/>
        <v>#REF!</v>
      </c>
      <c r="T394" s="102" t="str">
        <f t="shared" si="8"/>
        <v>PP25-392</v>
      </c>
      <c r="U394" s="139"/>
      <c r="V394" s="139"/>
      <c r="W394" s="103"/>
      <c r="X394" s="103"/>
      <c r="Y394" s="103"/>
      <c r="Z394" s="103"/>
    </row>
    <row r="395" ht="49.5" customHeight="1">
      <c r="A395" s="132"/>
      <c r="B395" s="90" t="s">
        <v>2900</v>
      </c>
      <c r="C395" s="90">
        <f t="shared" si="75"/>
        <v>393</v>
      </c>
      <c r="D395" s="92" t="str">
        <f t="shared" si="1"/>
        <v>PP25-393</v>
      </c>
      <c r="E395" s="120">
        <v>45961.0</v>
      </c>
      <c r="F395" s="93"/>
      <c r="G395" s="93" t="s">
        <v>3010</v>
      </c>
      <c r="H395" s="93"/>
      <c r="I395" s="116"/>
      <c r="J395" s="95" t="s">
        <v>1174</v>
      </c>
      <c r="K395" s="96">
        <v>5.513583E7</v>
      </c>
      <c r="L395" s="97">
        <f t="shared" si="112"/>
        <v>3308149.8</v>
      </c>
      <c r="M395" s="156">
        <f t="shared" si="84"/>
        <v>58443979.8</v>
      </c>
      <c r="N395" s="156">
        <f t="shared" si="109"/>
        <v>6428837.778</v>
      </c>
      <c r="O395" s="156">
        <f t="shared" si="85"/>
        <v>64872817.58</v>
      </c>
      <c r="P395" s="99"/>
      <c r="Q395" s="109" t="s">
        <v>2903</v>
      </c>
      <c r="R395" s="138"/>
      <c r="S395" s="159"/>
      <c r="T395" s="102" t="str">
        <f t="shared" si="8"/>
        <v>PP25-393</v>
      </c>
      <c r="U395" s="139"/>
      <c r="V395" s="139"/>
      <c r="W395" s="103"/>
      <c r="X395" s="103"/>
      <c r="Y395" s="103"/>
      <c r="Z395" s="103"/>
    </row>
    <row r="396" ht="49.5" customHeight="1">
      <c r="A396" s="132"/>
      <c r="B396" s="90" t="s">
        <v>2900</v>
      </c>
      <c r="C396" s="90">
        <f t="shared" si="75"/>
        <v>394</v>
      </c>
      <c r="D396" s="92" t="str">
        <f t="shared" si="1"/>
        <v>PP25-394</v>
      </c>
      <c r="E396" s="120">
        <v>45961.0</v>
      </c>
      <c r="F396" s="93"/>
      <c r="G396" s="93" t="s">
        <v>3010</v>
      </c>
      <c r="H396" s="93"/>
      <c r="I396" s="116"/>
      <c r="J396" s="95" t="s">
        <v>1176</v>
      </c>
      <c r="K396" s="96">
        <v>4.20671883E8</v>
      </c>
      <c r="L396" s="97">
        <f t="shared" si="112"/>
        <v>25240312.98</v>
      </c>
      <c r="M396" s="156">
        <f t="shared" si="84"/>
        <v>445912196</v>
      </c>
      <c r="N396" s="156">
        <f t="shared" si="109"/>
        <v>49050341.56</v>
      </c>
      <c r="O396" s="156">
        <f t="shared" si="85"/>
        <v>494962537.5</v>
      </c>
      <c r="P396" s="99"/>
      <c r="Q396" s="109" t="s">
        <v>2903</v>
      </c>
      <c r="R396" s="138"/>
      <c r="S396" s="159"/>
      <c r="T396" s="102" t="str">
        <f t="shared" si="8"/>
        <v>PP25-394</v>
      </c>
      <c r="U396" s="139"/>
      <c r="V396" s="139"/>
      <c r="W396" s="103"/>
      <c r="X396" s="103"/>
      <c r="Y396" s="103"/>
      <c r="Z396" s="103"/>
    </row>
    <row r="397" ht="49.5" customHeight="1">
      <c r="A397" s="132"/>
      <c r="B397" s="90" t="s">
        <v>2900</v>
      </c>
      <c r="C397" s="90">
        <f t="shared" si="75"/>
        <v>395</v>
      </c>
      <c r="D397" s="92" t="str">
        <f t="shared" si="1"/>
        <v>PP25-395</v>
      </c>
      <c r="E397" s="120"/>
      <c r="F397" s="93"/>
      <c r="G397" s="93"/>
      <c r="H397" s="93"/>
      <c r="I397" s="116"/>
      <c r="J397" s="95"/>
      <c r="K397" s="96"/>
      <c r="L397" s="97">
        <f>K397*5.4%</f>
        <v>0</v>
      </c>
      <c r="M397" s="156">
        <f t="shared" si="84"/>
        <v>0</v>
      </c>
      <c r="N397" s="156">
        <f t="shared" si="109"/>
        <v>0</v>
      </c>
      <c r="O397" s="156">
        <f t="shared" si="85"/>
        <v>0</v>
      </c>
      <c r="P397" s="99"/>
      <c r="Q397" s="109"/>
      <c r="R397" s="138"/>
      <c r="S397" s="159"/>
      <c r="T397" s="102" t="str">
        <f t="shared" si="8"/>
        <v>PP25-395</v>
      </c>
      <c r="U397" s="139"/>
      <c r="V397" s="139"/>
      <c r="W397" s="103"/>
      <c r="X397" s="103"/>
      <c r="Y397" s="103"/>
      <c r="Z397" s="103"/>
    </row>
    <row r="398" ht="49.5" customHeight="1">
      <c r="A398" s="132"/>
      <c r="B398" s="90" t="s">
        <v>2900</v>
      </c>
      <c r="C398" s="90">
        <f t="shared" si="75"/>
        <v>396</v>
      </c>
      <c r="D398" s="92" t="str">
        <f t="shared" si="1"/>
        <v>PP25-396</v>
      </c>
      <c r="E398" s="120"/>
      <c r="F398" s="93"/>
      <c r="G398" s="93"/>
      <c r="H398" s="93"/>
      <c r="I398" s="116"/>
      <c r="J398" s="95"/>
      <c r="K398" s="96"/>
      <c r="L398" s="97"/>
      <c r="M398" s="156">
        <f t="shared" si="84"/>
        <v>0</v>
      </c>
      <c r="N398" s="156">
        <f t="shared" si="109"/>
        <v>0</v>
      </c>
      <c r="O398" s="156">
        <f t="shared" si="85"/>
        <v>0</v>
      </c>
      <c r="P398" s="99"/>
      <c r="Q398" s="109"/>
      <c r="R398" s="138"/>
      <c r="S398" s="159"/>
      <c r="T398" s="102" t="str">
        <f t="shared" si="8"/>
        <v>PP25-396</v>
      </c>
      <c r="U398" s="139"/>
      <c r="V398" s="139"/>
      <c r="W398" s="103"/>
      <c r="X398" s="103"/>
      <c r="Y398" s="103"/>
      <c r="Z398" s="103"/>
    </row>
    <row r="399" ht="49.5" customHeight="1">
      <c r="A399" s="132"/>
      <c r="B399" s="90" t="s">
        <v>2900</v>
      </c>
      <c r="C399" s="90">
        <f t="shared" si="75"/>
        <v>397</v>
      </c>
      <c r="D399" s="92" t="str">
        <f t="shared" si="1"/>
        <v>PP25-397</v>
      </c>
      <c r="E399" s="120"/>
      <c r="F399" s="93"/>
      <c r="G399" s="93"/>
      <c r="H399" s="93"/>
      <c r="I399" s="116"/>
      <c r="J399" s="95"/>
      <c r="K399" s="96"/>
      <c r="L399" s="97">
        <f>K399*5.8%</f>
        <v>0</v>
      </c>
      <c r="M399" s="156">
        <f t="shared" si="84"/>
        <v>0</v>
      </c>
      <c r="N399" s="156">
        <f t="shared" si="109"/>
        <v>0</v>
      </c>
      <c r="O399" s="156">
        <f t="shared" si="85"/>
        <v>0</v>
      </c>
      <c r="P399" s="99"/>
      <c r="Q399" s="109"/>
      <c r="R399" s="138"/>
      <c r="S399" s="159"/>
      <c r="T399" s="102" t="str">
        <f t="shared" si="8"/>
        <v>PP25-397</v>
      </c>
      <c r="U399" s="139"/>
      <c r="V399" s="139"/>
      <c r="W399" s="103"/>
      <c r="X399" s="103"/>
      <c r="Y399" s="103"/>
      <c r="Z399" s="103"/>
    </row>
    <row r="400" ht="49.5" customHeight="1">
      <c r="A400" s="132"/>
      <c r="B400" s="90" t="s">
        <v>2900</v>
      </c>
      <c r="C400" s="90">
        <f t="shared" si="75"/>
        <v>398</v>
      </c>
      <c r="D400" s="92" t="str">
        <f t="shared" si="1"/>
        <v>PP25-398</v>
      </c>
      <c r="E400" s="120"/>
      <c r="F400" s="93"/>
      <c r="G400" s="93"/>
      <c r="H400" s="93"/>
      <c r="I400" s="116"/>
      <c r="J400" s="95"/>
      <c r="K400" s="96"/>
      <c r="L400" s="97">
        <f t="shared" ref="L400:L401" si="113">K400*10%</f>
        <v>0</v>
      </c>
      <c r="M400" s="156">
        <f t="shared" si="84"/>
        <v>0</v>
      </c>
      <c r="N400" s="156">
        <f t="shared" si="109"/>
        <v>0</v>
      </c>
      <c r="O400" s="156">
        <f t="shared" si="85"/>
        <v>0</v>
      </c>
      <c r="P400" s="99"/>
      <c r="Q400" s="141"/>
      <c r="R400" s="138"/>
      <c r="S400" s="159"/>
      <c r="T400" s="102" t="str">
        <f t="shared" si="8"/>
        <v>PP25-398</v>
      </c>
      <c r="U400" s="139"/>
      <c r="V400" s="139"/>
      <c r="W400" s="103"/>
      <c r="X400" s="103"/>
      <c r="Y400" s="103"/>
      <c r="Z400" s="103"/>
    </row>
    <row r="401" ht="49.5" customHeight="1">
      <c r="A401" s="132"/>
      <c r="B401" s="90" t="s">
        <v>2900</v>
      </c>
      <c r="C401" s="90">
        <f t="shared" si="75"/>
        <v>399</v>
      </c>
      <c r="D401" s="92" t="str">
        <f t="shared" si="1"/>
        <v>PP25-399</v>
      </c>
      <c r="E401" s="120"/>
      <c r="F401" s="93"/>
      <c r="G401" s="93"/>
      <c r="H401" s="93"/>
      <c r="I401" s="116"/>
      <c r="J401" s="95"/>
      <c r="K401" s="96"/>
      <c r="L401" s="97">
        <f t="shared" si="113"/>
        <v>0</v>
      </c>
      <c r="M401" s="156">
        <f t="shared" si="84"/>
        <v>0</v>
      </c>
      <c r="N401" s="156">
        <f t="shared" si="109"/>
        <v>0</v>
      </c>
      <c r="O401" s="156">
        <f t="shared" si="85"/>
        <v>0</v>
      </c>
      <c r="P401" s="99"/>
      <c r="Q401" s="141"/>
      <c r="R401" s="138"/>
      <c r="S401" s="159"/>
      <c r="T401" s="102" t="str">
        <f t="shared" si="8"/>
        <v>PP25-399</v>
      </c>
      <c r="U401" s="139"/>
      <c r="V401" s="139"/>
      <c r="W401" s="103"/>
      <c r="X401" s="103"/>
      <c r="Y401" s="103"/>
      <c r="Z401" s="103"/>
    </row>
    <row r="402" ht="49.5" customHeight="1">
      <c r="A402" s="132"/>
      <c r="B402" s="90" t="s">
        <v>2900</v>
      </c>
      <c r="C402" s="90">
        <f t="shared" si="75"/>
        <v>400</v>
      </c>
      <c r="D402" s="92" t="str">
        <f t="shared" si="1"/>
        <v>PP25-400</v>
      </c>
      <c r="E402" s="120"/>
      <c r="F402" s="93"/>
      <c r="G402" s="93"/>
      <c r="H402" s="93"/>
      <c r="I402" s="93"/>
      <c r="J402" s="95"/>
      <c r="K402" s="96"/>
      <c r="L402" s="97">
        <f t="shared" ref="L402:L403" si="114">K402*5.5%</f>
        <v>0</v>
      </c>
      <c r="M402" s="156">
        <f t="shared" si="84"/>
        <v>0</v>
      </c>
      <c r="N402" s="156">
        <f t="shared" si="109"/>
        <v>0</v>
      </c>
      <c r="O402" s="156">
        <f t="shared" si="85"/>
        <v>0</v>
      </c>
      <c r="P402" s="99"/>
      <c r="Q402" s="141"/>
      <c r="R402" s="138"/>
      <c r="S402" s="159"/>
      <c r="T402" s="102" t="str">
        <f t="shared" si="8"/>
        <v>PP25-400</v>
      </c>
      <c r="U402" s="139"/>
      <c r="V402" s="139"/>
      <c r="W402" s="103"/>
      <c r="X402" s="103"/>
      <c r="Y402" s="103"/>
      <c r="Z402" s="103"/>
    </row>
    <row r="403" ht="49.5" customHeight="1">
      <c r="A403" s="132"/>
      <c r="B403" s="90" t="s">
        <v>2900</v>
      </c>
      <c r="C403" s="90">
        <f t="shared" si="75"/>
        <v>401</v>
      </c>
      <c r="D403" s="92" t="str">
        <f t="shared" si="1"/>
        <v>PP25-401</v>
      </c>
      <c r="E403" s="120"/>
      <c r="F403" s="93"/>
      <c r="G403" s="93"/>
      <c r="H403" s="93"/>
      <c r="I403" s="93"/>
      <c r="J403" s="95"/>
      <c r="K403" s="96"/>
      <c r="L403" s="97">
        <f t="shared" si="114"/>
        <v>0</v>
      </c>
      <c r="M403" s="156">
        <f t="shared" si="84"/>
        <v>0</v>
      </c>
      <c r="N403" s="156">
        <f t="shared" si="109"/>
        <v>0</v>
      </c>
      <c r="O403" s="156">
        <f t="shared" si="85"/>
        <v>0</v>
      </c>
      <c r="P403" s="99"/>
      <c r="Q403" s="141"/>
      <c r="R403" s="138"/>
      <c r="S403" s="159"/>
      <c r="T403" s="102" t="str">
        <f t="shared" si="8"/>
        <v>PP25-401</v>
      </c>
      <c r="U403" s="139"/>
      <c r="V403" s="139"/>
      <c r="W403" s="103"/>
      <c r="X403" s="103"/>
      <c r="Y403" s="103"/>
      <c r="Z403" s="103"/>
    </row>
    <row r="404" ht="49.5" customHeight="1">
      <c r="A404" s="132"/>
      <c r="B404" s="90" t="s">
        <v>2900</v>
      </c>
      <c r="C404" s="90">
        <f t="shared" si="75"/>
        <v>402</v>
      </c>
      <c r="D404" s="92" t="str">
        <f t="shared" si="1"/>
        <v>PP25-402</v>
      </c>
      <c r="E404" s="160"/>
      <c r="F404" s="161"/>
      <c r="G404" s="161"/>
      <c r="H404" s="161"/>
      <c r="I404" s="161"/>
      <c r="J404" s="162"/>
      <c r="K404" s="163"/>
      <c r="L404" s="164">
        <f>K404*5.8%</f>
        <v>0</v>
      </c>
      <c r="M404" s="156">
        <f t="shared" si="84"/>
        <v>0</v>
      </c>
      <c r="N404" s="156">
        <f t="shared" si="109"/>
        <v>0</v>
      </c>
      <c r="O404" s="156">
        <f t="shared" si="85"/>
        <v>0</v>
      </c>
      <c r="P404" s="165"/>
      <c r="Q404" s="166"/>
      <c r="R404" s="138"/>
      <c r="S404" s="159"/>
      <c r="T404" s="102" t="str">
        <f t="shared" si="8"/>
        <v>PP25-402</v>
      </c>
      <c r="U404" s="139"/>
      <c r="V404" s="139"/>
      <c r="W404" s="103"/>
      <c r="X404" s="103"/>
      <c r="Y404" s="103"/>
      <c r="Z404" s="103"/>
    </row>
    <row r="405" ht="49.5" customHeight="1">
      <c r="A405" s="132"/>
      <c r="B405" s="90" t="s">
        <v>2900</v>
      </c>
      <c r="C405" s="90">
        <f t="shared" si="75"/>
        <v>403</v>
      </c>
      <c r="D405" s="92" t="str">
        <f t="shared" si="1"/>
        <v>PP25-403</v>
      </c>
      <c r="E405" s="120"/>
      <c r="F405" s="93"/>
      <c r="G405" s="93"/>
      <c r="H405" s="94"/>
      <c r="I405" s="94"/>
      <c r="J405" s="95"/>
      <c r="K405" s="96"/>
      <c r="L405" s="97"/>
      <c r="M405" s="156">
        <f t="shared" si="84"/>
        <v>0</v>
      </c>
      <c r="N405" s="156">
        <f t="shared" si="109"/>
        <v>0</v>
      </c>
      <c r="O405" s="156">
        <f t="shared" si="85"/>
        <v>0</v>
      </c>
      <c r="P405" s="99"/>
      <c r="Q405" s="141"/>
      <c r="R405" s="138"/>
      <c r="S405" s="159"/>
      <c r="T405" s="102" t="str">
        <f t="shared" si="8"/>
        <v>PP25-403</v>
      </c>
      <c r="U405" s="139"/>
      <c r="V405" s="139"/>
      <c r="W405" s="103"/>
      <c r="X405" s="103"/>
      <c r="Y405" s="103"/>
      <c r="Z405" s="103"/>
    </row>
    <row r="406" ht="49.5" customHeight="1">
      <c r="A406" s="132"/>
      <c r="B406" s="167"/>
      <c r="C406" s="167"/>
      <c r="D406" s="168"/>
      <c r="E406" s="120"/>
      <c r="F406" s="93"/>
      <c r="G406" s="93"/>
      <c r="H406" s="94"/>
      <c r="I406" s="94"/>
      <c r="J406" s="95"/>
      <c r="K406" s="96"/>
      <c r="L406" s="97"/>
      <c r="M406" s="156">
        <f t="shared" si="84"/>
        <v>0</v>
      </c>
      <c r="N406" s="156">
        <f t="shared" si="109"/>
        <v>0</v>
      </c>
      <c r="O406" s="156">
        <f t="shared" si="85"/>
        <v>0</v>
      </c>
      <c r="P406" s="99"/>
      <c r="Q406" s="141"/>
      <c r="R406" s="138"/>
      <c r="S406" s="159"/>
      <c r="T406" s="102" t="str">
        <f t="shared" si="8"/>
        <v/>
      </c>
      <c r="U406" s="139"/>
      <c r="V406" s="139"/>
      <c r="W406" s="103"/>
      <c r="X406" s="103"/>
      <c r="Y406" s="103"/>
      <c r="Z406" s="103"/>
    </row>
    <row r="407" ht="49.5" customHeight="1">
      <c r="A407" s="132"/>
      <c r="B407" s="167"/>
      <c r="C407" s="167"/>
      <c r="D407" s="168"/>
      <c r="E407" s="120"/>
      <c r="F407" s="93"/>
      <c r="G407" s="93"/>
      <c r="H407" s="94"/>
      <c r="I407" s="94"/>
      <c r="J407" s="95"/>
      <c r="K407" s="96"/>
      <c r="L407" s="97"/>
      <c r="M407" s="156">
        <f t="shared" si="84"/>
        <v>0</v>
      </c>
      <c r="N407" s="156">
        <f t="shared" si="109"/>
        <v>0</v>
      </c>
      <c r="O407" s="156">
        <f t="shared" si="85"/>
        <v>0</v>
      </c>
      <c r="P407" s="99"/>
      <c r="Q407" s="141"/>
      <c r="R407" s="138"/>
      <c r="S407" s="159"/>
      <c r="T407" s="102" t="str">
        <f t="shared" si="8"/>
        <v/>
      </c>
      <c r="U407" s="139"/>
      <c r="V407" s="139"/>
      <c r="W407" s="103"/>
      <c r="X407" s="103"/>
      <c r="Y407" s="103"/>
      <c r="Z407" s="103"/>
    </row>
    <row r="408" ht="49.5" customHeight="1">
      <c r="A408" s="132"/>
      <c r="B408" s="167"/>
      <c r="C408" s="167"/>
      <c r="D408" s="168"/>
      <c r="E408" s="120"/>
      <c r="F408" s="93"/>
      <c r="G408" s="93"/>
      <c r="H408" s="94"/>
      <c r="I408" s="94"/>
      <c r="J408" s="95"/>
      <c r="K408" s="96"/>
      <c r="L408" s="97"/>
      <c r="M408" s="156">
        <f t="shared" si="84"/>
        <v>0</v>
      </c>
      <c r="N408" s="156">
        <f t="shared" si="109"/>
        <v>0</v>
      </c>
      <c r="O408" s="156">
        <f t="shared" si="85"/>
        <v>0</v>
      </c>
      <c r="P408" s="99"/>
      <c r="Q408" s="141"/>
      <c r="R408" s="138"/>
      <c r="S408" s="159"/>
      <c r="T408" s="102" t="str">
        <f t="shared" si="8"/>
        <v/>
      </c>
      <c r="U408" s="139"/>
      <c r="V408" s="139"/>
      <c r="W408" s="103"/>
      <c r="X408" s="103"/>
      <c r="Y408" s="103"/>
      <c r="Z408" s="103"/>
    </row>
    <row r="409" ht="49.5" customHeight="1">
      <c r="A409" s="132"/>
      <c r="B409" s="167"/>
      <c r="C409" s="169"/>
      <c r="D409" s="168"/>
      <c r="E409" s="120"/>
      <c r="F409" s="93"/>
      <c r="G409" s="93"/>
      <c r="H409" s="94"/>
      <c r="I409" s="94"/>
      <c r="J409" s="95"/>
      <c r="K409" s="96"/>
      <c r="L409" s="97">
        <f>K409*5.5%</f>
        <v>0</v>
      </c>
      <c r="M409" s="156">
        <f t="shared" si="84"/>
        <v>0</v>
      </c>
      <c r="N409" s="156">
        <f t="shared" si="109"/>
        <v>0</v>
      </c>
      <c r="O409" s="156">
        <f t="shared" si="85"/>
        <v>0</v>
      </c>
      <c r="P409" s="99"/>
      <c r="Q409" s="141"/>
      <c r="R409" s="138"/>
      <c r="S409" s="159"/>
      <c r="T409" s="102" t="str">
        <f t="shared" si="8"/>
        <v/>
      </c>
      <c r="U409" s="139"/>
      <c r="V409" s="139"/>
      <c r="W409" s="103"/>
      <c r="X409" s="103"/>
      <c r="Y409" s="103"/>
      <c r="Z409" s="103"/>
    </row>
    <row r="410" ht="49.5" customHeight="1">
      <c r="A410" s="132"/>
      <c r="B410" s="167"/>
      <c r="C410" s="169"/>
      <c r="D410" s="168"/>
      <c r="E410" s="120"/>
      <c r="F410" s="93"/>
      <c r="G410" s="93"/>
      <c r="H410" s="94"/>
      <c r="I410" s="94"/>
      <c r="J410" s="95"/>
      <c r="K410" s="96"/>
      <c r="L410" s="97">
        <f t="shared" ref="L410:L411" si="115">K410*7.5%</f>
        <v>0</v>
      </c>
      <c r="M410" s="156">
        <f t="shared" si="84"/>
        <v>0</v>
      </c>
      <c r="N410" s="156">
        <f t="shared" si="109"/>
        <v>0</v>
      </c>
      <c r="O410" s="156">
        <f t="shared" si="85"/>
        <v>0</v>
      </c>
      <c r="P410" s="99"/>
      <c r="Q410" s="141"/>
      <c r="R410" s="138"/>
      <c r="S410" s="159"/>
      <c r="T410" s="102" t="str">
        <f t="shared" si="8"/>
        <v/>
      </c>
      <c r="U410" s="139"/>
      <c r="V410" s="139"/>
      <c r="W410" s="103"/>
      <c r="X410" s="103"/>
      <c r="Y410" s="103"/>
      <c r="Z410" s="103"/>
    </row>
    <row r="411" ht="49.5" customHeight="1">
      <c r="A411" s="132"/>
      <c r="B411" s="167"/>
      <c r="C411" s="169"/>
      <c r="D411" s="168"/>
      <c r="E411" s="120"/>
      <c r="F411" s="93"/>
      <c r="G411" s="93"/>
      <c r="H411" s="94"/>
      <c r="I411" s="94"/>
      <c r="J411" s="95"/>
      <c r="K411" s="96"/>
      <c r="L411" s="97">
        <f t="shared" si="115"/>
        <v>0</v>
      </c>
      <c r="M411" s="156">
        <f t="shared" si="84"/>
        <v>0</v>
      </c>
      <c r="N411" s="156">
        <f t="shared" si="109"/>
        <v>0</v>
      </c>
      <c r="O411" s="156">
        <f t="shared" si="85"/>
        <v>0</v>
      </c>
      <c r="P411" s="99"/>
      <c r="Q411" s="141"/>
      <c r="R411" s="138"/>
      <c r="S411" s="159"/>
      <c r="T411" s="102" t="str">
        <f t="shared" si="8"/>
        <v/>
      </c>
      <c r="U411" s="139"/>
      <c r="V411" s="139"/>
      <c r="W411" s="103"/>
      <c r="X411" s="103"/>
      <c r="Y411" s="103"/>
      <c r="Z411" s="103"/>
    </row>
    <row r="412" ht="49.5" customHeight="1">
      <c r="A412" s="132"/>
      <c r="B412" s="167"/>
      <c r="C412" s="167"/>
      <c r="D412" s="168"/>
      <c r="E412" s="120"/>
      <c r="F412" s="93"/>
      <c r="G412" s="93"/>
      <c r="H412" s="94"/>
      <c r="I412" s="94"/>
      <c r="J412" s="95"/>
      <c r="K412" s="96"/>
      <c r="L412" s="97"/>
      <c r="M412" s="156">
        <f t="shared" si="84"/>
        <v>0</v>
      </c>
      <c r="N412" s="156">
        <f t="shared" si="109"/>
        <v>0</v>
      </c>
      <c r="O412" s="156">
        <f t="shared" si="85"/>
        <v>0</v>
      </c>
      <c r="P412" s="99"/>
      <c r="Q412" s="141"/>
      <c r="R412" s="138"/>
      <c r="S412" s="159"/>
      <c r="T412" s="102" t="str">
        <f t="shared" si="8"/>
        <v/>
      </c>
      <c r="U412" s="139"/>
      <c r="V412" s="139"/>
      <c r="W412" s="103"/>
      <c r="X412" s="103"/>
      <c r="Y412" s="103"/>
      <c r="Z412" s="103"/>
    </row>
    <row r="413" ht="49.5" customHeight="1">
      <c r="A413" s="132"/>
      <c r="B413" s="167"/>
      <c r="C413" s="169"/>
      <c r="D413" s="168"/>
      <c r="E413" s="120"/>
      <c r="F413" s="93"/>
      <c r="G413" s="93"/>
      <c r="H413" s="94"/>
      <c r="I413" s="94"/>
      <c r="J413" s="95"/>
      <c r="K413" s="96"/>
      <c r="L413" s="97">
        <f t="shared" ref="L413:L414" si="116">K413*7.5%</f>
        <v>0</v>
      </c>
      <c r="M413" s="156">
        <f t="shared" si="84"/>
        <v>0</v>
      </c>
      <c r="N413" s="156">
        <f t="shared" si="109"/>
        <v>0</v>
      </c>
      <c r="O413" s="156">
        <f t="shared" si="85"/>
        <v>0</v>
      </c>
      <c r="P413" s="99"/>
      <c r="Q413" s="141"/>
      <c r="R413" s="138"/>
      <c r="S413" s="159"/>
      <c r="T413" s="102" t="str">
        <f t="shared" si="8"/>
        <v/>
      </c>
      <c r="U413" s="139"/>
      <c r="V413" s="139"/>
      <c r="W413" s="103"/>
      <c r="X413" s="103"/>
      <c r="Y413" s="103"/>
      <c r="Z413" s="103"/>
    </row>
    <row r="414" ht="49.5" customHeight="1">
      <c r="A414" s="132"/>
      <c r="B414" s="167"/>
      <c r="C414" s="169"/>
      <c r="D414" s="168"/>
      <c r="E414" s="120"/>
      <c r="F414" s="93"/>
      <c r="G414" s="93"/>
      <c r="H414" s="94"/>
      <c r="I414" s="94"/>
      <c r="J414" s="95"/>
      <c r="K414" s="96"/>
      <c r="L414" s="97">
        <f t="shared" si="116"/>
        <v>0</v>
      </c>
      <c r="M414" s="156">
        <f t="shared" si="84"/>
        <v>0</v>
      </c>
      <c r="N414" s="156">
        <f t="shared" si="109"/>
        <v>0</v>
      </c>
      <c r="O414" s="156">
        <f t="shared" si="85"/>
        <v>0</v>
      </c>
      <c r="P414" s="99"/>
      <c r="Q414" s="141"/>
      <c r="R414" s="138"/>
      <c r="S414" s="159"/>
      <c r="T414" s="102" t="str">
        <f t="shared" si="8"/>
        <v/>
      </c>
      <c r="U414" s="139"/>
      <c r="V414" s="139"/>
      <c r="W414" s="103"/>
      <c r="X414" s="103"/>
      <c r="Y414" s="103"/>
      <c r="Z414" s="103"/>
    </row>
    <row r="415" ht="49.5" customHeight="1">
      <c r="A415" s="132"/>
      <c r="B415" s="167"/>
      <c r="C415" s="167"/>
      <c r="D415" s="168"/>
      <c r="E415" s="120"/>
      <c r="F415" s="161"/>
      <c r="G415" s="161"/>
      <c r="H415" s="170"/>
      <c r="I415" s="170"/>
      <c r="J415" s="162"/>
      <c r="K415" s="163"/>
      <c r="L415" s="164"/>
      <c r="M415" s="156">
        <f t="shared" si="84"/>
        <v>0</v>
      </c>
      <c r="N415" s="156">
        <f t="shared" si="109"/>
        <v>0</v>
      </c>
      <c r="O415" s="156">
        <f t="shared" si="85"/>
        <v>0</v>
      </c>
      <c r="P415" s="165"/>
      <c r="Q415" s="166"/>
      <c r="R415" s="138"/>
      <c r="S415" s="159"/>
      <c r="T415" s="102" t="str">
        <f t="shared" si="8"/>
        <v/>
      </c>
      <c r="U415" s="139"/>
      <c r="V415" s="139"/>
      <c r="W415" s="103"/>
      <c r="X415" s="103"/>
      <c r="Y415" s="103"/>
      <c r="Z415" s="103"/>
    </row>
    <row r="416" ht="49.5" customHeight="1">
      <c r="A416" s="132"/>
      <c r="B416" s="167"/>
      <c r="C416" s="167"/>
      <c r="D416" s="168"/>
      <c r="E416" s="120"/>
      <c r="F416" s="161"/>
      <c r="G416" s="161"/>
      <c r="H416" s="170"/>
      <c r="I416" s="170"/>
      <c r="J416" s="162"/>
      <c r="K416" s="163"/>
      <c r="L416" s="164"/>
      <c r="M416" s="156">
        <f t="shared" si="84"/>
        <v>0</v>
      </c>
      <c r="N416" s="156">
        <f t="shared" si="109"/>
        <v>0</v>
      </c>
      <c r="O416" s="156">
        <f t="shared" si="85"/>
        <v>0</v>
      </c>
      <c r="P416" s="165"/>
      <c r="Q416" s="166"/>
      <c r="R416" s="138"/>
      <c r="S416" s="159"/>
      <c r="T416" s="102" t="str">
        <f t="shared" si="8"/>
        <v/>
      </c>
      <c r="U416" s="139"/>
      <c r="V416" s="139"/>
      <c r="W416" s="103"/>
      <c r="X416" s="103"/>
      <c r="Y416" s="103"/>
      <c r="Z416" s="103"/>
    </row>
    <row r="417" ht="49.5" customHeight="1">
      <c r="A417" s="132"/>
      <c r="B417" s="167"/>
      <c r="C417" s="169"/>
      <c r="D417" s="168"/>
      <c r="E417" s="120"/>
      <c r="F417" s="93"/>
      <c r="G417" s="93"/>
      <c r="H417" s="94"/>
      <c r="I417" s="94"/>
      <c r="J417" s="95"/>
      <c r="K417" s="96"/>
      <c r="L417" s="97">
        <f t="shared" ref="L417:L420" si="117">K417*5.4%</f>
        <v>0</v>
      </c>
      <c r="M417" s="156">
        <f t="shared" si="84"/>
        <v>0</v>
      </c>
      <c r="N417" s="156">
        <f t="shared" si="109"/>
        <v>0</v>
      </c>
      <c r="O417" s="156">
        <f t="shared" si="85"/>
        <v>0</v>
      </c>
      <c r="P417" s="99"/>
      <c r="Q417" s="109"/>
      <c r="R417" s="138"/>
      <c r="S417" s="159"/>
      <c r="T417" s="102" t="str">
        <f t="shared" si="8"/>
        <v/>
      </c>
      <c r="U417" s="139"/>
      <c r="V417" s="139"/>
      <c r="W417" s="103"/>
      <c r="X417" s="103"/>
      <c r="Y417" s="103"/>
      <c r="Z417" s="103"/>
    </row>
    <row r="418" ht="49.5" customHeight="1">
      <c r="A418" s="132"/>
      <c r="B418" s="167"/>
      <c r="C418" s="169"/>
      <c r="D418" s="168"/>
      <c r="E418" s="120"/>
      <c r="F418" s="93"/>
      <c r="G418" s="93"/>
      <c r="H418" s="94"/>
      <c r="I418" s="94"/>
      <c r="J418" s="95"/>
      <c r="K418" s="96"/>
      <c r="L418" s="97">
        <f t="shared" si="117"/>
        <v>0</v>
      </c>
      <c r="M418" s="156">
        <f t="shared" si="84"/>
        <v>0</v>
      </c>
      <c r="N418" s="156">
        <f t="shared" si="109"/>
        <v>0</v>
      </c>
      <c r="O418" s="156">
        <f t="shared" si="85"/>
        <v>0</v>
      </c>
      <c r="P418" s="99"/>
      <c r="Q418" s="109"/>
      <c r="R418" s="138"/>
      <c r="S418" s="159"/>
      <c r="T418" s="102" t="str">
        <f t="shared" si="8"/>
        <v/>
      </c>
      <c r="U418" s="139"/>
      <c r="V418" s="139"/>
      <c r="W418" s="103"/>
      <c r="X418" s="103"/>
      <c r="Y418" s="103"/>
      <c r="Z418" s="103"/>
    </row>
    <row r="419" ht="49.5" customHeight="1">
      <c r="A419" s="103"/>
      <c r="B419" s="167"/>
      <c r="C419" s="169"/>
      <c r="D419" s="168"/>
      <c r="E419" s="120"/>
      <c r="F419" s="93"/>
      <c r="G419" s="95"/>
      <c r="H419" s="94"/>
      <c r="I419" s="94"/>
      <c r="J419" s="95"/>
      <c r="K419" s="96"/>
      <c r="L419" s="97">
        <f t="shared" si="117"/>
        <v>0</v>
      </c>
      <c r="M419" s="156">
        <f t="shared" si="84"/>
        <v>0</v>
      </c>
      <c r="N419" s="156">
        <f t="shared" si="109"/>
        <v>0</v>
      </c>
      <c r="O419" s="156">
        <f t="shared" si="85"/>
        <v>0</v>
      </c>
      <c r="P419" s="98"/>
      <c r="Q419" s="109"/>
      <c r="R419" s="138"/>
      <c r="S419" s="159"/>
      <c r="T419" s="102" t="str">
        <f t="shared" si="8"/>
        <v/>
      </c>
      <c r="U419" s="139"/>
      <c r="V419" s="139"/>
      <c r="W419" s="103"/>
      <c r="X419" s="103"/>
      <c r="Y419" s="103"/>
      <c r="Z419" s="103"/>
    </row>
    <row r="420" ht="49.5" customHeight="1">
      <c r="A420" s="103"/>
      <c r="B420" s="167"/>
      <c r="C420" s="169"/>
      <c r="D420" s="168"/>
      <c r="E420" s="120"/>
      <c r="F420" s="93"/>
      <c r="G420" s="95"/>
      <c r="H420" s="94"/>
      <c r="I420" s="94"/>
      <c r="J420" s="95"/>
      <c r="K420" s="96"/>
      <c r="L420" s="97">
        <f t="shared" si="117"/>
        <v>0</v>
      </c>
      <c r="M420" s="156">
        <f t="shared" si="84"/>
        <v>0</v>
      </c>
      <c r="N420" s="156">
        <f t="shared" si="109"/>
        <v>0</v>
      </c>
      <c r="O420" s="156">
        <f t="shared" si="85"/>
        <v>0</v>
      </c>
      <c r="P420" s="98"/>
      <c r="Q420" s="109"/>
      <c r="R420" s="138"/>
      <c r="S420" s="159"/>
      <c r="T420" s="102" t="str">
        <f t="shared" si="8"/>
        <v/>
      </c>
      <c r="U420" s="139"/>
      <c r="V420" s="139"/>
      <c r="W420" s="103"/>
      <c r="X420" s="103"/>
      <c r="Y420" s="103"/>
      <c r="Z420" s="103"/>
    </row>
    <row r="421" ht="49.5" customHeight="1">
      <c r="A421" s="103"/>
      <c r="B421" s="167"/>
      <c r="C421" s="169"/>
      <c r="D421" s="168"/>
      <c r="E421" s="120"/>
      <c r="F421" s="95"/>
      <c r="G421" s="95"/>
      <c r="H421" s="94"/>
      <c r="I421" s="94"/>
      <c r="J421" s="95"/>
      <c r="K421" s="96"/>
      <c r="L421" s="97">
        <f>K421*10%</f>
        <v>0</v>
      </c>
      <c r="M421" s="156">
        <f t="shared" si="84"/>
        <v>0</v>
      </c>
      <c r="N421" s="156">
        <f t="shared" si="109"/>
        <v>0</v>
      </c>
      <c r="O421" s="156">
        <f t="shared" si="85"/>
        <v>0</v>
      </c>
      <c r="P421" s="98"/>
      <c r="Q421" s="90"/>
      <c r="R421" s="138"/>
      <c r="S421" s="159"/>
      <c r="T421" s="102" t="str">
        <f t="shared" si="8"/>
        <v/>
      </c>
      <c r="U421" s="139"/>
      <c r="V421" s="139"/>
      <c r="W421" s="103"/>
      <c r="X421" s="103"/>
      <c r="Y421" s="103"/>
      <c r="Z421" s="103"/>
    </row>
    <row r="422" ht="49.5" customHeight="1">
      <c r="A422" s="103"/>
      <c r="B422" s="167"/>
      <c r="C422" s="169"/>
      <c r="D422" s="168"/>
      <c r="E422" s="120"/>
      <c r="F422" s="95"/>
      <c r="G422" s="95"/>
      <c r="H422" s="94"/>
      <c r="I422" s="94"/>
      <c r="J422" s="95"/>
      <c r="K422" s="96"/>
      <c r="L422" s="97">
        <f t="shared" ref="L422:L425" si="118">K422*5.4%</f>
        <v>0</v>
      </c>
      <c r="M422" s="156">
        <f t="shared" si="84"/>
        <v>0</v>
      </c>
      <c r="N422" s="156">
        <f t="shared" si="109"/>
        <v>0</v>
      </c>
      <c r="O422" s="156">
        <f t="shared" si="85"/>
        <v>0</v>
      </c>
      <c r="P422" s="98"/>
      <c r="Q422" s="90"/>
      <c r="R422" s="138"/>
      <c r="S422" s="159"/>
      <c r="T422" s="102" t="str">
        <f t="shared" si="8"/>
        <v/>
      </c>
      <c r="U422" s="139"/>
      <c r="V422" s="139"/>
      <c r="W422" s="103"/>
      <c r="X422" s="103"/>
      <c r="Y422" s="103"/>
      <c r="Z422" s="103"/>
    </row>
    <row r="423" ht="49.5" customHeight="1">
      <c r="A423" s="103"/>
      <c r="B423" s="167"/>
      <c r="C423" s="169"/>
      <c r="D423" s="168"/>
      <c r="E423" s="120"/>
      <c r="F423" s="95"/>
      <c r="G423" s="95"/>
      <c r="H423" s="94"/>
      <c r="I423" s="94"/>
      <c r="J423" s="95"/>
      <c r="K423" s="96"/>
      <c r="L423" s="97">
        <f t="shared" si="118"/>
        <v>0</v>
      </c>
      <c r="M423" s="156">
        <f t="shared" si="84"/>
        <v>0</v>
      </c>
      <c r="N423" s="156">
        <f t="shared" si="109"/>
        <v>0</v>
      </c>
      <c r="O423" s="156">
        <f t="shared" si="85"/>
        <v>0</v>
      </c>
      <c r="P423" s="98"/>
      <c r="Q423" s="90"/>
      <c r="R423" s="138"/>
      <c r="S423" s="159"/>
      <c r="T423" s="102" t="str">
        <f t="shared" si="8"/>
        <v/>
      </c>
      <c r="U423" s="139"/>
      <c r="V423" s="139"/>
      <c r="W423" s="103"/>
      <c r="X423" s="103"/>
      <c r="Y423" s="103"/>
      <c r="Z423" s="103"/>
    </row>
    <row r="424" ht="49.5" customHeight="1">
      <c r="A424" s="103"/>
      <c r="B424" s="167"/>
      <c r="C424" s="169"/>
      <c r="D424" s="168"/>
      <c r="E424" s="120"/>
      <c r="F424" s="95"/>
      <c r="G424" s="95"/>
      <c r="H424" s="94"/>
      <c r="I424" s="94"/>
      <c r="J424" s="95"/>
      <c r="K424" s="96"/>
      <c r="L424" s="97">
        <f t="shared" si="118"/>
        <v>0</v>
      </c>
      <c r="M424" s="156">
        <f t="shared" si="84"/>
        <v>0</v>
      </c>
      <c r="N424" s="156">
        <f t="shared" si="109"/>
        <v>0</v>
      </c>
      <c r="O424" s="156">
        <f t="shared" si="85"/>
        <v>0</v>
      </c>
      <c r="P424" s="98"/>
      <c r="Q424" s="90"/>
      <c r="R424" s="138"/>
      <c r="S424" s="159"/>
      <c r="T424" s="102" t="str">
        <f t="shared" si="8"/>
        <v/>
      </c>
      <c r="U424" s="139"/>
      <c r="V424" s="139"/>
      <c r="W424" s="103"/>
      <c r="X424" s="103"/>
      <c r="Y424" s="103"/>
      <c r="Z424" s="103"/>
    </row>
    <row r="425" ht="49.5" customHeight="1">
      <c r="A425" s="103"/>
      <c r="B425" s="167"/>
      <c r="C425" s="169"/>
      <c r="D425" s="168"/>
      <c r="E425" s="120"/>
      <c r="F425" s="95"/>
      <c r="G425" s="95"/>
      <c r="H425" s="94"/>
      <c r="I425" s="94"/>
      <c r="J425" s="95"/>
      <c r="K425" s="96"/>
      <c r="L425" s="97">
        <f t="shared" si="118"/>
        <v>0</v>
      </c>
      <c r="M425" s="156">
        <f t="shared" si="84"/>
        <v>0</v>
      </c>
      <c r="N425" s="156">
        <f t="shared" si="109"/>
        <v>0</v>
      </c>
      <c r="O425" s="156">
        <f t="shared" si="85"/>
        <v>0</v>
      </c>
      <c r="P425" s="98"/>
      <c r="Q425" s="90"/>
      <c r="R425" s="138"/>
      <c r="S425" s="159"/>
      <c r="T425" s="102" t="str">
        <f t="shared" si="8"/>
        <v/>
      </c>
      <c r="U425" s="139"/>
      <c r="V425" s="139"/>
      <c r="W425" s="103"/>
      <c r="X425" s="103"/>
      <c r="Y425" s="103"/>
      <c r="Z425" s="103"/>
    </row>
    <row r="426" ht="49.5" customHeight="1">
      <c r="A426" s="103"/>
      <c r="B426" s="167"/>
      <c r="C426" s="169"/>
      <c r="D426" s="168"/>
      <c r="E426" s="120"/>
      <c r="F426" s="95"/>
      <c r="G426" s="95"/>
      <c r="H426" s="94"/>
      <c r="I426" s="94"/>
      <c r="J426" s="95"/>
      <c r="K426" s="96"/>
      <c r="L426" s="97">
        <f>K426*7.5%</f>
        <v>0</v>
      </c>
      <c r="M426" s="156">
        <f t="shared" si="84"/>
        <v>0</v>
      </c>
      <c r="N426" s="156">
        <f t="shared" si="109"/>
        <v>0</v>
      </c>
      <c r="O426" s="156">
        <f t="shared" si="85"/>
        <v>0</v>
      </c>
      <c r="P426" s="98"/>
      <c r="Q426" s="90"/>
      <c r="R426" s="138"/>
      <c r="S426" s="159"/>
      <c r="T426" s="102" t="str">
        <f t="shared" si="8"/>
        <v/>
      </c>
      <c r="U426" s="139"/>
      <c r="V426" s="139"/>
      <c r="W426" s="103"/>
      <c r="X426" s="103"/>
      <c r="Y426" s="103"/>
      <c r="Z426" s="103"/>
    </row>
    <row r="427" ht="49.5" customHeight="1">
      <c r="A427" s="103"/>
      <c r="B427" s="167"/>
      <c r="C427" s="169"/>
      <c r="D427" s="168"/>
      <c r="E427" s="120"/>
      <c r="F427" s="95"/>
      <c r="G427" s="95"/>
      <c r="H427" s="94"/>
      <c r="I427" s="94"/>
      <c r="J427" s="95"/>
      <c r="K427" s="96"/>
      <c r="L427" s="97">
        <f t="shared" ref="L427:L429" si="119">K427*6%</f>
        <v>0</v>
      </c>
      <c r="M427" s="156">
        <f t="shared" si="84"/>
        <v>0</v>
      </c>
      <c r="N427" s="156">
        <f t="shared" si="109"/>
        <v>0</v>
      </c>
      <c r="O427" s="156">
        <f t="shared" si="85"/>
        <v>0</v>
      </c>
      <c r="P427" s="98"/>
      <c r="Q427" s="90"/>
      <c r="R427" s="138"/>
      <c r="S427" s="159"/>
      <c r="T427" s="102" t="str">
        <f t="shared" si="8"/>
        <v/>
      </c>
      <c r="U427" s="139"/>
      <c r="V427" s="139"/>
      <c r="W427" s="103"/>
      <c r="X427" s="103"/>
      <c r="Y427" s="103"/>
      <c r="Z427" s="103"/>
    </row>
    <row r="428" ht="49.5" customHeight="1">
      <c r="A428" s="103"/>
      <c r="B428" s="167"/>
      <c r="C428" s="169"/>
      <c r="D428" s="168"/>
      <c r="E428" s="120"/>
      <c r="F428" s="95"/>
      <c r="G428" s="95"/>
      <c r="H428" s="94"/>
      <c r="I428" s="94"/>
      <c r="J428" s="95"/>
      <c r="K428" s="96"/>
      <c r="L428" s="97">
        <f t="shared" si="119"/>
        <v>0</v>
      </c>
      <c r="M428" s="156">
        <f t="shared" si="84"/>
        <v>0</v>
      </c>
      <c r="N428" s="156">
        <f t="shared" si="109"/>
        <v>0</v>
      </c>
      <c r="O428" s="156">
        <f t="shared" si="85"/>
        <v>0</v>
      </c>
      <c r="P428" s="98"/>
      <c r="Q428" s="90"/>
      <c r="R428" s="138"/>
      <c r="S428" s="159"/>
      <c r="T428" s="102" t="str">
        <f t="shared" si="8"/>
        <v/>
      </c>
      <c r="U428" s="139"/>
      <c r="V428" s="139"/>
      <c r="W428" s="103"/>
      <c r="X428" s="103"/>
      <c r="Y428" s="103"/>
      <c r="Z428" s="103"/>
    </row>
    <row r="429" ht="49.5" customHeight="1">
      <c r="A429" s="103"/>
      <c r="B429" s="167"/>
      <c r="C429" s="169"/>
      <c r="D429" s="168"/>
      <c r="E429" s="120"/>
      <c r="F429" s="95"/>
      <c r="G429" s="95"/>
      <c r="H429" s="94"/>
      <c r="I429" s="94"/>
      <c r="J429" s="95"/>
      <c r="K429" s="96"/>
      <c r="L429" s="97">
        <f t="shared" si="119"/>
        <v>0</v>
      </c>
      <c r="M429" s="156">
        <f t="shared" si="84"/>
        <v>0</v>
      </c>
      <c r="N429" s="156">
        <f t="shared" si="109"/>
        <v>0</v>
      </c>
      <c r="O429" s="156">
        <f t="shared" si="85"/>
        <v>0</v>
      </c>
      <c r="P429" s="98"/>
      <c r="Q429" s="90"/>
      <c r="R429" s="138"/>
      <c r="S429" s="159"/>
      <c r="T429" s="102" t="str">
        <f t="shared" si="8"/>
        <v/>
      </c>
      <c r="U429" s="139"/>
      <c r="V429" s="139"/>
      <c r="W429" s="103"/>
      <c r="X429" s="103"/>
      <c r="Y429" s="103"/>
      <c r="Z429" s="103"/>
    </row>
    <row r="430" ht="49.5" customHeight="1">
      <c r="A430" s="103"/>
      <c r="B430" s="167"/>
      <c r="C430" s="169"/>
      <c r="D430" s="168"/>
      <c r="E430" s="120"/>
      <c r="F430" s="95"/>
      <c r="G430" s="95"/>
      <c r="H430" s="94"/>
      <c r="I430" s="94"/>
      <c r="J430" s="95"/>
      <c r="K430" s="96"/>
      <c r="L430" s="97">
        <f>K430*8.5%</f>
        <v>0</v>
      </c>
      <c r="M430" s="156">
        <f t="shared" si="84"/>
        <v>0</v>
      </c>
      <c r="N430" s="156">
        <f t="shared" si="109"/>
        <v>0</v>
      </c>
      <c r="O430" s="156">
        <f t="shared" si="85"/>
        <v>0</v>
      </c>
      <c r="P430" s="98"/>
      <c r="Q430" s="90"/>
      <c r="R430" s="138"/>
      <c r="S430" s="159"/>
      <c r="T430" s="102" t="str">
        <f t="shared" si="8"/>
        <v/>
      </c>
      <c r="U430" s="139"/>
      <c r="V430" s="139"/>
      <c r="W430" s="103"/>
      <c r="X430" s="103"/>
      <c r="Y430" s="103"/>
      <c r="Z430" s="103"/>
    </row>
    <row r="431" ht="49.5" customHeight="1">
      <c r="A431" s="103"/>
      <c r="B431" s="167"/>
      <c r="C431" s="169"/>
      <c r="D431" s="168"/>
      <c r="E431" s="120"/>
      <c r="F431" s="95"/>
      <c r="G431" s="95"/>
      <c r="H431" s="94"/>
      <c r="I431" s="94"/>
      <c r="J431" s="95"/>
      <c r="K431" s="96"/>
      <c r="L431" s="97">
        <f>K431*8%</f>
        <v>0</v>
      </c>
      <c r="M431" s="156">
        <f t="shared" si="84"/>
        <v>0</v>
      </c>
      <c r="N431" s="156">
        <f t="shared" si="109"/>
        <v>0</v>
      </c>
      <c r="O431" s="156">
        <f t="shared" si="85"/>
        <v>0</v>
      </c>
      <c r="P431" s="98"/>
      <c r="Q431" s="90"/>
      <c r="R431" s="138"/>
      <c r="S431" s="159"/>
      <c r="T431" s="102" t="str">
        <f t="shared" si="8"/>
        <v/>
      </c>
      <c r="U431" s="139"/>
      <c r="V431" s="139"/>
      <c r="W431" s="103"/>
      <c r="X431" s="103"/>
      <c r="Y431" s="103"/>
      <c r="Z431" s="103"/>
    </row>
    <row r="432" ht="49.5" hidden="1" customHeight="1">
      <c r="A432" s="103"/>
      <c r="B432" s="167"/>
      <c r="C432" s="169"/>
      <c r="D432" s="168"/>
      <c r="E432" s="120"/>
      <c r="F432" s="95"/>
      <c r="G432" s="95"/>
      <c r="H432" s="94"/>
      <c r="I432" s="94"/>
      <c r="J432" s="95"/>
      <c r="K432" s="96"/>
      <c r="L432" s="97"/>
      <c r="M432" s="156">
        <f t="shared" si="84"/>
        <v>0</v>
      </c>
      <c r="N432" s="156">
        <f t="shared" si="109"/>
        <v>0</v>
      </c>
      <c r="O432" s="156">
        <f t="shared" si="85"/>
        <v>0</v>
      </c>
      <c r="P432" s="98"/>
      <c r="Q432" s="90"/>
      <c r="R432" s="138"/>
      <c r="S432" s="159"/>
      <c r="T432" s="102" t="str">
        <f t="shared" si="8"/>
        <v/>
      </c>
      <c r="U432" s="139"/>
      <c r="V432" s="139"/>
      <c r="W432" s="103"/>
      <c r="X432" s="103"/>
      <c r="Y432" s="103"/>
      <c r="Z432" s="103"/>
    </row>
    <row r="433" ht="49.5" customHeight="1">
      <c r="A433" s="103"/>
      <c r="B433" s="167"/>
      <c r="C433" s="169"/>
      <c r="D433" s="168"/>
      <c r="E433" s="120"/>
      <c r="F433" s="95"/>
      <c r="G433" s="95"/>
      <c r="H433" s="94"/>
      <c r="I433" s="94"/>
      <c r="J433" s="95"/>
      <c r="K433" s="96"/>
      <c r="L433" s="97">
        <f t="shared" ref="L433:L436" si="120">K433*6.3%</f>
        <v>0</v>
      </c>
      <c r="M433" s="156">
        <f t="shared" si="84"/>
        <v>0</v>
      </c>
      <c r="N433" s="156">
        <f t="shared" si="109"/>
        <v>0</v>
      </c>
      <c r="O433" s="156">
        <f t="shared" si="85"/>
        <v>0</v>
      </c>
      <c r="P433" s="95"/>
      <c r="Q433" s="90"/>
      <c r="R433" s="138"/>
      <c r="S433" s="159"/>
      <c r="T433" s="102" t="str">
        <f t="shared" si="8"/>
        <v/>
      </c>
      <c r="U433" s="139"/>
      <c r="V433" s="139"/>
      <c r="W433" s="103"/>
      <c r="X433" s="103"/>
      <c r="Y433" s="103"/>
      <c r="Z433" s="103"/>
    </row>
    <row r="434" ht="49.5" customHeight="1">
      <c r="A434" s="103"/>
      <c r="B434" s="167"/>
      <c r="C434" s="169"/>
      <c r="D434" s="168"/>
      <c r="E434" s="120"/>
      <c r="F434" s="95"/>
      <c r="G434" s="95"/>
      <c r="H434" s="94"/>
      <c r="I434" s="94"/>
      <c r="J434" s="95"/>
      <c r="K434" s="96"/>
      <c r="L434" s="97">
        <f t="shared" si="120"/>
        <v>0</v>
      </c>
      <c r="M434" s="156">
        <f t="shared" si="84"/>
        <v>0</v>
      </c>
      <c r="N434" s="156">
        <f t="shared" si="109"/>
        <v>0</v>
      </c>
      <c r="O434" s="156">
        <f t="shared" si="85"/>
        <v>0</v>
      </c>
      <c r="P434" s="95"/>
      <c r="Q434" s="90"/>
      <c r="R434" s="138"/>
      <c r="S434" s="159"/>
      <c r="T434" s="102" t="str">
        <f t="shared" si="8"/>
        <v/>
      </c>
      <c r="U434" s="139"/>
      <c r="V434" s="139"/>
      <c r="W434" s="103"/>
      <c r="X434" s="103"/>
      <c r="Y434" s="103"/>
      <c r="Z434" s="103"/>
    </row>
    <row r="435" ht="49.5" customHeight="1">
      <c r="A435" s="103"/>
      <c r="B435" s="167"/>
      <c r="C435" s="169"/>
      <c r="D435" s="168"/>
      <c r="E435" s="120"/>
      <c r="F435" s="95"/>
      <c r="G435" s="95"/>
      <c r="H435" s="94"/>
      <c r="I435" s="94"/>
      <c r="J435" s="95"/>
      <c r="K435" s="96"/>
      <c r="L435" s="97">
        <f t="shared" si="120"/>
        <v>0</v>
      </c>
      <c r="M435" s="156">
        <f t="shared" si="84"/>
        <v>0</v>
      </c>
      <c r="N435" s="156">
        <f t="shared" si="109"/>
        <v>0</v>
      </c>
      <c r="O435" s="156">
        <f t="shared" si="85"/>
        <v>0</v>
      </c>
      <c r="P435" s="95"/>
      <c r="Q435" s="90"/>
      <c r="R435" s="138"/>
      <c r="S435" s="159"/>
      <c r="T435" s="102" t="str">
        <f t="shared" si="8"/>
        <v/>
      </c>
      <c r="U435" s="139"/>
      <c r="V435" s="139"/>
      <c r="W435" s="103"/>
      <c r="X435" s="103"/>
      <c r="Y435" s="103"/>
      <c r="Z435" s="103"/>
    </row>
    <row r="436" ht="49.5" customHeight="1">
      <c r="A436" s="103"/>
      <c r="B436" s="167"/>
      <c r="C436" s="169"/>
      <c r="D436" s="168"/>
      <c r="E436" s="120"/>
      <c r="F436" s="95"/>
      <c r="G436" s="95"/>
      <c r="H436" s="94"/>
      <c r="I436" s="94"/>
      <c r="J436" s="95"/>
      <c r="K436" s="96"/>
      <c r="L436" s="97">
        <f t="shared" si="120"/>
        <v>0</v>
      </c>
      <c r="M436" s="156">
        <f t="shared" si="84"/>
        <v>0</v>
      </c>
      <c r="N436" s="156">
        <f t="shared" si="109"/>
        <v>0</v>
      </c>
      <c r="O436" s="156">
        <f t="shared" si="85"/>
        <v>0</v>
      </c>
      <c r="P436" s="95"/>
      <c r="Q436" s="90"/>
      <c r="R436" s="138"/>
      <c r="S436" s="159"/>
      <c r="T436" s="102" t="str">
        <f t="shared" si="8"/>
        <v/>
      </c>
      <c r="U436" s="139"/>
      <c r="V436" s="139"/>
      <c r="W436" s="103"/>
      <c r="X436" s="103"/>
      <c r="Y436" s="103"/>
      <c r="Z436" s="103"/>
    </row>
    <row r="437" ht="49.5" customHeight="1">
      <c r="A437" s="103"/>
      <c r="B437" s="167"/>
      <c r="C437" s="169"/>
      <c r="D437" s="168"/>
      <c r="E437" s="120"/>
      <c r="F437" s="95"/>
      <c r="G437" s="95"/>
      <c r="H437" s="94"/>
      <c r="I437" s="94"/>
      <c r="J437" s="95"/>
      <c r="K437" s="96"/>
      <c r="L437" s="97"/>
      <c r="M437" s="156">
        <f t="shared" si="84"/>
        <v>0</v>
      </c>
      <c r="N437" s="156">
        <f t="shared" si="109"/>
        <v>0</v>
      </c>
      <c r="O437" s="156">
        <f t="shared" si="85"/>
        <v>0</v>
      </c>
      <c r="P437" s="95"/>
      <c r="Q437" s="90"/>
      <c r="R437" s="138"/>
      <c r="S437" s="159"/>
      <c r="T437" s="102" t="str">
        <f t="shared" si="8"/>
        <v/>
      </c>
      <c r="U437" s="139"/>
      <c r="V437" s="139"/>
      <c r="W437" s="103"/>
      <c r="X437" s="103"/>
      <c r="Y437" s="103"/>
      <c r="Z437" s="103"/>
    </row>
    <row r="438" ht="49.5" customHeight="1">
      <c r="A438" s="103"/>
      <c r="B438" s="167"/>
      <c r="C438" s="169"/>
      <c r="D438" s="168"/>
      <c r="E438" s="120"/>
      <c r="F438" s="95"/>
      <c r="G438" s="95"/>
      <c r="H438" s="94"/>
      <c r="I438" s="94"/>
      <c r="J438" s="95"/>
      <c r="K438" s="96"/>
      <c r="L438" s="97"/>
      <c r="M438" s="156">
        <f t="shared" si="84"/>
        <v>0</v>
      </c>
      <c r="N438" s="156">
        <f t="shared" si="109"/>
        <v>0</v>
      </c>
      <c r="O438" s="156">
        <f t="shared" si="85"/>
        <v>0</v>
      </c>
      <c r="P438" s="95"/>
      <c r="Q438" s="90"/>
      <c r="R438" s="138"/>
      <c r="S438" s="159"/>
      <c r="T438" s="102" t="str">
        <f t="shared" si="8"/>
        <v/>
      </c>
      <c r="U438" s="139"/>
      <c r="V438" s="139"/>
      <c r="W438" s="103"/>
      <c r="X438" s="103"/>
      <c r="Y438" s="103"/>
      <c r="Z438" s="103"/>
    </row>
    <row r="439" ht="49.5" customHeight="1">
      <c r="A439" s="103"/>
      <c r="B439" s="167"/>
      <c r="C439" s="169"/>
      <c r="D439" s="168"/>
      <c r="E439" s="120"/>
      <c r="F439" s="95"/>
      <c r="G439" s="95"/>
      <c r="H439" s="94"/>
      <c r="I439" s="94"/>
      <c r="J439" s="95"/>
      <c r="K439" s="96"/>
      <c r="L439" s="97"/>
      <c r="M439" s="156">
        <f t="shared" si="84"/>
        <v>0</v>
      </c>
      <c r="N439" s="156">
        <f t="shared" si="109"/>
        <v>0</v>
      </c>
      <c r="O439" s="156">
        <f t="shared" si="85"/>
        <v>0</v>
      </c>
      <c r="P439" s="95"/>
      <c r="Q439" s="90"/>
      <c r="R439" s="138"/>
      <c r="S439" s="159"/>
      <c r="T439" s="102" t="str">
        <f t="shared" si="8"/>
        <v/>
      </c>
      <c r="U439" s="139"/>
      <c r="V439" s="139"/>
      <c r="W439" s="103"/>
      <c r="X439" s="103"/>
      <c r="Y439" s="103"/>
      <c r="Z439" s="103"/>
    </row>
    <row r="440" ht="49.5" customHeight="1">
      <c r="A440" s="103"/>
      <c r="B440" s="167"/>
      <c r="C440" s="169"/>
      <c r="D440" s="168"/>
      <c r="E440" s="120"/>
      <c r="F440" s="95"/>
      <c r="G440" s="95"/>
      <c r="H440" s="94"/>
      <c r="I440" s="94"/>
      <c r="J440" s="95"/>
      <c r="K440" s="96"/>
      <c r="L440" s="97">
        <f t="shared" ref="L440:L445" si="121">K440*5.8%</f>
        <v>0</v>
      </c>
      <c r="M440" s="156">
        <f t="shared" si="84"/>
        <v>0</v>
      </c>
      <c r="N440" s="156">
        <f t="shared" si="109"/>
        <v>0</v>
      </c>
      <c r="O440" s="156">
        <f t="shared" si="85"/>
        <v>0</v>
      </c>
      <c r="P440" s="95"/>
      <c r="Q440" s="90"/>
      <c r="R440" s="138"/>
      <c r="S440" s="159"/>
      <c r="T440" s="102" t="str">
        <f t="shared" si="8"/>
        <v/>
      </c>
      <c r="U440" s="139"/>
      <c r="V440" s="139"/>
      <c r="W440" s="103"/>
      <c r="X440" s="103"/>
      <c r="Y440" s="103"/>
      <c r="Z440" s="103"/>
    </row>
    <row r="441" ht="49.5" customHeight="1">
      <c r="A441" s="103"/>
      <c r="B441" s="167"/>
      <c r="C441" s="169"/>
      <c r="D441" s="168"/>
      <c r="E441" s="120"/>
      <c r="F441" s="95"/>
      <c r="G441" s="95"/>
      <c r="H441" s="94"/>
      <c r="I441" s="94"/>
      <c r="J441" s="95"/>
      <c r="K441" s="96"/>
      <c r="L441" s="97">
        <f t="shared" si="121"/>
        <v>0</v>
      </c>
      <c r="M441" s="156">
        <f t="shared" si="84"/>
        <v>0</v>
      </c>
      <c r="N441" s="156">
        <f t="shared" si="109"/>
        <v>0</v>
      </c>
      <c r="O441" s="156">
        <f t="shared" si="85"/>
        <v>0</v>
      </c>
      <c r="P441" s="95"/>
      <c r="Q441" s="90"/>
      <c r="R441" s="138"/>
      <c r="S441" s="159"/>
      <c r="T441" s="102" t="str">
        <f t="shared" si="8"/>
        <v/>
      </c>
      <c r="U441" s="139"/>
      <c r="V441" s="139"/>
      <c r="W441" s="103"/>
      <c r="X441" s="103"/>
      <c r="Y441" s="103"/>
      <c r="Z441" s="103"/>
    </row>
    <row r="442" ht="49.5" customHeight="1">
      <c r="A442" s="103"/>
      <c r="B442" s="167"/>
      <c r="C442" s="169"/>
      <c r="D442" s="168"/>
      <c r="E442" s="120"/>
      <c r="F442" s="95"/>
      <c r="G442" s="95"/>
      <c r="H442" s="94"/>
      <c r="I442" s="94"/>
      <c r="J442" s="95"/>
      <c r="K442" s="96"/>
      <c r="L442" s="97">
        <f t="shared" si="121"/>
        <v>0</v>
      </c>
      <c r="M442" s="156">
        <f t="shared" si="84"/>
        <v>0</v>
      </c>
      <c r="N442" s="156">
        <f t="shared" si="109"/>
        <v>0</v>
      </c>
      <c r="O442" s="156">
        <f t="shared" si="85"/>
        <v>0</v>
      </c>
      <c r="P442" s="95"/>
      <c r="Q442" s="90"/>
      <c r="R442" s="138"/>
      <c r="S442" s="159"/>
      <c r="T442" s="102" t="str">
        <f t="shared" si="8"/>
        <v/>
      </c>
      <c r="U442" s="139"/>
      <c r="V442" s="139"/>
      <c r="W442" s="103"/>
      <c r="X442" s="103"/>
      <c r="Y442" s="103"/>
      <c r="Z442" s="103"/>
    </row>
    <row r="443" ht="49.5" customHeight="1">
      <c r="A443" s="103"/>
      <c r="B443" s="167"/>
      <c r="C443" s="169"/>
      <c r="D443" s="168"/>
      <c r="E443" s="120"/>
      <c r="F443" s="95"/>
      <c r="G443" s="95"/>
      <c r="H443" s="94"/>
      <c r="I443" s="94"/>
      <c r="J443" s="95"/>
      <c r="K443" s="96"/>
      <c r="L443" s="97">
        <f t="shared" si="121"/>
        <v>0</v>
      </c>
      <c r="M443" s="156">
        <f t="shared" si="84"/>
        <v>0</v>
      </c>
      <c r="N443" s="156">
        <f t="shared" si="109"/>
        <v>0</v>
      </c>
      <c r="O443" s="156">
        <f t="shared" si="85"/>
        <v>0</v>
      </c>
      <c r="P443" s="95"/>
      <c r="Q443" s="90"/>
      <c r="R443" s="138"/>
      <c r="S443" s="159"/>
      <c r="T443" s="102" t="str">
        <f t="shared" si="8"/>
        <v/>
      </c>
      <c r="U443" s="139"/>
      <c r="V443" s="139"/>
      <c r="W443" s="103"/>
      <c r="X443" s="103"/>
      <c r="Y443" s="103"/>
      <c r="Z443" s="103"/>
    </row>
    <row r="444" ht="49.5" customHeight="1">
      <c r="A444" s="103"/>
      <c r="B444" s="167"/>
      <c r="C444" s="169"/>
      <c r="D444" s="168"/>
      <c r="E444" s="120"/>
      <c r="F444" s="95"/>
      <c r="G444" s="95"/>
      <c r="H444" s="94"/>
      <c r="I444" s="94"/>
      <c r="J444" s="95"/>
      <c r="K444" s="96"/>
      <c r="L444" s="97">
        <f t="shared" si="121"/>
        <v>0</v>
      </c>
      <c r="M444" s="156">
        <f t="shared" si="84"/>
        <v>0</v>
      </c>
      <c r="N444" s="156">
        <f t="shared" si="109"/>
        <v>0</v>
      </c>
      <c r="O444" s="156">
        <f t="shared" si="85"/>
        <v>0</v>
      </c>
      <c r="P444" s="95"/>
      <c r="Q444" s="90"/>
      <c r="R444" s="138"/>
      <c r="S444" s="159"/>
      <c r="T444" s="102" t="str">
        <f t="shared" si="8"/>
        <v/>
      </c>
      <c r="U444" s="139"/>
      <c r="V444" s="139"/>
      <c r="W444" s="103"/>
      <c r="X444" s="103"/>
      <c r="Y444" s="103"/>
      <c r="Z444" s="103"/>
    </row>
    <row r="445" ht="49.5" customHeight="1">
      <c r="A445" s="103"/>
      <c r="B445" s="167"/>
      <c r="C445" s="169"/>
      <c r="D445" s="168"/>
      <c r="E445" s="120"/>
      <c r="F445" s="95"/>
      <c r="G445" s="95"/>
      <c r="H445" s="94"/>
      <c r="I445" s="94"/>
      <c r="J445" s="95"/>
      <c r="K445" s="96"/>
      <c r="L445" s="97">
        <f t="shared" si="121"/>
        <v>0</v>
      </c>
      <c r="M445" s="156">
        <f t="shared" si="84"/>
        <v>0</v>
      </c>
      <c r="N445" s="156">
        <f t="shared" si="109"/>
        <v>0</v>
      </c>
      <c r="O445" s="156">
        <f t="shared" si="85"/>
        <v>0</v>
      </c>
      <c r="P445" s="95"/>
      <c r="Q445" s="90"/>
      <c r="R445" s="138"/>
      <c r="S445" s="159"/>
      <c r="T445" s="102" t="str">
        <f t="shared" si="8"/>
        <v/>
      </c>
      <c r="U445" s="139"/>
      <c r="V445" s="139"/>
      <c r="W445" s="103"/>
      <c r="X445" s="103"/>
      <c r="Y445" s="103"/>
      <c r="Z445" s="103"/>
    </row>
    <row r="446" ht="49.5" customHeight="1">
      <c r="A446" s="103"/>
      <c r="B446" s="167"/>
      <c r="C446" s="169"/>
      <c r="D446" s="168"/>
      <c r="E446" s="120"/>
      <c r="F446" s="95"/>
      <c r="G446" s="95"/>
      <c r="H446" s="94"/>
      <c r="I446" s="94"/>
      <c r="J446" s="95"/>
      <c r="K446" s="96"/>
      <c r="L446" s="97">
        <f t="shared" ref="L446:L451" si="122">K446*6%</f>
        <v>0</v>
      </c>
      <c r="M446" s="156">
        <f t="shared" si="84"/>
        <v>0</v>
      </c>
      <c r="N446" s="156">
        <f t="shared" si="109"/>
        <v>0</v>
      </c>
      <c r="O446" s="156">
        <f t="shared" si="85"/>
        <v>0</v>
      </c>
      <c r="P446" s="95"/>
      <c r="Q446" s="90"/>
      <c r="R446" s="138"/>
      <c r="S446" s="159"/>
      <c r="T446" s="102" t="str">
        <f t="shared" si="8"/>
        <v/>
      </c>
      <c r="U446" s="139"/>
      <c r="V446" s="139"/>
      <c r="W446" s="103"/>
      <c r="X446" s="103"/>
      <c r="Y446" s="103"/>
      <c r="Z446" s="103"/>
    </row>
    <row r="447" ht="49.5" customHeight="1">
      <c r="A447" s="103"/>
      <c r="B447" s="167"/>
      <c r="C447" s="169"/>
      <c r="D447" s="168"/>
      <c r="E447" s="120"/>
      <c r="F447" s="95"/>
      <c r="G447" s="95"/>
      <c r="H447" s="94"/>
      <c r="I447" s="94"/>
      <c r="J447" s="95"/>
      <c r="K447" s="96"/>
      <c r="L447" s="97">
        <f t="shared" si="122"/>
        <v>0</v>
      </c>
      <c r="M447" s="156">
        <f t="shared" si="84"/>
        <v>0</v>
      </c>
      <c r="N447" s="156">
        <f t="shared" si="109"/>
        <v>0</v>
      </c>
      <c r="O447" s="156">
        <f t="shared" si="85"/>
        <v>0</v>
      </c>
      <c r="P447" s="95"/>
      <c r="Q447" s="90"/>
      <c r="R447" s="138"/>
      <c r="S447" s="159"/>
      <c r="T447" s="102" t="str">
        <f t="shared" si="8"/>
        <v/>
      </c>
      <c r="U447" s="139"/>
      <c r="V447" s="139"/>
      <c r="W447" s="103"/>
      <c r="X447" s="103"/>
      <c r="Y447" s="103"/>
      <c r="Z447" s="103"/>
    </row>
    <row r="448" ht="49.5" customHeight="1">
      <c r="A448" s="103"/>
      <c r="B448" s="167"/>
      <c r="C448" s="169"/>
      <c r="D448" s="168"/>
      <c r="E448" s="120"/>
      <c r="F448" s="95"/>
      <c r="G448" s="95"/>
      <c r="H448" s="94"/>
      <c r="I448" s="94"/>
      <c r="J448" s="95"/>
      <c r="K448" s="96"/>
      <c r="L448" s="97">
        <f t="shared" si="122"/>
        <v>0</v>
      </c>
      <c r="M448" s="156">
        <f t="shared" si="84"/>
        <v>0</v>
      </c>
      <c r="N448" s="156">
        <f t="shared" si="109"/>
        <v>0</v>
      </c>
      <c r="O448" s="156">
        <f t="shared" si="85"/>
        <v>0</v>
      </c>
      <c r="P448" s="95"/>
      <c r="Q448" s="90"/>
      <c r="R448" s="138"/>
      <c r="S448" s="159"/>
      <c r="T448" s="102" t="str">
        <f t="shared" si="8"/>
        <v/>
      </c>
      <c r="U448" s="139"/>
      <c r="V448" s="139"/>
      <c r="W448" s="103"/>
      <c r="X448" s="103"/>
      <c r="Y448" s="103"/>
      <c r="Z448" s="103"/>
    </row>
    <row r="449" ht="49.5" customHeight="1">
      <c r="A449" s="103"/>
      <c r="B449" s="167"/>
      <c r="C449" s="169"/>
      <c r="D449" s="168"/>
      <c r="E449" s="120"/>
      <c r="F449" s="95"/>
      <c r="G449" s="95"/>
      <c r="H449" s="94"/>
      <c r="I449" s="94"/>
      <c r="J449" s="95"/>
      <c r="K449" s="96"/>
      <c r="L449" s="97">
        <f t="shared" si="122"/>
        <v>0</v>
      </c>
      <c r="M449" s="156">
        <f t="shared" si="84"/>
        <v>0</v>
      </c>
      <c r="N449" s="156">
        <f t="shared" si="109"/>
        <v>0</v>
      </c>
      <c r="O449" s="156">
        <f t="shared" si="85"/>
        <v>0</v>
      </c>
      <c r="P449" s="95"/>
      <c r="Q449" s="90"/>
      <c r="R449" s="138"/>
      <c r="S449" s="159"/>
      <c r="T449" s="102" t="str">
        <f t="shared" si="8"/>
        <v/>
      </c>
      <c r="U449" s="139"/>
      <c r="V449" s="139"/>
      <c r="W449" s="103"/>
      <c r="X449" s="103"/>
      <c r="Y449" s="103"/>
      <c r="Z449" s="103"/>
    </row>
    <row r="450" ht="49.5" customHeight="1">
      <c r="A450" s="103"/>
      <c r="B450" s="167"/>
      <c r="C450" s="169"/>
      <c r="D450" s="168"/>
      <c r="E450" s="120"/>
      <c r="F450" s="95"/>
      <c r="G450" s="95"/>
      <c r="H450" s="94"/>
      <c r="I450" s="94"/>
      <c r="J450" s="95"/>
      <c r="K450" s="96"/>
      <c r="L450" s="97">
        <f t="shared" si="122"/>
        <v>0</v>
      </c>
      <c r="M450" s="156">
        <f t="shared" si="84"/>
        <v>0</v>
      </c>
      <c r="N450" s="156">
        <f t="shared" si="109"/>
        <v>0</v>
      </c>
      <c r="O450" s="156">
        <f t="shared" si="85"/>
        <v>0</v>
      </c>
      <c r="P450" s="95"/>
      <c r="Q450" s="90"/>
      <c r="R450" s="138"/>
      <c r="S450" s="159"/>
      <c r="T450" s="102" t="str">
        <f t="shared" si="8"/>
        <v/>
      </c>
      <c r="U450" s="139"/>
      <c r="V450" s="139"/>
      <c r="W450" s="103"/>
      <c r="X450" s="103"/>
      <c r="Y450" s="103"/>
      <c r="Z450" s="103"/>
    </row>
    <row r="451" ht="49.5" customHeight="1">
      <c r="A451" s="103"/>
      <c r="B451" s="167"/>
      <c r="C451" s="169"/>
      <c r="D451" s="168"/>
      <c r="E451" s="120"/>
      <c r="F451" s="95"/>
      <c r="G451" s="95"/>
      <c r="H451" s="94"/>
      <c r="I451" s="94"/>
      <c r="J451" s="95"/>
      <c r="K451" s="96"/>
      <c r="L451" s="97">
        <f t="shared" si="122"/>
        <v>0</v>
      </c>
      <c r="M451" s="156">
        <f t="shared" si="84"/>
        <v>0</v>
      </c>
      <c r="N451" s="156">
        <f t="shared" si="109"/>
        <v>0</v>
      </c>
      <c r="O451" s="156">
        <f t="shared" si="85"/>
        <v>0</v>
      </c>
      <c r="P451" s="95"/>
      <c r="Q451" s="90"/>
      <c r="R451" s="138"/>
      <c r="S451" s="159"/>
      <c r="T451" s="102" t="str">
        <f t="shared" si="8"/>
        <v/>
      </c>
      <c r="U451" s="139"/>
      <c r="V451" s="139"/>
      <c r="W451" s="103"/>
      <c r="X451" s="103"/>
      <c r="Y451" s="103"/>
      <c r="Z451" s="103"/>
    </row>
    <row r="452" ht="49.5" customHeight="1">
      <c r="A452" s="103"/>
      <c r="B452" s="167"/>
      <c r="C452" s="169"/>
      <c r="D452" s="168"/>
      <c r="E452" s="120"/>
      <c r="F452" s="95"/>
      <c r="G452" s="95"/>
      <c r="H452" s="94"/>
      <c r="I452" s="94"/>
      <c r="J452" s="95"/>
      <c r="K452" s="96"/>
      <c r="L452" s="97">
        <f>K452*6.3%</f>
        <v>0</v>
      </c>
      <c r="M452" s="156">
        <f t="shared" si="84"/>
        <v>0</v>
      </c>
      <c r="N452" s="156">
        <f t="shared" si="109"/>
        <v>0</v>
      </c>
      <c r="O452" s="156">
        <f t="shared" si="85"/>
        <v>0</v>
      </c>
      <c r="P452" s="95"/>
      <c r="Q452" s="90"/>
      <c r="R452" s="138"/>
      <c r="S452" s="159"/>
      <c r="T452" s="102" t="str">
        <f t="shared" si="8"/>
        <v/>
      </c>
      <c r="U452" s="139"/>
      <c r="V452" s="139"/>
      <c r="W452" s="103"/>
      <c r="X452" s="103"/>
      <c r="Y452" s="103"/>
      <c r="Z452" s="103"/>
    </row>
    <row r="453" ht="49.5" customHeight="1">
      <c r="A453" s="103"/>
      <c r="B453" s="167"/>
      <c r="C453" s="169"/>
      <c r="D453" s="168"/>
      <c r="E453" s="120"/>
      <c r="F453" s="95"/>
      <c r="G453" s="95"/>
      <c r="H453" s="94"/>
      <c r="I453" s="94"/>
      <c r="J453" s="95"/>
      <c r="K453" s="96"/>
      <c r="L453" s="97">
        <f>K453*5.8%</f>
        <v>0</v>
      </c>
      <c r="M453" s="156">
        <f t="shared" si="84"/>
        <v>0</v>
      </c>
      <c r="N453" s="156">
        <f t="shared" si="109"/>
        <v>0</v>
      </c>
      <c r="O453" s="156">
        <f t="shared" si="85"/>
        <v>0</v>
      </c>
      <c r="P453" s="95"/>
      <c r="Q453" s="90"/>
      <c r="R453" s="138"/>
      <c r="S453" s="159"/>
      <c r="T453" s="102" t="str">
        <f t="shared" si="8"/>
        <v/>
      </c>
      <c r="U453" s="139"/>
      <c r="V453" s="139"/>
      <c r="W453" s="103"/>
      <c r="X453" s="103"/>
      <c r="Y453" s="103"/>
      <c r="Z453" s="103"/>
    </row>
    <row r="454" ht="49.5" customHeight="1">
      <c r="A454" s="103"/>
      <c r="B454" s="167"/>
      <c r="C454" s="169"/>
      <c r="D454" s="168"/>
      <c r="E454" s="120"/>
      <c r="F454" s="95"/>
      <c r="G454" s="95"/>
      <c r="H454" s="94"/>
      <c r="I454" s="94"/>
      <c r="J454" s="95"/>
      <c r="K454" s="96"/>
      <c r="L454" s="97">
        <f>K454*5.5%</f>
        <v>0</v>
      </c>
      <c r="M454" s="156">
        <f t="shared" si="84"/>
        <v>0</v>
      </c>
      <c r="N454" s="156">
        <f t="shared" si="109"/>
        <v>0</v>
      </c>
      <c r="O454" s="156">
        <f t="shared" si="85"/>
        <v>0</v>
      </c>
      <c r="P454" s="95"/>
      <c r="Q454" s="90"/>
      <c r="R454" s="138"/>
      <c r="S454" s="159"/>
      <c r="T454" s="102" t="str">
        <f t="shared" si="8"/>
        <v/>
      </c>
      <c r="U454" s="139"/>
      <c r="V454" s="139"/>
      <c r="W454" s="103"/>
      <c r="X454" s="103"/>
      <c r="Y454" s="103"/>
      <c r="Z454" s="103"/>
    </row>
    <row r="455" ht="49.5" customHeight="1">
      <c r="A455" s="103"/>
      <c r="B455" s="167"/>
      <c r="C455" s="169"/>
      <c r="D455" s="168"/>
      <c r="E455" s="120"/>
      <c r="F455" s="95"/>
      <c r="G455" s="95"/>
      <c r="H455" s="94"/>
      <c r="I455" s="94"/>
      <c r="J455" s="95"/>
      <c r="K455" s="96"/>
      <c r="L455" s="97">
        <f t="shared" ref="L455:L456" si="123">K455*5.8%</f>
        <v>0</v>
      </c>
      <c r="M455" s="156">
        <f t="shared" si="84"/>
        <v>0</v>
      </c>
      <c r="N455" s="156">
        <f t="shared" si="109"/>
        <v>0</v>
      </c>
      <c r="O455" s="156">
        <f t="shared" si="85"/>
        <v>0</v>
      </c>
      <c r="P455" s="95"/>
      <c r="Q455" s="90"/>
      <c r="R455" s="139"/>
      <c r="S455" s="132"/>
      <c r="T455" s="102" t="str">
        <f t="shared" si="8"/>
        <v/>
      </c>
      <c r="U455" s="139"/>
      <c r="V455" s="139"/>
      <c r="W455" s="103"/>
      <c r="X455" s="103"/>
      <c r="Y455" s="103"/>
      <c r="Z455" s="103"/>
    </row>
    <row r="456" ht="49.5" customHeight="1">
      <c r="A456" s="103"/>
      <c r="B456" s="167"/>
      <c r="C456" s="169"/>
      <c r="D456" s="168"/>
      <c r="E456" s="120"/>
      <c r="F456" s="95"/>
      <c r="G456" s="95"/>
      <c r="H456" s="94"/>
      <c r="I456" s="94"/>
      <c r="J456" s="95"/>
      <c r="K456" s="96"/>
      <c r="L456" s="97">
        <f t="shared" si="123"/>
        <v>0</v>
      </c>
      <c r="M456" s="156">
        <f t="shared" si="84"/>
        <v>0</v>
      </c>
      <c r="N456" s="156">
        <f t="shared" si="109"/>
        <v>0</v>
      </c>
      <c r="O456" s="156">
        <f t="shared" si="85"/>
        <v>0</v>
      </c>
      <c r="P456" s="95"/>
      <c r="Q456" s="90"/>
      <c r="R456" s="139"/>
      <c r="S456" s="132"/>
      <c r="T456" s="102" t="str">
        <f t="shared" si="8"/>
        <v/>
      </c>
      <c r="U456" s="139"/>
      <c r="V456" s="139"/>
      <c r="W456" s="103"/>
      <c r="X456" s="103"/>
      <c r="Y456" s="103"/>
      <c r="Z456" s="103"/>
    </row>
    <row r="457" ht="49.5" customHeight="1">
      <c r="A457" s="103"/>
      <c r="B457" s="167"/>
      <c r="C457" s="169"/>
      <c r="D457" s="168"/>
      <c r="E457" s="120"/>
      <c r="F457" s="95"/>
      <c r="G457" s="95"/>
      <c r="H457" s="94"/>
      <c r="I457" s="94"/>
      <c r="J457" s="95"/>
      <c r="K457" s="96"/>
      <c r="L457" s="97">
        <f>K457*6.3%</f>
        <v>0</v>
      </c>
      <c r="M457" s="156">
        <f t="shared" si="84"/>
        <v>0</v>
      </c>
      <c r="N457" s="156">
        <f t="shared" si="109"/>
        <v>0</v>
      </c>
      <c r="O457" s="156">
        <f t="shared" si="85"/>
        <v>0</v>
      </c>
      <c r="P457" s="95"/>
      <c r="Q457" s="90"/>
      <c r="R457" s="139"/>
      <c r="S457" s="132"/>
      <c r="T457" s="102" t="str">
        <f t="shared" si="8"/>
        <v/>
      </c>
      <c r="U457" s="139"/>
      <c r="V457" s="139"/>
      <c r="W457" s="103"/>
      <c r="X457" s="103"/>
      <c r="Y457" s="103"/>
      <c r="Z457" s="103"/>
    </row>
    <row r="458" ht="49.5" customHeight="1">
      <c r="A458" s="103"/>
      <c r="B458" s="167"/>
      <c r="C458" s="169"/>
      <c r="D458" s="168"/>
      <c r="E458" s="90"/>
      <c r="F458" s="95"/>
      <c r="G458" s="95"/>
      <c r="H458" s="94"/>
      <c r="I458" s="94"/>
      <c r="J458" s="95"/>
      <c r="K458" s="96"/>
      <c r="L458" s="97"/>
      <c r="M458" s="156">
        <f t="shared" si="84"/>
        <v>0</v>
      </c>
      <c r="N458" s="156">
        <f t="shared" si="109"/>
        <v>0</v>
      </c>
      <c r="O458" s="156">
        <f t="shared" si="85"/>
        <v>0</v>
      </c>
      <c r="P458" s="95"/>
      <c r="Q458" s="90"/>
      <c r="R458" s="139"/>
      <c r="S458" s="132"/>
      <c r="T458" s="102" t="str">
        <f t="shared" si="8"/>
        <v/>
      </c>
      <c r="U458" s="139"/>
      <c r="V458" s="139"/>
      <c r="W458" s="103"/>
      <c r="X458" s="103"/>
      <c r="Y458" s="103"/>
      <c r="Z458" s="103"/>
    </row>
    <row r="459" ht="49.5" customHeight="1">
      <c r="A459" s="103"/>
      <c r="B459" s="167"/>
      <c r="C459" s="169"/>
      <c r="D459" s="168"/>
      <c r="E459" s="90"/>
      <c r="F459" s="95"/>
      <c r="G459" s="95"/>
      <c r="H459" s="94"/>
      <c r="I459" s="94"/>
      <c r="J459" s="95"/>
      <c r="K459" s="96"/>
      <c r="L459" s="97"/>
      <c r="M459" s="156">
        <f t="shared" si="84"/>
        <v>0</v>
      </c>
      <c r="N459" s="156">
        <f t="shared" si="109"/>
        <v>0</v>
      </c>
      <c r="O459" s="156">
        <f t="shared" si="85"/>
        <v>0</v>
      </c>
      <c r="P459" s="95"/>
      <c r="Q459" s="90"/>
      <c r="R459" s="139"/>
      <c r="S459" s="132"/>
      <c r="T459" s="102" t="str">
        <f t="shared" si="8"/>
        <v/>
      </c>
      <c r="U459" s="139"/>
      <c r="V459" s="139"/>
      <c r="W459" s="103"/>
      <c r="X459" s="103"/>
      <c r="Y459" s="103"/>
      <c r="Z459" s="103"/>
    </row>
    <row r="460" ht="49.5" customHeight="1">
      <c r="A460" s="103"/>
      <c r="B460" s="167"/>
      <c r="C460" s="169"/>
      <c r="D460" s="168"/>
      <c r="E460" s="90"/>
      <c r="F460" s="95"/>
      <c r="G460" s="95"/>
      <c r="H460" s="94"/>
      <c r="I460" s="94"/>
      <c r="J460" s="95"/>
      <c r="K460" s="96"/>
      <c r="L460" s="97"/>
      <c r="M460" s="156">
        <f t="shared" si="84"/>
        <v>0</v>
      </c>
      <c r="N460" s="156">
        <f t="shared" si="109"/>
        <v>0</v>
      </c>
      <c r="O460" s="156">
        <f t="shared" si="85"/>
        <v>0</v>
      </c>
      <c r="P460" s="95"/>
      <c r="Q460" s="90"/>
      <c r="R460" s="139"/>
      <c r="S460" s="132"/>
      <c r="T460" s="102" t="str">
        <f t="shared" si="8"/>
        <v/>
      </c>
      <c r="U460" s="139"/>
      <c r="V460" s="139"/>
      <c r="W460" s="103"/>
      <c r="X460" s="103"/>
      <c r="Y460" s="103"/>
      <c r="Z460" s="103"/>
    </row>
    <row r="461" ht="49.5" customHeight="1">
      <c r="A461" s="103"/>
      <c r="B461" s="167"/>
      <c r="C461" s="169"/>
      <c r="D461" s="168"/>
      <c r="E461" s="90"/>
      <c r="F461" s="95"/>
      <c r="G461" s="95"/>
      <c r="H461" s="94"/>
      <c r="I461" s="94"/>
      <c r="J461" s="95"/>
      <c r="K461" s="96"/>
      <c r="L461" s="97"/>
      <c r="M461" s="156">
        <f t="shared" si="84"/>
        <v>0</v>
      </c>
      <c r="N461" s="156">
        <f t="shared" si="109"/>
        <v>0</v>
      </c>
      <c r="O461" s="156">
        <f t="shared" si="85"/>
        <v>0</v>
      </c>
      <c r="P461" s="95"/>
      <c r="Q461" s="90"/>
      <c r="R461" s="139"/>
      <c r="S461" s="132"/>
      <c r="T461" s="102" t="str">
        <f t="shared" si="8"/>
        <v/>
      </c>
      <c r="U461" s="139"/>
      <c r="V461" s="139"/>
      <c r="W461" s="103"/>
      <c r="X461" s="103"/>
      <c r="Y461" s="103"/>
      <c r="Z461" s="103"/>
    </row>
    <row r="462" ht="49.5" customHeight="1">
      <c r="A462" s="103"/>
      <c r="B462" s="167"/>
      <c r="C462" s="169"/>
      <c r="D462" s="168"/>
      <c r="E462" s="90"/>
      <c r="F462" s="95"/>
      <c r="G462" s="95"/>
      <c r="H462" s="94"/>
      <c r="I462" s="94"/>
      <c r="J462" s="95"/>
      <c r="K462" s="96"/>
      <c r="L462" s="97"/>
      <c r="M462" s="156">
        <f t="shared" si="84"/>
        <v>0</v>
      </c>
      <c r="N462" s="156">
        <f t="shared" si="109"/>
        <v>0</v>
      </c>
      <c r="O462" s="156">
        <f t="shared" si="85"/>
        <v>0</v>
      </c>
      <c r="P462" s="95"/>
      <c r="Q462" s="90"/>
      <c r="R462" s="139"/>
      <c r="S462" s="132"/>
      <c r="T462" s="102" t="str">
        <f t="shared" si="8"/>
        <v/>
      </c>
      <c r="U462" s="139"/>
      <c r="V462" s="139"/>
      <c r="W462" s="103"/>
      <c r="X462" s="103"/>
      <c r="Y462" s="103"/>
      <c r="Z462" s="103"/>
    </row>
    <row r="463" ht="15.0" customHeight="1"/>
    <row r="464" ht="15.0" customHeight="1"/>
    <row r="465" ht="15.0" customHeight="1"/>
    <row r="466" ht="15.0" customHeight="1"/>
    <row r="467" ht="15.0" customHeight="1"/>
    <row r="468" ht="15.0" customHeight="1"/>
    <row r="469" ht="15.0" customHeight="1"/>
    <row r="470" ht="15.0" customHeight="1"/>
    <row r="471" ht="15.0" customHeight="1"/>
    <row r="472" ht="15.0" customHeight="1"/>
    <row r="473" ht="15.0" customHeight="1"/>
    <row r="474" ht="15.0" customHeight="1"/>
    <row r="475" ht="15.0" customHeight="1"/>
    <row r="476" ht="15.0" customHeight="1"/>
    <row r="477" ht="15.0" customHeight="1"/>
    <row r="478" ht="15.0" customHeight="1"/>
    <row r="479" ht="15.0" customHeight="1"/>
    <row r="480" ht="15.0" customHeight="1"/>
    <row r="481" ht="15.0" customHeight="1"/>
    <row r="482" ht="15.0" customHeight="1"/>
    <row r="483" ht="15.0" customHeight="1"/>
    <row r="484" ht="15.0" customHeight="1"/>
    <row r="485" ht="15.0" customHeight="1"/>
    <row r="486" ht="15.0" customHeight="1"/>
    <row r="487" ht="15.0" customHeight="1"/>
    <row r="488" ht="15.0" customHeight="1"/>
    <row r="489" ht="15.0" customHeight="1"/>
    <row r="490" ht="15.0" customHeight="1"/>
    <row r="491" ht="15.0" customHeight="1"/>
    <row r="492" ht="15.0" customHeight="1"/>
    <row r="493" ht="15.0" customHeight="1"/>
    <row r="494" ht="15.0" customHeight="1"/>
    <row r="495" ht="15.0" customHeight="1"/>
    <row r="496" ht="15.0" customHeight="1"/>
    <row r="497" ht="15.0" customHeight="1"/>
    <row r="498" ht="15.0" customHeight="1"/>
    <row r="499" ht="15.0" customHeight="1"/>
    <row r="500" ht="15.0" customHeight="1"/>
    <row r="501" ht="15.0" customHeight="1"/>
    <row r="502" ht="15.0" customHeight="1"/>
    <row r="503" ht="15.0" customHeight="1"/>
    <row r="504" ht="15.0" customHeight="1"/>
    <row r="505" ht="15.0" customHeight="1"/>
    <row r="506" ht="15.0" customHeight="1"/>
    <row r="507" ht="15.0" customHeight="1"/>
    <row r="508" ht="15.0" customHeight="1"/>
    <row r="509" ht="15.0" customHeight="1"/>
    <row r="510" ht="15.0" customHeight="1"/>
    <row r="511" ht="15.0" customHeight="1"/>
    <row r="512" ht="15.0" customHeight="1"/>
    <row r="513" ht="15.0" customHeight="1"/>
    <row r="514" ht="15.0" customHeight="1"/>
    <row r="515" ht="15.0" customHeight="1"/>
    <row r="516" ht="15.0" customHeight="1"/>
    <row r="517" ht="15.0" customHeight="1"/>
    <row r="518" ht="15.0" customHeight="1"/>
    <row r="519" ht="15.0" customHeight="1"/>
    <row r="520" ht="15.0" customHeight="1"/>
    <row r="521" ht="15.0" customHeight="1"/>
    <row r="522" ht="15.0" customHeight="1"/>
    <row r="523" ht="15.0" customHeight="1"/>
    <row r="524" ht="15.0" customHeight="1"/>
    <row r="525" ht="15.0" customHeight="1"/>
    <row r="526" ht="15.0" customHeight="1"/>
    <row r="527" ht="15.0" customHeight="1"/>
    <row r="528" ht="15.0" customHeight="1"/>
    <row r="529" ht="15.0" customHeight="1"/>
    <row r="530" ht="15.0" customHeight="1"/>
    <row r="531" ht="15.0" customHeight="1"/>
    <row r="532" ht="15.0" customHeight="1"/>
    <row r="533" ht="15.0" customHeight="1"/>
    <row r="534" ht="15.0" customHeight="1"/>
    <row r="535" ht="15.0" customHeight="1"/>
    <row r="536" ht="15.0" customHeight="1"/>
    <row r="537" ht="15.0" customHeight="1"/>
    <row r="538" ht="15.0" customHeight="1"/>
    <row r="539" ht="15.0" customHeight="1"/>
    <row r="540" ht="15.0" customHeight="1"/>
    <row r="541" ht="15.0" customHeight="1"/>
    <row r="542" ht="15.0" customHeight="1"/>
    <row r="543" ht="15.0" customHeight="1"/>
    <row r="544" ht="15.0" customHeight="1"/>
    <row r="545" ht="15.0" customHeight="1"/>
    <row r="546" ht="15.0" customHeight="1"/>
    <row r="547" ht="15.0" customHeight="1"/>
    <row r="548" ht="15.0" customHeight="1"/>
    <row r="549" ht="15.0" customHeight="1"/>
    <row r="550" ht="15.0" customHeight="1"/>
    <row r="551" ht="15.0" customHeight="1"/>
    <row r="552" ht="15.0" customHeight="1"/>
    <row r="553" ht="15.0" customHeight="1"/>
    <row r="554" ht="15.0" customHeight="1"/>
    <row r="555" ht="15.0" customHeight="1"/>
    <row r="556" ht="15.0" customHeight="1"/>
    <row r="557" ht="15.0" customHeight="1"/>
    <row r="558" ht="15.0" customHeight="1"/>
    <row r="559" ht="15.0" customHeight="1"/>
    <row r="560" ht="15.0" customHeight="1"/>
    <row r="561" ht="15.0" customHeight="1"/>
    <row r="562" ht="15.0" customHeight="1"/>
    <row r="563" ht="15.0" customHeight="1"/>
    <row r="564" ht="15.0" customHeight="1"/>
    <row r="565" ht="15.0" customHeight="1"/>
    <row r="566" ht="15.0" customHeight="1"/>
    <row r="567" ht="15.0" customHeight="1"/>
    <row r="568" ht="15.0" customHeight="1"/>
    <row r="569" ht="15.0" customHeight="1"/>
    <row r="570" ht="15.0" customHeight="1"/>
    <row r="571" ht="15.0" customHeight="1"/>
    <row r="572" ht="15.0" customHeight="1"/>
    <row r="573" ht="15.0" customHeight="1"/>
    <row r="574" ht="15.0" customHeight="1"/>
    <row r="575" ht="15.0" customHeight="1"/>
    <row r="576" ht="15.0" customHeight="1"/>
    <row r="577" ht="12.0" customHeight="1">
      <c r="A577" s="43"/>
      <c r="F577" s="13"/>
      <c r="K577" s="46"/>
    </row>
    <row r="578" ht="12.0" customHeight="1">
      <c r="A578" s="43"/>
      <c r="F578" s="13"/>
      <c r="K578" s="46"/>
    </row>
    <row r="579" ht="12.0" customHeight="1">
      <c r="A579" s="43"/>
      <c r="F579" s="13"/>
      <c r="K579" s="46"/>
    </row>
    <row r="580" ht="12.0" customHeight="1">
      <c r="A580" s="43"/>
      <c r="F580" s="13"/>
      <c r="K580" s="46"/>
    </row>
    <row r="581" ht="12.0" customHeight="1">
      <c r="A581" s="43"/>
      <c r="F581" s="13"/>
      <c r="K581" s="46"/>
    </row>
    <row r="582" ht="12.0" customHeight="1">
      <c r="A582" s="43"/>
      <c r="F582" s="13"/>
      <c r="K582" s="46"/>
    </row>
    <row r="583" ht="12.0" customHeight="1">
      <c r="A583" s="43"/>
      <c r="F583" s="13"/>
      <c r="K583" s="46"/>
    </row>
    <row r="584" ht="12.0" customHeight="1">
      <c r="A584" s="43"/>
      <c r="F584" s="13"/>
      <c r="K584" s="46"/>
    </row>
    <row r="585" ht="12.0" customHeight="1">
      <c r="A585" s="43"/>
      <c r="F585" s="13"/>
      <c r="K585" s="46"/>
    </row>
    <row r="586" ht="12.0" customHeight="1">
      <c r="A586" s="43"/>
      <c r="F586" s="13"/>
      <c r="K586" s="46"/>
    </row>
    <row r="587" ht="12.0" customHeight="1">
      <c r="A587" s="43"/>
      <c r="F587" s="13"/>
      <c r="K587" s="46"/>
    </row>
    <row r="588" ht="12.0" customHeight="1">
      <c r="A588" s="43"/>
      <c r="F588" s="13"/>
      <c r="K588" s="46"/>
    </row>
    <row r="589" ht="12.0" customHeight="1">
      <c r="A589" s="43"/>
      <c r="F589" s="13"/>
      <c r="K589" s="46"/>
    </row>
    <row r="590" ht="12.0" customHeight="1">
      <c r="A590" s="43"/>
      <c r="F590" s="13"/>
      <c r="K590" s="46"/>
    </row>
    <row r="591" ht="12.0" customHeight="1">
      <c r="A591" s="43"/>
      <c r="F591" s="13"/>
      <c r="K591" s="46"/>
    </row>
    <row r="592" ht="12.0" customHeight="1">
      <c r="A592" s="43"/>
      <c r="F592" s="13"/>
      <c r="K592" s="46"/>
    </row>
    <row r="593" ht="12.0" customHeight="1">
      <c r="A593" s="43"/>
      <c r="F593" s="13"/>
      <c r="K593" s="46"/>
    </row>
    <row r="594" ht="12.0" customHeight="1">
      <c r="A594" s="43"/>
      <c r="F594" s="13"/>
      <c r="K594" s="46"/>
    </row>
    <row r="595" ht="12.0" customHeight="1">
      <c r="A595" s="43"/>
      <c r="F595" s="13"/>
      <c r="K595" s="46"/>
    </row>
    <row r="596" ht="12.0" customHeight="1">
      <c r="A596" s="43"/>
      <c r="F596" s="13"/>
      <c r="K596" s="46"/>
    </row>
    <row r="597" ht="12.0" customHeight="1">
      <c r="A597" s="43"/>
      <c r="F597" s="13"/>
      <c r="K597" s="46"/>
    </row>
    <row r="598" ht="12.0" customHeight="1">
      <c r="A598" s="43"/>
      <c r="F598" s="13"/>
      <c r="K598" s="46"/>
    </row>
    <row r="599" ht="12.0" customHeight="1">
      <c r="A599" s="43"/>
      <c r="F599" s="13"/>
      <c r="K599" s="46"/>
    </row>
    <row r="600" ht="12.0" customHeight="1">
      <c r="A600" s="43"/>
      <c r="F600" s="13"/>
      <c r="K600" s="46"/>
    </row>
    <row r="601" ht="12.0" customHeight="1">
      <c r="A601" s="43"/>
      <c r="F601" s="13"/>
      <c r="K601" s="46"/>
    </row>
    <row r="602" ht="12.0" customHeight="1">
      <c r="A602" s="43"/>
      <c r="F602" s="13"/>
      <c r="K602" s="46"/>
    </row>
    <row r="603" ht="12.0" customHeight="1">
      <c r="A603" s="43"/>
      <c r="F603" s="13"/>
      <c r="K603" s="46"/>
    </row>
    <row r="604" ht="12.0" customHeight="1">
      <c r="A604" s="43"/>
      <c r="F604" s="13"/>
      <c r="K604" s="46"/>
    </row>
    <row r="605" ht="12.0" customHeight="1">
      <c r="A605" s="43"/>
      <c r="F605" s="13"/>
      <c r="K605" s="46"/>
    </row>
    <row r="606" ht="12.0" customHeight="1">
      <c r="A606" s="43"/>
      <c r="F606" s="13"/>
      <c r="K606" s="46"/>
    </row>
    <row r="607" ht="12.0" customHeight="1">
      <c r="A607" s="43"/>
      <c r="F607" s="13"/>
      <c r="K607" s="46"/>
    </row>
    <row r="608" ht="12.0" customHeight="1">
      <c r="A608" s="43"/>
      <c r="F608" s="13"/>
      <c r="K608" s="46"/>
    </row>
    <row r="609" ht="12.0" customHeight="1">
      <c r="A609" s="43"/>
      <c r="F609" s="13"/>
      <c r="K609" s="46"/>
    </row>
    <row r="610" ht="12.0" customHeight="1">
      <c r="A610" s="43"/>
      <c r="F610" s="13"/>
      <c r="K610" s="46"/>
    </row>
    <row r="611" ht="12.0" customHeight="1">
      <c r="A611" s="43"/>
      <c r="F611" s="13"/>
      <c r="K611" s="46"/>
    </row>
    <row r="612" ht="12.0" customHeight="1">
      <c r="A612" s="43"/>
      <c r="F612" s="13"/>
      <c r="K612" s="46"/>
    </row>
    <row r="613" ht="12.0" customHeight="1">
      <c r="A613" s="43"/>
      <c r="F613" s="13"/>
      <c r="K613" s="46"/>
    </row>
    <row r="614" ht="12.0" customHeight="1">
      <c r="A614" s="43"/>
      <c r="F614" s="13"/>
      <c r="K614" s="46"/>
    </row>
    <row r="615" ht="12.0" customHeight="1">
      <c r="A615" s="43"/>
      <c r="F615" s="13"/>
      <c r="K615" s="46"/>
    </row>
    <row r="616" ht="12.0" customHeight="1">
      <c r="A616" s="43"/>
      <c r="F616" s="13"/>
      <c r="K616" s="46"/>
    </row>
    <row r="617" ht="12.0" customHeight="1">
      <c r="A617" s="43"/>
      <c r="F617" s="13"/>
      <c r="K617" s="46"/>
    </row>
    <row r="618" ht="12.0" customHeight="1">
      <c r="A618" s="43"/>
      <c r="F618" s="13"/>
      <c r="K618" s="46"/>
    </row>
    <row r="619" ht="12.0" customHeight="1">
      <c r="A619" s="43"/>
      <c r="F619" s="13"/>
      <c r="K619" s="46"/>
    </row>
    <row r="620" ht="12.0" customHeight="1">
      <c r="A620" s="43"/>
      <c r="F620" s="13"/>
      <c r="K620" s="46"/>
    </row>
    <row r="621" ht="12.0" customHeight="1">
      <c r="A621" s="43"/>
      <c r="F621" s="13"/>
      <c r="K621" s="46"/>
    </row>
    <row r="622" ht="12.0" customHeight="1">
      <c r="A622" s="43"/>
      <c r="F622" s="13"/>
      <c r="K622" s="46"/>
    </row>
    <row r="623" ht="12.0" customHeight="1">
      <c r="A623" s="43"/>
      <c r="F623" s="13"/>
      <c r="K623" s="46"/>
    </row>
    <row r="624" ht="12.0" customHeight="1">
      <c r="A624" s="43"/>
      <c r="F624" s="13"/>
      <c r="K624" s="46"/>
    </row>
    <row r="625" ht="12.0" customHeight="1">
      <c r="A625" s="43"/>
      <c r="F625" s="13"/>
      <c r="K625" s="46"/>
    </row>
    <row r="626" ht="12.0" customHeight="1">
      <c r="A626" s="43"/>
      <c r="F626" s="13"/>
      <c r="K626" s="46"/>
    </row>
    <row r="627" ht="12.0" customHeight="1">
      <c r="A627" s="43"/>
      <c r="F627" s="13"/>
      <c r="K627" s="46"/>
    </row>
    <row r="628" ht="12.0" customHeight="1">
      <c r="A628" s="43"/>
      <c r="F628" s="13"/>
      <c r="K628" s="46"/>
    </row>
    <row r="629" ht="12.0" customHeight="1">
      <c r="A629" s="43"/>
      <c r="F629" s="13"/>
      <c r="K629" s="46"/>
    </row>
    <row r="630" ht="12.0" customHeight="1">
      <c r="A630" s="43"/>
      <c r="F630" s="13"/>
      <c r="K630" s="46"/>
    </row>
    <row r="631" ht="12.0" customHeight="1">
      <c r="A631" s="43"/>
      <c r="F631" s="13"/>
      <c r="K631" s="46"/>
    </row>
    <row r="632" ht="12.0" customHeight="1">
      <c r="A632" s="43"/>
      <c r="F632" s="13"/>
      <c r="K632" s="46"/>
    </row>
    <row r="633" ht="12.0" customHeight="1">
      <c r="A633" s="43"/>
      <c r="F633" s="13"/>
      <c r="K633" s="46"/>
    </row>
    <row r="634" ht="12.0" customHeight="1">
      <c r="A634" s="43"/>
      <c r="F634" s="13"/>
      <c r="K634" s="46"/>
    </row>
    <row r="635" ht="12.0" customHeight="1">
      <c r="A635" s="43"/>
      <c r="F635" s="13"/>
      <c r="K635" s="46"/>
    </row>
    <row r="636" ht="12.0" customHeight="1">
      <c r="A636" s="43"/>
      <c r="F636" s="13"/>
      <c r="K636" s="46"/>
    </row>
    <row r="637" ht="12.0" customHeight="1">
      <c r="A637" s="43"/>
      <c r="F637" s="13"/>
      <c r="K637" s="46"/>
    </row>
    <row r="638" ht="12.0" customHeight="1">
      <c r="A638" s="43"/>
      <c r="F638" s="13"/>
      <c r="K638" s="46"/>
    </row>
    <row r="639" ht="12.0" customHeight="1">
      <c r="A639" s="43"/>
      <c r="F639" s="13"/>
      <c r="K639" s="46"/>
    </row>
    <row r="640" ht="12.0" customHeight="1">
      <c r="A640" s="43"/>
      <c r="F640" s="13"/>
      <c r="K640" s="46"/>
    </row>
    <row r="641" ht="12.0" customHeight="1">
      <c r="A641" s="43"/>
      <c r="F641" s="13"/>
      <c r="K641" s="46"/>
    </row>
    <row r="642" ht="12.0" customHeight="1">
      <c r="A642" s="43"/>
      <c r="F642" s="13"/>
      <c r="K642" s="46"/>
    </row>
    <row r="643" ht="12.0" customHeight="1">
      <c r="A643" s="43"/>
      <c r="F643" s="13"/>
      <c r="K643" s="46"/>
    </row>
    <row r="644" ht="12.0" customHeight="1">
      <c r="A644" s="43"/>
      <c r="F644" s="13"/>
      <c r="K644" s="46"/>
    </row>
    <row r="645" ht="12.0" customHeight="1">
      <c r="A645" s="43"/>
      <c r="F645" s="13"/>
      <c r="K645" s="46"/>
    </row>
    <row r="646" ht="12.0" customHeight="1">
      <c r="A646" s="43"/>
      <c r="F646" s="13"/>
      <c r="K646" s="46"/>
    </row>
    <row r="647" ht="12.0" customHeight="1">
      <c r="A647" s="43"/>
      <c r="F647" s="13"/>
      <c r="K647" s="46"/>
    </row>
    <row r="648" ht="12.0" customHeight="1">
      <c r="A648" s="43"/>
      <c r="F648" s="13"/>
      <c r="K648" s="46"/>
    </row>
    <row r="649" ht="12.0" customHeight="1">
      <c r="A649" s="43"/>
      <c r="F649" s="13"/>
      <c r="K649" s="46"/>
    </row>
    <row r="650" ht="12.0" customHeight="1">
      <c r="A650" s="43"/>
      <c r="F650" s="13"/>
      <c r="K650" s="46"/>
    </row>
    <row r="651" ht="12.0" customHeight="1">
      <c r="A651" s="43"/>
      <c r="F651" s="13"/>
      <c r="K651" s="46"/>
    </row>
    <row r="652" ht="12.0" customHeight="1">
      <c r="A652" s="43"/>
      <c r="F652" s="13"/>
      <c r="K652" s="46"/>
    </row>
    <row r="653" ht="12.0" customHeight="1">
      <c r="A653" s="43"/>
      <c r="F653" s="13"/>
      <c r="K653" s="46"/>
    </row>
    <row r="654" ht="12.0" customHeight="1">
      <c r="A654" s="43"/>
      <c r="F654" s="13"/>
      <c r="K654" s="46"/>
    </row>
    <row r="655" ht="12.0" customHeight="1">
      <c r="A655" s="43"/>
      <c r="F655" s="13"/>
      <c r="K655" s="46"/>
    </row>
    <row r="656" ht="12.0" customHeight="1">
      <c r="A656" s="43"/>
      <c r="F656" s="13"/>
      <c r="K656" s="46"/>
    </row>
    <row r="657" ht="12.0" customHeight="1">
      <c r="A657" s="43"/>
      <c r="F657" s="13"/>
      <c r="K657" s="46"/>
    </row>
    <row r="658" ht="12.0" customHeight="1">
      <c r="A658" s="43"/>
      <c r="F658" s="13"/>
      <c r="K658" s="46"/>
    </row>
    <row r="659" ht="12.0" customHeight="1">
      <c r="A659" s="43"/>
      <c r="F659" s="13"/>
      <c r="K659" s="46"/>
    </row>
    <row r="660" ht="12.0" customHeight="1">
      <c r="A660" s="43"/>
      <c r="F660" s="13"/>
      <c r="K660" s="46"/>
    </row>
    <row r="661" ht="12.0" customHeight="1">
      <c r="A661" s="43"/>
      <c r="F661" s="13"/>
      <c r="K661" s="46"/>
    </row>
    <row r="662" ht="12.0" customHeight="1">
      <c r="A662" s="43"/>
      <c r="F662" s="13"/>
      <c r="K662" s="46"/>
    </row>
    <row r="663" ht="12.0" customHeight="1">
      <c r="A663" s="43"/>
      <c r="F663" s="13"/>
      <c r="K663" s="46"/>
    </row>
    <row r="664" ht="12.0" customHeight="1">
      <c r="A664" s="43"/>
      <c r="F664" s="13"/>
      <c r="K664" s="46"/>
    </row>
    <row r="665" ht="12.0" customHeight="1">
      <c r="A665" s="43"/>
      <c r="F665" s="13"/>
      <c r="K665" s="46"/>
    </row>
    <row r="666" ht="12.0" customHeight="1">
      <c r="A666" s="43"/>
      <c r="F666" s="13"/>
      <c r="K666" s="46"/>
    </row>
    <row r="667" ht="12.0" customHeight="1">
      <c r="A667" s="43"/>
      <c r="F667" s="13"/>
      <c r="K667" s="46"/>
    </row>
    <row r="668" ht="12.0" customHeight="1">
      <c r="A668" s="43"/>
      <c r="F668" s="13"/>
      <c r="K668" s="46"/>
    </row>
    <row r="669" ht="12.0" customHeight="1">
      <c r="A669" s="43"/>
      <c r="F669" s="13"/>
      <c r="K669" s="46"/>
    </row>
    <row r="670" ht="12.0" customHeight="1">
      <c r="A670" s="43"/>
      <c r="F670" s="13"/>
      <c r="K670" s="46"/>
    </row>
    <row r="671" ht="12.0" customHeight="1">
      <c r="A671" s="43"/>
      <c r="F671" s="13"/>
      <c r="K671" s="46"/>
    </row>
    <row r="672" ht="12.0" customHeight="1">
      <c r="A672" s="43"/>
      <c r="F672" s="13"/>
      <c r="K672" s="46"/>
    </row>
    <row r="673" ht="12.0" customHeight="1">
      <c r="A673" s="43"/>
      <c r="F673" s="13"/>
      <c r="K673" s="46"/>
    </row>
    <row r="674" ht="12.0" customHeight="1">
      <c r="A674" s="43"/>
      <c r="F674" s="13"/>
      <c r="K674" s="46"/>
    </row>
    <row r="675" ht="12.0" customHeight="1">
      <c r="A675" s="43"/>
      <c r="F675" s="13"/>
      <c r="K675" s="46"/>
    </row>
    <row r="676" ht="12.0" customHeight="1">
      <c r="A676" s="43"/>
      <c r="F676" s="13"/>
      <c r="K676" s="46"/>
    </row>
    <row r="677" ht="12.0" customHeight="1">
      <c r="A677" s="43"/>
      <c r="F677" s="13"/>
      <c r="K677" s="46"/>
    </row>
    <row r="678" ht="12.0" customHeight="1">
      <c r="A678" s="43"/>
      <c r="F678" s="13"/>
      <c r="K678" s="46"/>
    </row>
    <row r="679" ht="12.0" customHeight="1">
      <c r="A679" s="43"/>
      <c r="F679" s="13"/>
      <c r="K679" s="46"/>
    </row>
    <row r="680" ht="12.0" customHeight="1">
      <c r="A680" s="43"/>
      <c r="F680" s="13"/>
      <c r="K680" s="46"/>
    </row>
    <row r="681" ht="12.0" customHeight="1">
      <c r="A681" s="43"/>
      <c r="F681" s="13"/>
      <c r="K681" s="46"/>
    </row>
    <row r="682" ht="12.0" customHeight="1">
      <c r="A682" s="43"/>
      <c r="F682" s="13"/>
      <c r="K682" s="46"/>
    </row>
    <row r="683" ht="12.0" customHeight="1">
      <c r="A683" s="43"/>
      <c r="F683" s="13"/>
      <c r="K683" s="46"/>
    </row>
    <row r="684" ht="12.0" customHeight="1">
      <c r="A684" s="43"/>
      <c r="F684" s="13"/>
      <c r="K684" s="46"/>
    </row>
    <row r="685" ht="12.0" customHeight="1">
      <c r="A685" s="43"/>
      <c r="F685" s="13"/>
      <c r="K685" s="46"/>
    </row>
    <row r="686" ht="12.0" customHeight="1">
      <c r="A686" s="43"/>
      <c r="F686" s="13"/>
      <c r="K686" s="46"/>
    </row>
    <row r="687" ht="12.0" customHeight="1">
      <c r="A687" s="43"/>
      <c r="F687" s="13"/>
      <c r="K687" s="46"/>
    </row>
    <row r="688" ht="12.0" customHeight="1">
      <c r="A688" s="43"/>
      <c r="F688" s="13"/>
      <c r="K688" s="46"/>
    </row>
    <row r="689" ht="12.0" customHeight="1">
      <c r="A689" s="43"/>
      <c r="F689" s="13"/>
      <c r="K689" s="46"/>
    </row>
    <row r="690" ht="12.0" customHeight="1">
      <c r="A690" s="43"/>
      <c r="F690" s="13"/>
      <c r="K690" s="46"/>
    </row>
    <row r="691" ht="12.0" customHeight="1">
      <c r="A691" s="43"/>
      <c r="F691" s="13"/>
      <c r="K691" s="46"/>
    </row>
    <row r="692" ht="12.0" customHeight="1">
      <c r="A692" s="43"/>
      <c r="F692" s="13"/>
      <c r="K692" s="46"/>
    </row>
    <row r="693" ht="12.0" customHeight="1">
      <c r="A693" s="43"/>
      <c r="F693" s="13"/>
      <c r="K693" s="46"/>
    </row>
    <row r="694" ht="12.0" customHeight="1">
      <c r="A694" s="43"/>
      <c r="F694" s="13"/>
      <c r="K694" s="46"/>
    </row>
    <row r="695" ht="12.0" customHeight="1">
      <c r="A695" s="43"/>
      <c r="F695" s="13"/>
      <c r="K695" s="46"/>
    </row>
    <row r="696" ht="12.0" customHeight="1">
      <c r="A696" s="43"/>
      <c r="F696" s="13"/>
      <c r="K696" s="46"/>
    </row>
    <row r="697" ht="12.0" customHeight="1">
      <c r="A697" s="43"/>
      <c r="F697" s="13"/>
      <c r="K697" s="46"/>
    </row>
    <row r="698" ht="12.0" customHeight="1">
      <c r="A698" s="43"/>
      <c r="F698" s="13"/>
      <c r="K698" s="46"/>
    </row>
    <row r="699" ht="12.0" customHeight="1">
      <c r="A699" s="43"/>
      <c r="F699" s="13"/>
      <c r="K699" s="46"/>
    </row>
    <row r="700" ht="12.0" customHeight="1">
      <c r="A700" s="43"/>
      <c r="F700" s="13"/>
      <c r="K700" s="46"/>
    </row>
    <row r="701" ht="12.0" customHeight="1">
      <c r="A701" s="43"/>
      <c r="F701" s="13"/>
      <c r="K701" s="46"/>
    </row>
    <row r="702" ht="12.0" customHeight="1">
      <c r="A702" s="43"/>
      <c r="F702" s="13"/>
      <c r="K702" s="46"/>
    </row>
    <row r="703" ht="12.0" customHeight="1">
      <c r="A703" s="43"/>
      <c r="F703" s="13"/>
      <c r="K703" s="46"/>
    </row>
    <row r="704" ht="12.0" customHeight="1">
      <c r="A704" s="43"/>
      <c r="F704" s="13"/>
      <c r="K704" s="46"/>
    </row>
    <row r="705" ht="12.0" customHeight="1">
      <c r="A705" s="43"/>
      <c r="F705" s="13"/>
      <c r="K705" s="46"/>
    </row>
    <row r="706" ht="12.0" customHeight="1">
      <c r="A706" s="43"/>
      <c r="F706" s="13"/>
      <c r="K706" s="46"/>
    </row>
    <row r="707" ht="12.0" customHeight="1">
      <c r="A707" s="43"/>
      <c r="F707" s="13"/>
      <c r="K707" s="46"/>
    </row>
    <row r="708" ht="12.0" customHeight="1">
      <c r="A708" s="43"/>
      <c r="F708" s="13"/>
      <c r="K708" s="46"/>
    </row>
    <row r="709" ht="12.0" customHeight="1">
      <c r="A709" s="43"/>
      <c r="F709" s="13"/>
      <c r="K709" s="46"/>
    </row>
    <row r="710" ht="12.0" customHeight="1">
      <c r="A710" s="43"/>
      <c r="F710" s="13"/>
      <c r="K710" s="46"/>
    </row>
    <row r="711" ht="12.0" customHeight="1">
      <c r="A711" s="43"/>
      <c r="F711" s="13"/>
      <c r="K711" s="46"/>
    </row>
    <row r="712" ht="12.0" customHeight="1">
      <c r="A712" s="43"/>
      <c r="F712" s="13"/>
      <c r="K712" s="46"/>
    </row>
    <row r="713" ht="12.0" customHeight="1">
      <c r="A713" s="43"/>
      <c r="F713" s="13"/>
      <c r="K713" s="46"/>
    </row>
    <row r="714" ht="12.0" customHeight="1">
      <c r="A714" s="43"/>
      <c r="F714" s="13"/>
      <c r="K714" s="46"/>
    </row>
    <row r="715" ht="12.0" customHeight="1">
      <c r="A715" s="43"/>
      <c r="F715" s="13"/>
      <c r="K715" s="46"/>
    </row>
    <row r="716" ht="12.0" customHeight="1">
      <c r="A716" s="43"/>
      <c r="F716" s="13"/>
      <c r="K716" s="46"/>
    </row>
    <row r="717" ht="12.0" customHeight="1">
      <c r="A717" s="43"/>
      <c r="F717" s="13"/>
      <c r="K717" s="46"/>
    </row>
    <row r="718" ht="12.0" customHeight="1">
      <c r="A718" s="43"/>
      <c r="F718" s="13"/>
      <c r="K718" s="46"/>
    </row>
    <row r="719" ht="12.0" customHeight="1">
      <c r="A719" s="43"/>
      <c r="F719" s="13"/>
      <c r="K719" s="46"/>
    </row>
    <row r="720" ht="12.0" customHeight="1">
      <c r="A720" s="43"/>
      <c r="F720" s="13"/>
      <c r="K720" s="46"/>
    </row>
    <row r="721" ht="12.0" customHeight="1">
      <c r="A721" s="43"/>
      <c r="F721" s="13"/>
      <c r="K721" s="46"/>
    </row>
    <row r="722" ht="12.0" customHeight="1">
      <c r="A722" s="43"/>
      <c r="F722" s="13"/>
      <c r="K722" s="46"/>
    </row>
    <row r="723" ht="12.0" customHeight="1">
      <c r="A723" s="43"/>
      <c r="F723" s="13"/>
      <c r="K723" s="46"/>
    </row>
    <row r="724" ht="12.0" customHeight="1">
      <c r="A724" s="43"/>
      <c r="F724" s="13"/>
      <c r="K724" s="46"/>
    </row>
    <row r="725" ht="12.0" customHeight="1">
      <c r="A725" s="43"/>
      <c r="F725" s="13"/>
      <c r="K725" s="46"/>
    </row>
    <row r="726" ht="12.0" customHeight="1">
      <c r="A726" s="43"/>
      <c r="F726" s="13"/>
      <c r="K726" s="46"/>
    </row>
    <row r="727" ht="12.0" customHeight="1">
      <c r="A727" s="43"/>
      <c r="F727" s="13"/>
      <c r="K727" s="46"/>
    </row>
    <row r="728" ht="12.0" customHeight="1">
      <c r="A728" s="43"/>
      <c r="F728" s="13"/>
      <c r="K728" s="46"/>
    </row>
    <row r="729" ht="12.0" customHeight="1">
      <c r="A729" s="43"/>
      <c r="F729" s="13"/>
      <c r="K729" s="46"/>
    </row>
    <row r="730" ht="12.0" customHeight="1">
      <c r="A730" s="43"/>
      <c r="F730" s="13"/>
      <c r="K730" s="46"/>
    </row>
    <row r="731" ht="12.0" customHeight="1">
      <c r="A731" s="43"/>
      <c r="F731" s="13"/>
      <c r="K731" s="46"/>
    </row>
    <row r="732" ht="12.0" customHeight="1">
      <c r="A732" s="43"/>
      <c r="F732" s="13"/>
      <c r="K732" s="46"/>
    </row>
    <row r="733" ht="12.0" customHeight="1">
      <c r="A733" s="43"/>
      <c r="F733" s="13"/>
      <c r="K733" s="46"/>
    </row>
    <row r="734" ht="12.0" customHeight="1">
      <c r="A734" s="43"/>
      <c r="F734" s="13"/>
      <c r="K734" s="46"/>
    </row>
    <row r="735" ht="12.0" customHeight="1">
      <c r="A735" s="43"/>
      <c r="F735" s="13"/>
      <c r="K735" s="46"/>
    </row>
    <row r="736" ht="12.0" customHeight="1">
      <c r="A736" s="43"/>
      <c r="F736" s="13"/>
      <c r="K736" s="46"/>
    </row>
    <row r="737" ht="12.0" customHeight="1">
      <c r="A737" s="43"/>
      <c r="F737" s="13"/>
      <c r="K737" s="46"/>
    </row>
    <row r="738" ht="12.0" customHeight="1">
      <c r="A738" s="43"/>
      <c r="F738" s="13"/>
      <c r="K738" s="46"/>
    </row>
    <row r="739" ht="12.0" customHeight="1">
      <c r="A739" s="43"/>
      <c r="F739" s="13"/>
      <c r="K739" s="46"/>
    </row>
    <row r="740" ht="12.0" customHeight="1">
      <c r="A740" s="43"/>
      <c r="F740" s="13"/>
      <c r="K740" s="46"/>
    </row>
    <row r="741" ht="12.0" customHeight="1">
      <c r="A741" s="43"/>
      <c r="F741" s="13"/>
      <c r="K741" s="46"/>
    </row>
    <row r="742" ht="12.0" customHeight="1">
      <c r="A742" s="43"/>
      <c r="F742" s="13"/>
      <c r="K742" s="46"/>
    </row>
    <row r="743" ht="12.0" customHeight="1">
      <c r="A743" s="43"/>
      <c r="F743" s="13"/>
      <c r="K743" s="46"/>
    </row>
    <row r="744" ht="12.0" customHeight="1">
      <c r="A744" s="43"/>
      <c r="F744" s="13"/>
      <c r="K744" s="46"/>
    </row>
    <row r="745" ht="12.0" customHeight="1">
      <c r="A745" s="43"/>
      <c r="F745" s="13"/>
      <c r="K745" s="46"/>
    </row>
    <row r="746" ht="12.0" customHeight="1">
      <c r="A746" s="43"/>
      <c r="F746" s="13"/>
      <c r="K746" s="46"/>
    </row>
    <row r="747" ht="12.0" customHeight="1">
      <c r="A747" s="43"/>
      <c r="F747" s="13"/>
      <c r="K747" s="46"/>
    </row>
    <row r="748" ht="12.0" customHeight="1">
      <c r="A748" s="43"/>
      <c r="F748" s="13"/>
      <c r="K748" s="46"/>
    </row>
    <row r="749" ht="12.0" customHeight="1">
      <c r="A749" s="43"/>
      <c r="F749" s="13"/>
      <c r="K749" s="46"/>
    </row>
    <row r="750" ht="12.0" customHeight="1">
      <c r="A750" s="43"/>
      <c r="F750" s="13"/>
      <c r="K750" s="46"/>
    </row>
    <row r="751" ht="12.0" customHeight="1">
      <c r="A751" s="43"/>
      <c r="F751" s="13"/>
      <c r="K751" s="46"/>
    </row>
    <row r="752" ht="12.0" customHeight="1">
      <c r="A752" s="43"/>
      <c r="F752" s="13"/>
      <c r="K752" s="46"/>
    </row>
    <row r="753" ht="12.0" customHeight="1">
      <c r="A753" s="43"/>
      <c r="F753" s="13"/>
      <c r="K753" s="46"/>
    </row>
    <row r="754" ht="12.0" customHeight="1">
      <c r="A754" s="43"/>
      <c r="F754" s="13"/>
      <c r="K754" s="46"/>
    </row>
    <row r="755" ht="12.0" customHeight="1">
      <c r="A755" s="43"/>
      <c r="F755" s="13"/>
      <c r="K755" s="46"/>
    </row>
    <row r="756" ht="12.0" customHeight="1">
      <c r="A756" s="43"/>
      <c r="F756" s="13"/>
      <c r="K756" s="46"/>
    </row>
    <row r="757" ht="12.0" customHeight="1">
      <c r="A757" s="43"/>
      <c r="F757" s="13"/>
      <c r="K757" s="46"/>
    </row>
    <row r="758" ht="12.0" customHeight="1">
      <c r="A758" s="43"/>
      <c r="F758" s="13"/>
      <c r="K758" s="46"/>
    </row>
    <row r="759" ht="12.0" customHeight="1">
      <c r="A759" s="43"/>
      <c r="F759" s="13"/>
      <c r="K759" s="46"/>
    </row>
    <row r="760" ht="12.0" customHeight="1">
      <c r="A760" s="43"/>
      <c r="F760" s="13"/>
      <c r="K760" s="46"/>
    </row>
    <row r="761" ht="12.0" customHeight="1">
      <c r="A761" s="43"/>
      <c r="F761" s="13"/>
      <c r="K761" s="46"/>
    </row>
    <row r="762" ht="12.0" customHeight="1">
      <c r="A762" s="43"/>
      <c r="F762" s="13"/>
      <c r="K762" s="46"/>
    </row>
    <row r="763" ht="12.0" customHeight="1">
      <c r="A763" s="43"/>
      <c r="F763" s="13"/>
      <c r="K763" s="46"/>
    </row>
    <row r="764" ht="12.0" customHeight="1">
      <c r="A764" s="43"/>
      <c r="F764" s="13"/>
      <c r="K764" s="46"/>
    </row>
    <row r="765" ht="12.0" customHeight="1">
      <c r="A765" s="43"/>
      <c r="F765" s="13"/>
      <c r="K765" s="46"/>
    </row>
    <row r="766" ht="12.0" customHeight="1">
      <c r="A766" s="43"/>
      <c r="F766" s="13"/>
      <c r="K766" s="46"/>
    </row>
    <row r="767" ht="12.0" customHeight="1">
      <c r="A767" s="43"/>
      <c r="F767" s="13"/>
      <c r="K767" s="46"/>
    </row>
    <row r="768" ht="12.0" customHeight="1">
      <c r="A768" s="43"/>
      <c r="F768" s="13"/>
      <c r="K768" s="46"/>
    </row>
    <row r="769" ht="12.0" customHeight="1">
      <c r="A769" s="43"/>
      <c r="F769" s="13"/>
      <c r="K769" s="46"/>
    </row>
    <row r="770" ht="12.0" customHeight="1">
      <c r="A770" s="43"/>
      <c r="F770" s="13"/>
      <c r="K770" s="46"/>
    </row>
    <row r="771" ht="12.0" customHeight="1">
      <c r="A771" s="43"/>
      <c r="F771" s="13"/>
      <c r="K771" s="46"/>
    </row>
    <row r="772" ht="12.0" customHeight="1">
      <c r="A772" s="43"/>
      <c r="F772" s="13"/>
      <c r="K772" s="46"/>
    </row>
    <row r="773" ht="12.0" customHeight="1">
      <c r="A773" s="43"/>
      <c r="F773" s="13"/>
      <c r="K773" s="46"/>
    </row>
    <row r="774" ht="12.0" customHeight="1">
      <c r="A774" s="43"/>
      <c r="F774" s="13"/>
      <c r="K774" s="46"/>
    </row>
    <row r="775" ht="12.0" customHeight="1">
      <c r="A775" s="43"/>
      <c r="F775" s="13"/>
      <c r="K775" s="46"/>
    </row>
    <row r="776" ht="12.0" customHeight="1">
      <c r="A776" s="43"/>
      <c r="F776" s="13"/>
      <c r="K776" s="46"/>
    </row>
    <row r="777" ht="12.0" customHeight="1">
      <c r="A777" s="43"/>
      <c r="F777" s="13"/>
      <c r="K777" s="46"/>
    </row>
    <row r="778" ht="12.0" customHeight="1">
      <c r="A778" s="43"/>
      <c r="F778" s="13"/>
      <c r="K778" s="46"/>
    </row>
    <row r="779" ht="12.0" customHeight="1">
      <c r="A779" s="43"/>
      <c r="F779" s="13"/>
      <c r="K779" s="46"/>
    </row>
    <row r="780" ht="12.0" customHeight="1">
      <c r="A780" s="43"/>
      <c r="F780" s="13"/>
      <c r="K780" s="46"/>
    </row>
    <row r="781" ht="12.0" customHeight="1">
      <c r="A781" s="43"/>
      <c r="F781" s="13"/>
      <c r="K781" s="46"/>
    </row>
    <row r="782" ht="12.0" customHeight="1">
      <c r="A782" s="43"/>
      <c r="F782" s="13"/>
      <c r="K782" s="46"/>
    </row>
    <row r="783" ht="12.0" customHeight="1">
      <c r="A783" s="43"/>
      <c r="F783" s="13"/>
      <c r="K783" s="46"/>
    </row>
    <row r="784" ht="12.0" customHeight="1">
      <c r="A784" s="43"/>
      <c r="F784" s="13"/>
      <c r="K784" s="46"/>
    </row>
    <row r="785" ht="12.0" customHeight="1">
      <c r="A785" s="43"/>
      <c r="F785" s="13"/>
      <c r="K785" s="46"/>
    </row>
    <row r="786" ht="12.0" customHeight="1">
      <c r="A786" s="43"/>
      <c r="F786" s="13"/>
      <c r="K786" s="46"/>
    </row>
    <row r="787" ht="12.0" customHeight="1">
      <c r="A787" s="43"/>
      <c r="F787" s="13"/>
      <c r="K787" s="46"/>
    </row>
    <row r="788" ht="12.0" customHeight="1">
      <c r="A788" s="43"/>
      <c r="F788" s="13"/>
      <c r="K788" s="46"/>
    </row>
    <row r="789" ht="12.0" customHeight="1">
      <c r="A789" s="43"/>
      <c r="F789" s="13"/>
      <c r="K789" s="46"/>
    </row>
    <row r="790" ht="12.0" customHeight="1">
      <c r="A790" s="43"/>
      <c r="F790" s="13"/>
      <c r="K790" s="46"/>
    </row>
    <row r="791" ht="12.0" customHeight="1">
      <c r="A791" s="43"/>
      <c r="F791" s="13"/>
      <c r="K791" s="46"/>
    </row>
    <row r="792" ht="12.0" customHeight="1">
      <c r="A792" s="43"/>
      <c r="F792" s="13"/>
      <c r="K792" s="46"/>
    </row>
    <row r="793" ht="12.0" customHeight="1">
      <c r="A793" s="43"/>
      <c r="F793" s="13"/>
      <c r="K793" s="46"/>
    </row>
    <row r="794" ht="12.0" customHeight="1">
      <c r="A794" s="43"/>
      <c r="F794" s="13"/>
      <c r="K794" s="46"/>
    </row>
    <row r="795" ht="12.0" customHeight="1">
      <c r="A795" s="43"/>
      <c r="F795" s="13"/>
      <c r="K795" s="46"/>
    </row>
    <row r="796" ht="12.0" customHeight="1">
      <c r="A796" s="43"/>
      <c r="F796" s="13"/>
      <c r="K796" s="46"/>
    </row>
    <row r="797" ht="12.0" customHeight="1">
      <c r="A797" s="43"/>
      <c r="F797" s="13"/>
      <c r="K797" s="46"/>
    </row>
    <row r="798" ht="12.0" customHeight="1">
      <c r="A798" s="43"/>
      <c r="F798" s="13"/>
      <c r="K798" s="46"/>
    </row>
    <row r="799" ht="12.0" customHeight="1">
      <c r="A799" s="43"/>
      <c r="F799" s="13"/>
      <c r="K799" s="46"/>
    </row>
    <row r="800" ht="12.0" customHeight="1">
      <c r="A800" s="43"/>
      <c r="F800" s="13"/>
      <c r="K800" s="46"/>
    </row>
    <row r="801" ht="12.0" customHeight="1">
      <c r="A801" s="43"/>
      <c r="F801" s="13"/>
      <c r="K801" s="46"/>
    </row>
    <row r="802" ht="12.0" customHeight="1">
      <c r="A802" s="43"/>
      <c r="F802" s="13"/>
      <c r="K802" s="46"/>
    </row>
    <row r="803" ht="12.0" customHeight="1">
      <c r="A803" s="43"/>
      <c r="F803" s="13"/>
      <c r="K803" s="46"/>
    </row>
    <row r="804" ht="12.0" customHeight="1">
      <c r="A804" s="43"/>
      <c r="F804" s="13"/>
      <c r="K804" s="46"/>
    </row>
    <row r="805" ht="12.0" customHeight="1">
      <c r="A805" s="43"/>
      <c r="F805" s="13"/>
      <c r="K805" s="46"/>
    </row>
    <row r="806" ht="12.0" customHeight="1">
      <c r="A806" s="43"/>
      <c r="F806" s="13"/>
      <c r="K806" s="46"/>
    </row>
    <row r="807" ht="12.0" customHeight="1">
      <c r="A807" s="43"/>
      <c r="F807" s="13"/>
      <c r="K807" s="46"/>
    </row>
    <row r="808" ht="12.0" customHeight="1">
      <c r="A808" s="43"/>
      <c r="F808" s="13"/>
      <c r="K808" s="46"/>
    </row>
    <row r="809" ht="12.0" customHeight="1">
      <c r="A809" s="43"/>
      <c r="F809" s="13"/>
      <c r="K809" s="46"/>
    </row>
    <row r="810" ht="12.0" customHeight="1">
      <c r="A810" s="43"/>
      <c r="F810" s="13"/>
      <c r="K810" s="46"/>
    </row>
    <row r="811" ht="12.0" customHeight="1">
      <c r="A811" s="43"/>
      <c r="F811" s="13"/>
      <c r="K811" s="46"/>
    </row>
    <row r="812" ht="12.0" customHeight="1">
      <c r="A812" s="43"/>
      <c r="F812" s="13"/>
      <c r="K812" s="46"/>
    </row>
    <row r="813" ht="12.0" customHeight="1">
      <c r="A813" s="43"/>
      <c r="F813" s="13"/>
      <c r="K813" s="46"/>
    </row>
    <row r="814" ht="12.0" customHeight="1">
      <c r="A814" s="43"/>
      <c r="F814" s="13"/>
      <c r="K814" s="46"/>
    </row>
    <row r="815" ht="12.0" customHeight="1">
      <c r="A815" s="43"/>
      <c r="F815" s="13"/>
      <c r="K815" s="46"/>
    </row>
    <row r="816" ht="12.0" customHeight="1">
      <c r="A816" s="43"/>
      <c r="F816" s="13"/>
      <c r="K816" s="46"/>
    </row>
    <row r="817" ht="12.0" customHeight="1">
      <c r="A817" s="43"/>
      <c r="F817" s="13"/>
      <c r="K817" s="46"/>
    </row>
    <row r="818" ht="12.0" customHeight="1">
      <c r="A818" s="43"/>
      <c r="F818" s="13"/>
      <c r="K818" s="46"/>
    </row>
    <row r="819" ht="12.0" customHeight="1">
      <c r="A819" s="43"/>
      <c r="F819" s="13"/>
      <c r="K819" s="46"/>
    </row>
    <row r="820" ht="12.0" customHeight="1">
      <c r="A820" s="43"/>
      <c r="F820" s="13"/>
      <c r="K820" s="46"/>
    </row>
    <row r="821" ht="12.0" customHeight="1">
      <c r="A821" s="43"/>
      <c r="F821" s="13"/>
      <c r="K821" s="46"/>
    </row>
    <row r="822" ht="12.0" customHeight="1">
      <c r="A822" s="43"/>
      <c r="F822" s="13"/>
      <c r="K822" s="46"/>
    </row>
    <row r="823" ht="12.0" customHeight="1">
      <c r="A823" s="43"/>
      <c r="F823" s="13"/>
      <c r="K823" s="46"/>
    </row>
    <row r="824" ht="12.0" customHeight="1">
      <c r="A824" s="43"/>
      <c r="F824" s="13"/>
      <c r="K824" s="46"/>
    </row>
    <row r="825" ht="12.0" customHeight="1">
      <c r="A825" s="43"/>
      <c r="F825" s="13"/>
      <c r="K825" s="46"/>
    </row>
    <row r="826" ht="12.0" customHeight="1">
      <c r="A826" s="43"/>
      <c r="F826" s="13"/>
      <c r="K826" s="46"/>
    </row>
    <row r="827" ht="12.0" customHeight="1">
      <c r="A827" s="43"/>
      <c r="F827" s="13"/>
      <c r="K827" s="46"/>
    </row>
    <row r="828" ht="12.0" customHeight="1">
      <c r="A828" s="43"/>
      <c r="F828" s="13"/>
      <c r="K828" s="46"/>
    </row>
    <row r="829" ht="12.0" customHeight="1">
      <c r="A829" s="43"/>
      <c r="F829" s="13"/>
      <c r="K829" s="46"/>
    </row>
    <row r="830" ht="12.0" customHeight="1">
      <c r="A830" s="43"/>
      <c r="F830" s="13"/>
      <c r="K830" s="46"/>
    </row>
    <row r="831" ht="12.0" customHeight="1">
      <c r="A831" s="43"/>
      <c r="F831" s="13"/>
      <c r="K831" s="46"/>
    </row>
    <row r="832" ht="12.0" customHeight="1">
      <c r="A832" s="43"/>
      <c r="F832" s="13"/>
      <c r="K832" s="46"/>
    </row>
    <row r="833" ht="12.0" customHeight="1">
      <c r="A833" s="43"/>
      <c r="F833" s="13"/>
      <c r="K833" s="46"/>
    </row>
    <row r="834" ht="12.0" customHeight="1">
      <c r="A834" s="43"/>
      <c r="F834" s="13"/>
      <c r="K834" s="46"/>
    </row>
    <row r="835" ht="12.0" customHeight="1">
      <c r="A835" s="43"/>
      <c r="F835" s="13"/>
      <c r="K835" s="46"/>
    </row>
    <row r="836" ht="12.0" customHeight="1">
      <c r="A836" s="43"/>
      <c r="F836" s="13"/>
      <c r="K836" s="46"/>
    </row>
    <row r="837" ht="12.0" customHeight="1">
      <c r="A837" s="43"/>
      <c r="F837" s="13"/>
      <c r="K837" s="46"/>
    </row>
    <row r="838" ht="12.0" customHeight="1">
      <c r="A838" s="43"/>
      <c r="F838" s="13"/>
      <c r="K838" s="46"/>
    </row>
    <row r="839" ht="12.0" customHeight="1">
      <c r="A839" s="43"/>
      <c r="F839" s="13"/>
      <c r="K839" s="46"/>
    </row>
    <row r="840" ht="12.0" customHeight="1">
      <c r="A840" s="43"/>
      <c r="F840" s="13"/>
      <c r="K840" s="46"/>
    </row>
    <row r="841" ht="12.0" customHeight="1">
      <c r="A841" s="43"/>
      <c r="F841" s="13"/>
      <c r="K841" s="46"/>
    </row>
    <row r="842" ht="12.0" customHeight="1">
      <c r="A842" s="43"/>
      <c r="F842" s="13"/>
      <c r="K842" s="46"/>
    </row>
    <row r="843" ht="12.0" customHeight="1">
      <c r="A843" s="43"/>
      <c r="F843" s="13"/>
      <c r="K843" s="46"/>
    </row>
    <row r="844" ht="12.0" customHeight="1">
      <c r="A844" s="43"/>
      <c r="F844" s="13"/>
      <c r="K844" s="46"/>
    </row>
    <row r="845" ht="12.0" customHeight="1">
      <c r="A845" s="43"/>
      <c r="F845" s="13"/>
      <c r="K845" s="46"/>
    </row>
    <row r="846" ht="12.0" customHeight="1">
      <c r="A846" s="43"/>
      <c r="F846" s="13"/>
      <c r="K846" s="46"/>
    </row>
    <row r="847" ht="12.0" customHeight="1">
      <c r="A847" s="43"/>
      <c r="F847" s="13"/>
      <c r="K847" s="46"/>
    </row>
    <row r="848" ht="12.0" customHeight="1">
      <c r="A848" s="43"/>
      <c r="F848" s="13"/>
      <c r="K848" s="46"/>
    </row>
    <row r="849" ht="12.0" customHeight="1">
      <c r="A849" s="43"/>
      <c r="F849" s="13"/>
      <c r="K849" s="46"/>
    </row>
    <row r="850" ht="12.0" customHeight="1">
      <c r="A850" s="43"/>
      <c r="F850" s="13"/>
      <c r="K850" s="46"/>
    </row>
    <row r="851" ht="12.0" customHeight="1">
      <c r="A851" s="43"/>
      <c r="F851" s="13"/>
      <c r="K851" s="46"/>
    </row>
    <row r="852" ht="12.0" customHeight="1">
      <c r="A852" s="43"/>
      <c r="F852" s="13"/>
      <c r="K852" s="46"/>
    </row>
    <row r="853" ht="12.0" customHeight="1">
      <c r="A853" s="43"/>
      <c r="F853" s="13"/>
      <c r="K853" s="46"/>
    </row>
    <row r="854" ht="12.0" customHeight="1">
      <c r="A854" s="43"/>
      <c r="F854" s="13"/>
      <c r="K854" s="46"/>
    </row>
    <row r="855" ht="12.0" customHeight="1">
      <c r="A855" s="43"/>
      <c r="F855" s="13"/>
      <c r="K855" s="46"/>
    </row>
    <row r="856" ht="12.0" customHeight="1">
      <c r="A856" s="43"/>
      <c r="F856" s="13"/>
      <c r="K856" s="46"/>
    </row>
    <row r="857" ht="12.0" customHeight="1">
      <c r="A857" s="43"/>
      <c r="F857" s="13"/>
      <c r="K857" s="46"/>
    </row>
    <row r="858" ht="12.0" customHeight="1">
      <c r="A858" s="43"/>
      <c r="F858" s="13"/>
      <c r="K858" s="46"/>
    </row>
    <row r="859" ht="12.0" customHeight="1">
      <c r="A859" s="43"/>
      <c r="F859" s="13"/>
      <c r="K859" s="46"/>
    </row>
    <row r="860" ht="12.0" customHeight="1">
      <c r="A860" s="43"/>
      <c r="F860" s="13"/>
      <c r="K860" s="46"/>
    </row>
    <row r="861" ht="12.0" customHeight="1">
      <c r="A861" s="43"/>
      <c r="F861" s="13"/>
      <c r="K861" s="46"/>
    </row>
    <row r="862" ht="12.0" customHeight="1">
      <c r="A862" s="43"/>
      <c r="F862" s="13"/>
      <c r="K862" s="46"/>
    </row>
    <row r="863" ht="12.0" customHeight="1">
      <c r="A863" s="43"/>
      <c r="F863" s="13"/>
      <c r="K863" s="46"/>
    </row>
    <row r="864" ht="12.0" customHeight="1">
      <c r="A864" s="43"/>
      <c r="F864" s="13"/>
      <c r="K864" s="46"/>
    </row>
    <row r="865" ht="12.0" customHeight="1">
      <c r="A865" s="43"/>
      <c r="F865" s="13"/>
      <c r="K865" s="46"/>
    </row>
    <row r="866" ht="12.0" customHeight="1">
      <c r="A866" s="43"/>
      <c r="F866" s="13"/>
      <c r="K866" s="46"/>
    </row>
    <row r="867" ht="12.0" customHeight="1">
      <c r="A867" s="43"/>
      <c r="F867" s="13"/>
      <c r="K867" s="46"/>
    </row>
    <row r="868" ht="12.0" customHeight="1">
      <c r="A868" s="43"/>
      <c r="F868" s="13"/>
      <c r="K868" s="46"/>
    </row>
    <row r="869" ht="12.0" customHeight="1">
      <c r="A869" s="43"/>
      <c r="F869" s="13"/>
      <c r="K869" s="46"/>
    </row>
    <row r="870" ht="12.0" customHeight="1">
      <c r="A870" s="43"/>
      <c r="F870" s="13"/>
      <c r="K870" s="46"/>
    </row>
    <row r="871" ht="12.0" customHeight="1">
      <c r="A871" s="43"/>
      <c r="F871" s="13"/>
      <c r="K871" s="46"/>
    </row>
    <row r="872" ht="12.0" customHeight="1">
      <c r="A872" s="43"/>
      <c r="F872" s="13"/>
      <c r="K872" s="46"/>
    </row>
    <row r="873" ht="12.0" customHeight="1">
      <c r="A873" s="43"/>
      <c r="F873" s="13"/>
      <c r="K873" s="46"/>
    </row>
    <row r="874" ht="12.0" customHeight="1">
      <c r="A874" s="43"/>
      <c r="F874" s="13"/>
      <c r="K874" s="46"/>
    </row>
    <row r="875" ht="12.0" customHeight="1">
      <c r="A875" s="43"/>
      <c r="F875" s="13"/>
      <c r="K875" s="46"/>
    </row>
    <row r="876" ht="12.0" customHeight="1">
      <c r="A876" s="43"/>
      <c r="F876" s="13"/>
      <c r="K876" s="46"/>
    </row>
    <row r="877" ht="12.0" customHeight="1">
      <c r="A877" s="43"/>
      <c r="F877" s="13"/>
      <c r="K877" s="46"/>
    </row>
    <row r="878" ht="12.0" customHeight="1">
      <c r="A878" s="43"/>
      <c r="F878" s="13"/>
      <c r="K878" s="46"/>
    </row>
    <row r="879" ht="12.0" customHeight="1">
      <c r="A879" s="43"/>
      <c r="F879" s="13"/>
      <c r="K879" s="46"/>
    </row>
    <row r="880" ht="12.0" customHeight="1">
      <c r="A880" s="43"/>
      <c r="F880" s="13"/>
      <c r="K880" s="46"/>
    </row>
    <row r="881" ht="12.0" customHeight="1">
      <c r="A881" s="43"/>
      <c r="F881" s="13"/>
      <c r="K881" s="46"/>
    </row>
    <row r="882" ht="12.0" customHeight="1">
      <c r="A882" s="43"/>
      <c r="F882" s="13"/>
      <c r="K882" s="46"/>
    </row>
    <row r="883" ht="12.0" customHeight="1">
      <c r="A883" s="43"/>
      <c r="F883" s="13"/>
      <c r="K883" s="46"/>
    </row>
    <row r="884" ht="12.0" customHeight="1">
      <c r="A884" s="43"/>
      <c r="F884" s="13"/>
      <c r="K884" s="46"/>
    </row>
    <row r="885" ht="12.0" customHeight="1">
      <c r="A885" s="43"/>
      <c r="F885" s="13"/>
      <c r="K885" s="46"/>
    </row>
    <row r="886" ht="12.0" customHeight="1">
      <c r="A886" s="43"/>
      <c r="F886" s="13"/>
      <c r="K886" s="46"/>
    </row>
    <row r="887" ht="12.0" customHeight="1">
      <c r="A887" s="43"/>
      <c r="F887" s="13"/>
      <c r="K887" s="46"/>
    </row>
    <row r="888" ht="12.0" customHeight="1">
      <c r="A888" s="43"/>
      <c r="F888" s="13"/>
      <c r="K888" s="46"/>
    </row>
    <row r="889" ht="12.0" customHeight="1">
      <c r="A889" s="43"/>
      <c r="F889" s="13"/>
      <c r="K889" s="46"/>
    </row>
    <row r="890" ht="12.0" customHeight="1">
      <c r="A890" s="43"/>
      <c r="F890" s="13"/>
      <c r="K890" s="46"/>
    </row>
    <row r="891" ht="12.0" customHeight="1">
      <c r="A891" s="43"/>
      <c r="F891" s="13"/>
      <c r="K891" s="46"/>
    </row>
    <row r="892" ht="12.0" customHeight="1">
      <c r="A892" s="43"/>
      <c r="F892" s="13"/>
      <c r="K892" s="46"/>
    </row>
    <row r="893" ht="12.0" customHeight="1">
      <c r="A893" s="43"/>
      <c r="F893" s="13"/>
      <c r="K893" s="46"/>
    </row>
    <row r="894" ht="12.0" customHeight="1">
      <c r="A894" s="43"/>
      <c r="F894" s="13"/>
      <c r="K894" s="46"/>
    </row>
    <row r="895" ht="12.0" customHeight="1">
      <c r="A895" s="43"/>
      <c r="F895" s="13"/>
      <c r="K895" s="46"/>
    </row>
    <row r="896" ht="12.0" customHeight="1">
      <c r="A896" s="43"/>
      <c r="F896" s="13"/>
      <c r="K896" s="46"/>
    </row>
    <row r="897" ht="12.0" customHeight="1">
      <c r="A897" s="43"/>
      <c r="F897" s="13"/>
      <c r="K897" s="46"/>
    </row>
    <row r="898" ht="12.0" customHeight="1">
      <c r="A898" s="43"/>
      <c r="F898" s="13"/>
      <c r="K898" s="46"/>
    </row>
    <row r="899" ht="12.0" customHeight="1">
      <c r="A899" s="43"/>
      <c r="F899" s="13"/>
      <c r="K899" s="46"/>
    </row>
    <row r="900" ht="12.0" customHeight="1">
      <c r="A900" s="43"/>
      <c r="F900" s="13"/>
      <c r="K900" s="46"/>
    </row>
    <row r="901" ht="12.0" customHeight="1">
      <c r="A901" s="43"/>
      <c r="F901" s="13"/>
      <c r="K901" s="46"/>
    </row>
    <row r="902" ht="12.0" customHeight="1">
      <c r="A902" s="43"/>
      <c r="F902" s="13"/>
      <c r="K902" s="46"/>
    </row>
    <row r="903" ht="12.0" customHeight="1">
      <c r="A903" s="43"/>
      <c r="F903" s="13"/>
      <c r="K903" s="46"/>
    </row>
    <row r="904" ht="12.0" customHeight="1">
      <c r="A904" s="43"/>
      <c r="F904" s="13"/>
      <c r="K904" s="46"/>
    </row>
    <row r="905" ht="12.0" customHeight="1">
      <c r="A905" s="43"/>
      <c r="F905" s="13"/>
      <c r="K905" s="46"/>
    </row>
    <row r="906" ht="12.0" customHeight="1">
      <c r="A906" s="43"/>
      <c r="F906" s="13"/>
      <c r="K906" s="46"/>
    </row>
    <row r="907" ht="12.0" customHeight="1">
      <c r="A907" s="43"/>
      <c r="F907" s="13"/>
      <c r="K907" s="46"/>
    </row>
    <row r="908" ht="12.0" customHeight="1">
      <c r="A908" s="43"/>
      <c r="F908" s="13"/>
      <c r="K908" s="46"/>
    </row>
    <row r="909" ht="12.0" customHeight="1">
      <c r="A909" s="43"/>
      <c r="F909" s="13"/>
      <c r="K909" s="46"/>
    </row>
    <row r="910" ht="12.0" customHeight="1">
      <c r="A910" s="43"/>
      <c r="F910" s="13"/>
      <c r="K910" s="46"/>
    </row>
    <row r="911" ht="12.0" customHeight="1">
      <c r="A911" s="43"/>
      <c r="F911" s="13"/>
      <c r="K911" s="46"/>
    </row>
    <row r="912" ht="12.0" customHeight="1">
      <c r="A912" s="43"/>
      <c r="F912" s="13"/>
      <c r="K912" s="46"/>
    </row>
    <row r="913" ht="12.0" customHeight="1">
      <c r="A913" s="43"/>
      <c r="F913" s="13"/>
      <c r="K913" s="46"/>
    </row>
    <row r="914" ht="12.0" customHeight="1">
      <c r="A914" s="43"/>
      <c r="F914" s="13"/>
      <c r="K914" s="46"/>
    </row>
    <row r="915" ht="12.0" customHeight="1">
      <c r="A915" s="43"/>
      <c r="F915" s="13"/>
      <c r="K915" s="46"/>
    </row>
    <row r="916" ht="12.0" customHeight="1">
      <c r="A916" s="43"/>
      <c r="F916" s="13"/>
      <c r="K916" s="46"/>
    </row>
    <row r="917" ht="12.0" customHeight="1">
      <c r="A917" s="43"/>
      <c r="F917" s="13"/>
      <c r="K917" s="46"/>
    </row>
    <row r="918" ht="12.0" customHeight="1">
      <c r="A918" s="43"/>
      <c r="F918" s="13"/>
      <c r="K918" s="46"/>
    </row>
    <row r="919" ht="12.0" customHeight="1">
      <c r="A919" s="43"/>
      <c r="F919" s="13"/>
      <c r="K919" s="46"/>
    </row>
    <row r="920" ht="12.0" customHeight="1">
      <c r="A920" s="43"/>
      <c r="F920" s="13"/>
      <c r="K920" s="46"/>
    </row>
    <row r="921" ht="12.0" customHeight="1">
      <c r="A921" s="43"/>
      <c r="F921" s="13"/>
      <c r="K921" s="46"/>
    </row>
    <row r="922" ht="12.0" customHeight="1">
      <c r="A922" s="43"/>
      <c r="F922" s="13"/>
      <c r="K922" s="46"/>
    </row>
    <row r="923" ht="12.0" customHeight="1">
      <c r="A923" s="43"/>
      <c r="F923" s="13"/>
      <c r="K923" s="46"/>
    </row>
    <row r="924" ht="12.0" customHeight="1">
      <c r="A924" s="43"/>
      <c r="F924" s="13"/>
      <c r="K924" s="46"/>
    </row>
    <row r="925" ht="12.0" customHeight="1">
      <c r="A925" s="43"/>
      <c r="F925" s="13"/>
      <c r="K925" s="46"/>
    </row>
    <row r="926" ht="12.0" customHeight="1">
      <c r="A926" s="43"/>
      <c r="F926" s="13"/>
      <c r="K926" s="46"/>
    </row>
    <row r="927" ht="12.0" customHeight="1">
      <c r="A927" s="43"/>
      <c r="F927" s="13"/>
      <c r="K927" s="46"/>
    </row>
    <row r="928" ht="12.0" customHeight="1">
      <c r="A928" s="43"/>
      <c r="F928" s="13"/>
      <c r="K928" s="46"/>
    </row>
    <row r="929" ht="12.0" customHeight="1">
      <c r="A929" s="43"/>
      <c r="F929" s="13"/>
      <c r="K929" s="46"/>
    </row>
    <row r="930" ht="12.0" customHeight="1">
      <c r="A930" s="43"/>
      <c r="F930" s="13"/>
      <c r="K930" s="46"/>
    </row>
    <row r="931" ht="12.0" customHeight="1">
      <c r="A931" s="43"/>
      <c r="F931" s="13"/>
      <c r="K931" s="46"/>
    </row>
    <row r="932" ht="12.0" customHeight="1">
      <c r="A932" s="43"/>
      <c r="F932" s="13"/>
      <c r="K932" s="46"/>
    </row>
    <row r="933" ht="12.0" customHeight="1">
      <c r="A933" s="43"/>
      <c r="F933" s="13"/>
      <c r="K933" s="46"/>
    </row>
    <row r="934" ht="12.0" customHeight="1">
      <c r="A934" s="43"/>
      <c r="F934" s="13"/>
      <c r="K934" s="46"/>
    </row>
    <row r="935" ht="12.0" customHeight="1">
      <c r="A935" s="43"/>
      <c r="F935" s="13"/>
      <c r="K935" s="46"/>
    </row>
    <row r="936" ht="12.0" customHeight="1">
      <c r="A936" s="43"/>
      <c r="F936" s="13"/>
      <c r="K936" s="46"/>
    </row>
    <row r="937" ht="12.0" customHeight="1">
      <c r="A937" s="43"/>
      <c r="F937" s="13"/>
      <c r="K937" s="46"/>
    </row>
    <row r="938" ht="12.0" customHeight="1">
      <c r="A938" s="43"/>
      <c r="F938" s="13"/>
      <c r="K938" s="46"/>
    </row>
    <row r="939" ht="12.0" customHeight="1">
      <c r="A939" s="43"/>
      <c r="F939" s="13"/>
      <c r="K939" s="46"/>
    </row>
    <row r="940" ht="12.0" customHeight="1">
      <c r="A940" s="43"/>
      <c r="F940" s="13"/>
      <c r="K940" s="46"/>
    </row>
    <row r="941" ht="12.0" customHeight="1">
      <c r="A941" s="43"/>
      <c r="F941" s="13"/>
      <c r="K941" s="46"/>
    </row>
    <row r="942" ht="12.0" customHeight="1">
      <c r="A942" s="43"/>
      <c r="F942" s="13"/>
      <c r="K942" s="46"/>
    </row>
    <row r="943" ht="12.0" customHeight="1">
      <c r="A943" s="43"/>
      <c r="F943" s="13"/>
      <c r="K943" s="46"/>
    </row>
    <row r="944" ht="12.0" customHeight="1">
      <c r="A944" s="43"/>
      <c r="F944" s="13"/>
      <c r="K944" s="46"/>
    </row>
    <row r="945" ht="12.0" customHeight="1">
      <c r="A945" s="43"/>
      <c r="F945" s="13"/>
      <c r="K945" s="46"/>
    </row>
    <row r="946" ht="12.0" customHeight="1">
      <c r="A946" s="43"/>
      <c r="F946" s="13"/>
      <c r="K946" s="46"/>
    </row>
    <row r="947" ht="12.0" customHeight="1">
      <c r="A947" s="43"/>
      <c r="F947" s="13"/>
      <c r="K947" s="46"/>
    </row>
    <row r="948" ht="12.0" customHeight="1">
      <c r="A948" s="43"/>
      <c r="F948" s="13"/>
      <c r="K948" s="46"/>
    </row>
    <row r="949" ht="12.0" customHeight="1">
      <c r="A949" s="43"/>
      <c r="F949" s="13"/>
      <c r="K949" s="46"/>
    </row>
    <row r="950" ht="12.0" customHeight="1">
      <c r="A950" s="43"/>
      <c r="F950" s="13"/>
      <c r="K950" s="46"/>
    </row>
    <row r="951" ht="12.0" customHeight="1">
      <c r="A951" s="43"/>
      <c r="F951" s="13"/>
      <c r="K951" s="46"/>
    </row>
    <row r="952" ht="12.0" customHeight="1">
      <c r="A952" s="43"/>
      <c r="F952" s="13"/>
      <c r="K952" s="46"/>
    </row>
    <row r="953" ht="12.0" customHeight="1">
      <c r="A953" s="43"/>
      <c r="F953" s="13"/>
      <c r="K953" s="46"/>
    </row>
    <row r="954" ht="12.0" customHeight="1">
      <c r="A954" s="43"/>
      <c r="F954" s="13"/>
      <c r="K954" s="46"/>
    </row>
    <row r="955" ht="12.0" customHeight="1">
      <c r="A955" s="43"/>
      <c r="F955" s="13"/>
      <c r="K955" s="46"/>
    </row>
    <row r="956" ht="12.0" customHeight="1">
      <c r="A956" s="43"/>
      <c r="F956" s="13"/>
      <c r="K956" s="46"/>
    </row>
    <row r="957" ht="12.0" customHeight="1">
      <c r="A957" s="43"/>
      <c r="F957" s="13"/>
      <c r="K957" s="46"/>
    </row>
    <row r="958" ht="12.0" customHeight="1">
      <c r="A958" s="43"/>
      <c r="F958" s="13"/>
      <c r="K958" s="46"/>
    </row>
    <row r="959" ht="12.0" customHeight="1">
      <c r="A959" s="43"/>
      <c r="F959" s="13"/>
      <c r="K959" s="46"/>
    </row>
    <row r="960" ht="12.0" customHeight="1">
      <c r="A960" s="43"/>
      <c r="F960" s="13"/>
      <c r="K960" s="46"/>
    </row>
    <row r="961" ht="12.0" customHeight="1">
      <c r="A961" s="43"/>
      <c r="F961" s="13"/>
      <c r="K961" s="46"/>
    </row>
    <row r="962" ht="12.0" customHeight="1">
      <c r="A962" s="43"/>
      <c r="F962" s="13"/>
      <c r="K962" s="46"/>
    </row>
    <row r="963" ht="12.0" customHeight="1">
      <c r="A963" s="43"/>
      <c r="F963" s="13"/>
      <c r="K963" s="46"/>
    </row>
    <row r="964" ht="12.0" customHeight="1">
      <c r="A964" s="43"/>
      <c r="F964" s="13"/>
      <c r="K964" s="46"/>
    </row>
    <row r="965" ht="12.0" customHeight="1">
      <c r="A965" s="43"/>
      <c r="F965" s="13"/>
      <c r="K965" s="46"/>
    </row>
    <row r="966" ht="12.0" customHeight="1">
      <c r="A966" s="43"/>
      <c r="F966" s="13"/>
      <c r="K966" s="46"/>
    </row>
    <row r="967" ht="12.0" customHeight="1">
      <c r="A967" s="43"/>
      <c r="F967" s="13"/>
      <c r="K967" s="46"/>
    </row>
    <row r="968" ht="12.0" customHeight="1">
      <c r="A968" s="43"/>
      <c r="F968" s="13"/>
      <c r="K968" s="46"/>
    </row>
    <row r="969" ht="12.0" customHeight="1">
      <c r="A969" s="43"/>
      <c r="F969" s="13"/>
      <c r="K969" s="46"/>
    </row>
    <row r="970" ht="12.0" customHeight="1">
      <c r="A970" s="43"/>
      <c r="F970" s="13"/>
      <c r="K970" s="46"/>
    </row>
    <row r="971" ht="12.0" customHeight="1">
      <c r="A971" s="43"/>
      <c r="F971" s="13"/>
      <c r="K971" s="46"/>
    </row>
    <row r="972" ht="12.0" customHeight="1">
      <c r="A972" s="43"/>
      <c r="F972" s="13"/>
      <c r="K972" s="46"/>
    </row>
    <row r="973" ht="12.0" customHeight="1">
      <c r="A973" s="43"/>
      <c r="F973" s="13"/>
      <c r="K973" s="46"/>
    </row>
    <row r="974" ht="12.0" customHeight="1">
      <c r="A974" s="43"/>
      <c r="F974" s="13"/>
      <c r="K974" s="46"/>
    </row>
    <row r="975" ht="12.0" customHeight="1">
      <c r="A975" s="43"/>
      <c r="F975" s="13"/>
      <c r="K975" s="46"/>
    </row>
    <row r="976" ht="12.0" customHeight="1">
      <c r="A976" s="43"/>
      <c r="F976" s="13"/>
      <c r="K976" s="46"/>
    </row>
    <row r="977" ht="12.0" customHeight="1">
      <c r="A977" s="43"/>
      <c r="F977" s="13"/>
      <c r="K977" s="46"/>
    </row>
    <row r="978" ht="12.0" customHeight="1">
      <c r="A978" s="43"/>
      <c r="F978" s="13"/>
      <c r="K978" s="46"/>
    </row>
    <row r="979" ht="12.0" customHeight="1">
      <c r="A979" s="43"/>
      <c r="F979" s="13"/>
      <c r="K979" s="46"/>
    </row>
    <row r="980" ht="12.0" customHeight="1">
      <c r="A980" s="43"/>
      <c r="F980" s="13"/>
      <c r="K980" s="46"/>
    </row>
    <row r="981" ht="12.0" customHeight="1">
      <c r="A981" s="43"/>
      <c r="F981" s="13"/>
      <c r="K981" s="46"/>
    </row>
    <row r="982" ht="12.0" customHeight="1">
      <c r="A982" s="43"/>
      <c r="F982" s="13"/>
      <c r="K982" s="46"/>
    </row>
    <row r="983" ht="12.0" customHeight="1">
      <c r="A983" s="43"/>
      <c r="F983" s="13"/>
      <c r="K983" s="46"/>
    </row>
    <row r="984" ht="12.0" customHeight="1">
      <c r="A984" s="43"/>
      <c r="F984" s="13"/>
      <c r="K984" s="46"/>
    </row>
    <row r="985" ht="12.0" customHeight="1">
      <c r="A985" s="43"/>
      <c r="F985" s="13"/>
      <c r="K985" s="46"/>
    </row>
    <row r="986" ht="12.0" customHeight="1">
      <c r="A986" s="43"/>
      <c r="F986" s="13"/>
      <c r="K986" s="46"/>
    </row>
    <row r="987" ht="12.0" customHeight="1">
      <c r="A987" s="43"/>
      <c r="F987" s="13"/>
      <c r="K987" s="46"/>
    </row>
    <row r="988" ht="12.0" customHeight="1">
      <c r="A988" s="43"/>
      <c r="F988" s="13"/>
      <c r="K988" s="46"/>
    </row>
    <row r="989" ht="12.0" customHeight="1">
      <c r="A989" s="43"/>
      <c r="F989" s="13"/>
      <c r="K989" s="46"/>
    </row>
    <row r="990" ht="12.0" customHeight="1">
      <c r="A990" s="43"/>
      <c r="F990" s="13"/>
      <c r="K990" s="46"/>
    </row>
    <row r="991" ht="12.0" customHeight="1">
      <c r="A991" s="43"/>
      <c r="F991" s="13"/>
      <c r="K991" s="46"/>
    </row>
    <row r="992" ht="12.0" customHeight="1">
      <c r="A992" s="43"/>
      <c r="F992" s="13"/>
      <c r="K992" s="46"/>
    </row>
    <row r="993" ht="12.0" customHeight="1">
      <c r="A993" s="43"/>
      <c r="F993" s="13"/>
      <c r="K993" s="46"/>
    </row>
    <row r="994" ht="12.0" customHeight="1">
      <c r="A994" s="43"/>
      <c r="F994" s="13"/>
      <c r="K994" s="46"/>
    </row>
    <row r="995" ht="12.0" customHeight="1">
      <c r="A995" s="43"/>
      <c r="F995" s="13"/>
      <c r="K995" s="46"/>
    </row>
    <row r="996" ht="12.0" customHeight="1">
      <c r="A996" s="43"/>
      <c r="F996" s="13"/>
      <c r="K996" s="46"/>
    </row>
    <row r="997" ht="12.0" customHeight="1">
      <c r="A997" s="43"/>
      <c r="F997" s="13"/>
      <c r="K997" s="46"/>
    </row>
    <row r="998" ht="12.0" customHeight="1">
      <c r="A998" s="43"/>
      <c r="F998" s="13"/>
      <c r="K998" s="46"/>
    </row>
    <row r="999" ht="12.0" customHeight="1">
      <c r="A999" s="43"/>
      <c r="F999" s="13"/>
      <c r="K999" s="46"/>
    </row>
    <row r="1000" ht="12.0" customHeight="1">
      <c r="A1000" s="43"/>
      <c r="F1000" s="13"/>
      <c r="K1000" s="4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2025-11-03T17:26:16Z</dcterms:created>
  <dc:creator>user</dc:creator>
</cp:coreProperties>
</file>